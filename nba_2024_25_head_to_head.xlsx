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ames_Raw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Detail" sheetId="4" state="visible" r:id="rId4"/>
    <sheet xmlns:r="http://schemas.openxmlformats.org/officeDocument/2006/relationships" name="Wins_Matrix" sheetId="5" state="visible" r:id="rId5"/>
    <sheet xmlns:r="http://schemas.openxmlformats.org/officeDocument/2006/relationships" name="Losses_Matrix" sheetId="6" state="visible" r:id="rId6"/>
    <sheet xmlns:r="http://schemas.openxmlformats.org/officeDocument/2006/relationships" name="Series_Matrix" sheetId="7" state="visible" r:id="rId7"/>
  </sheets>
  <definedNames>
    <definedName name="_xlnm._FilterDatabase" localSheetId="1" hidden="1">'Games_Raw'!$A$1:$M$1232</definedName>
    <definedName name="_xlnm._FilterDatabase" localSheetId="2" hidden="1">'Validation'!$A$1:$F$31</definedName>
    <definedName name="_xlnm._FilterDatabase" localSheetId="3" hidden="1">'Detail'!$A$1:$G$871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7E6E6"/>
      </patternFill>
    </fill>
    <fill>
      <patternFill patternType="solid">
        <fgColor rgb="00EAF3FF"/>
      </patternFill>
    </fill>
    <fill>
      <patternFill patternType="solid">
        <fgColor rgb="00FCE4D6"/>
      </patternFill>
    </fill>
    <fill>
      <patternFill patternType="solid">
        <fgColor rgb="00D9EAF7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5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2" fillId="6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NBA 2024-25 Head-to-Head Workbook</t>
        </is>
      </c>
      <c r="B1" s="1" t="inlineStr"/>
    </row>
    <row r="2">
      <c r="A2" s="2" t="inlineStr">
        <is>
          <t>What is in this file</t>
        </is>
      </c>
      <c r="B2" s="3" t="inlineStr">
        <is>
          <t>Complete team-vs-team head-to-head results for the 2024-25 NBA regular season, for all 30 teams.</t>
        </is>
      </c>
    </row>
    <row r="3">
      <c r="A3" s="2" t="inlineStr">
        <is>
          <t>How to read it</t>
        </is>
      </c>
      <c r="B3" s="3" t="inlineStr">
        <is>
          <t>Use 'Series_Matrix' for W-L by row team vs column opponent; 'Detail' for one row per team/opponent; 'Games_Raw' for the source game list.</t>
        </is>
      </c>
    </row>
    <row r="4">
      <c r="A4" s="2" t="inlineStr">
        <is>
          <t>Season scope</t>
        </is>
      </c>
      <c r="B4" s="3" t="inlineStr">
        <is>
          <t>Regular season only (82 games per team).</t>
        </is>
      </c>
    </row>
    <row r="5">
      <c r="A5" s="2" t="inlineStr">
        <is>
          <t>Data source URL</t>
        </is>
      </c>
      <c r="B5" s="3" t="inlineStr">
        <is>
          <t>https://fixturedownload.com/download/nba-2024-UTC.csv</t>
        </is>
      </c>
    </row>
    <row r="6">
      <c r="A6" s="2" t="inlineStr">
        <is>
          <t>Source page URL</t>
        </is>
      </c>
      <c r="B6" s="3" t="inlineStr">
        <is>
          <t>https://fixturedownload.com/results/nba-2024</t>
        </is>
      </c>
    </row>
    <row r="7">
      <c r="A7" s="2" t="inlineStr">
        <is>
          <t>Official NBA schedule article</t>
        </is>
      </c>
      <c r="B7" s="3" t="inlineStr">
        <is>
          <t>https://www.nba.com/news/2024-25-nba-regular-season-schedule</t>
        </is>
      </c>
    </row>
    <row r="8">
      <c r="A8" s="2" t="inlineStr">
        <is>
          <t>Excluded from totals</t>
        </is>
      </c>
      <c r="B8" s="3" t="inlineStr">
        <is>
          <t>The source file contains one extra Bucks-Thunder neutral-site Emirates NBA Cup Championship game. It is flagged as 'No' in Games_Raw &gt; Is Regular Season and excluded from all head-to-head totals.</t>
        </is>
      </c>
    </row>
    <row r="9">
      <c r="A9" s="2" t="inlineStr">
        <is>
          <t>Validation</t>
        </is>
      </c>
      <c r="B9" s="3" t="inlineStr">
        <is>
          <t>The workbook formulas produce 82 regular-season games for every team after that exclusion.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4" customWidth="1" min="4" max="4"/>
    <col width="24" customWidth="1" min="5" max="5"/>
    <col width="24" customWidth="1" min="6" max="6"/>
    <col width="11" customWidth="1" min="7" max="7"/>
    <col width="11" customWidth="1" min="8" max="8"/>
    <col width="24" customWidth="1" min="9" max="9"/>
    <col width="24" customWidth="1" min="10" max="10"/>
    <col width="16" customWidth="1" min="11" max="11"/>
    <col width="55" customWidth="1" min="12" max="12"/>
    <col width="42" customWidth="1" min="13" max="13"/>
  </cols>
  <sheetData>
    <row r="1">
      <c r="A1" s="4" t="inlineStr">
        <is>
          <t>Match Number</t>
        </is>
      </c>
      <c r="B1" s="4" t="inlineStr">
        <is>
          <t>Round Number</t>
        </is>
      </c>
      <c r="C1" s="4" t="inlineStr">
        <is>
          <t>Date/Time (UTC)</t>
        </is>
      </c>
      <c r="D1" s="4" t="inlineStr">
        <is>
          <t>Location</t>
        </is>
      </c>
      <c r="E1" s="4" t="inlineStr">
        <is>
          <t>Home Team</t>
        </is>
      </c>
      <c r="F1" s="4" t="inlineStr">
        <is>
          <t>Away Team</t>
        </is>
      </c>
      <c r="G1" s="4" t="inlineStr">
        <is>
          <t>Home Score</t>
        </is>
      </c>
      <c r="H1" s="4" t="inlineStr">
        <is>
          <t>Away Score</t>
        </is>
      </c>
      <c r="I1" s="4" t="inlineStr">
        <is>
          <t>Winner</t>
        </is>
      </c>
      <c r="J1" s="4" t="inlineStr">
        <is>
          <t>Loser</t>
        </is>
      </c>
      <c r="K1" s="4" t="inlineStr">
        <is>
          <t>Is Regular Season</t>
        </is>
      </c>
      <c r="L1" s="4" t="inlineStr">
        <is>
          <t>Notes</t>
        </is>
      </c>
      <c r="M1" s="4" t="inlineStr">
        <is>
          <t>Source URL</t>
        </is>
      </c>
    </row>
    <row r="2">
      <c r="A2" t="n">
        <v>1</v>
      </c>
      <c r="B2" t="n">
        <v>1</v>
      </c>
      <c r="C2" t="inlineStr">
        <is>
          <t>22/10/2024 23:30</t>
        </is>
      </c>
      <c r="D2" t="inlineStr">
        <is>
          <t>TD Garden</t>
        </is>
      </c>
      <c r="E2" t="inlineStr">
        <is>
          <t>Boston Celtics</t>
        </is>
      </c>
      <c r="F2" t="inlineStr">
        <is>
          <t>New York Knicks</t>
        </is>
      </c>
      <c r="G2" t="n">
        <v>132</v>
      </c>
      <c r="H2" t="n">
        <v>109</v>
      </c>
      <c r="I2" t="inlineStr">
        <is>
          <t>Boston Celtics</t>
        </is>
      </c>
      <c r="J2" t="inlineStr">
        <is>
          <t>New York Knicks</t>
        </is>
      </c>
      <c r="K2" t="inlineStr">
        <is>
          <t>Yes</t>
        </is>
      </c>
      <c r="L2" t="inlineStr"/>
      <c r="M2" t="inlineStr">
        <is>
          <t>https://fixturedownload.com/download/nba-2024-UTC.csv</t>
        </is>
      </c>
    </row>
    <row r="3">
      <c r="A3" t="n">
        <v>2</v>
      </c>
      <c r="B3" t="n">
        <v>1</v>
      </c>
      <c r="C3" t="inlineStr">
        <is>
          <t>23/10/2024 02:00</t>
        </is>
      </c>
      <c r="D3" t="inlineStr">
        <is>
          <t>Crypto.com Arena</t>
        </is>
      </c>
      <c r="E3" t="inlineStr">
        <is>
          <t>Los Angeles Lakers</t>
        </is>
      </c>
      <c r="F3" t="inlineStr">
        <is>
          <t>Minnesota Timberwolves</t>
        </is>
      </c>
      <c r="G3" t="n">
        <v>110</v>
      </c>
      <c r="H3" t="n">
        <v>103</v>
      </c>
      <c r="I3" t="inlineStr">
        <is>
          <t>Los Angeles Lakers</t>
        </is>
      </c>
      <c r="J3" t="inlineStr">
        <is>
          <t>Minnesota Timberwolves</t>
        </is>
      </c>
      <c r="K3" t="inlineStr">
        <is>
          <t>Yes</t>
        </is>
      </c>
      <c r="L3" t="inlineStr"/>
      <c r="M3" t="inlineStr">
        <is>
          <t>https://fixturedownload.com/download/nba-2024-UTC.csv</t>
        </is>
      </c>
    </row>
    <row r="4">
      <c r="A4" t="n">
        <v>3</v>
      </c>
      <c r="B4" t="n">
        <v>1</v>
      </c>
      <c r="C4" t="inlineStr">
        <is>
          <t>23/10/2024 23:00</t>
        </is>
      </c>
      <c r="D4" t="inlineStr">
        <is>
          <t>Little Caesars Arena</t>
        </is>
      </c>
      <c r="E4" t="inlineStr">
        <is>
          <t>Detroit Pistons</t>
        </is>
      </c>
      <c r="F4" t="inlineStr">
        <is>
          <t>Indiana Pacers</t>
        </is>
      </c>
      <c r="G4" t="n">
        <v>109</v>
      </c>
      <c r="H4" t="n">
        <v>115</v>
      </c>
      <c r="I4" t="inlineStr">
        <is>
          <t>Indiana Pacers</t>
        </is>
      </c>
      <c r="J4" t="inlineStr">
        <is>
          <t>Detroit Pistons</t>
        </is>
      </c>
      <c r="K4" t="inlineStr">
        <is>
          <t>Yes</t>
        </is>
      </c>
      <c r="L4" t="inlineStr"/>
      <c r="M4" t="inlineStr">
        <is>
          <t>https://fixturedownload.com/download/nba-2024-UTC.csv</t>
        </is>
      </c>
    </row>
    <row r="5">
      <c r="A5" t="n">
        <v>4</v>
      </c>
      <c r="B5" t="n">
        <v>1</v>
      </c>
      <c r="C5" t="inlineStr">
        <is>
          <t>23/10/2024 23:30</t>
        </is>
      </c>
      <c r="D5" t="inlineStr">
        <is>
          <t>State Farm Arena</t>
        </is>
      </c>
      <c r="E5" t="inlineStr">
        <is>
          <t>Atlanta Hawks</t>
        </is>
      </c>
      <c r="F5" t="inlineStr">
        <is>
          <t>Brooklyn Nets</t>
        </is>
      </c>
      <c r="G5" t="n">
        <v>120</v>
      </c>
      <c r="H5" t="n">
        <v>116</v>
      </c>
      <c r="I5" t="inlineStr">
        <is>
          <t>Atlanta Hawks</t>
        </is>
      </c>
      <c r="J5" t="inlineStr">
        <is>
          <t>Brooklyn Nets</t>
        </is>
      </c>
      <c r="K5" t="inlineStr">
        <is>
          <t>Yes</t>
        </is>
      </c>
      <c r="L5" t="inlineStr"/>
      <c r="M5" t="inlineStr">
        <is>
          <t>https://fixturedownload.com/download/nba-2024-UTC.csv</t>
        </is>
      </c>
    </row>
    <row r="6">
      <c r="A6" t="n">
        <v>5</v>
      </c>
      <c r="B6" t="n">
        <v>1</v>
      </c>
      <c r="C6" t="inlineStr">
        <is>
          <t>23/10/2024 23:30</t>
        </is>
      </c>
      <c r="D6" t="inlineStr">
        <is>
          <t>Kaseya Center</t>
        </is>
      </c>
      <c r="E6" t="inlineStr">
        <is>
          <t>Miami Heat</t>
        </is>
      </c>
      <c r="F6" t="inlineStr">
        <is>
          <t>Orlando Magic</t>
        </is>
      </c>
      <c r="G6" t="n">
        <v>97</v>
      </c>
      <c r="H6" t="n">
        <v>116</v>
      </c>
      <c r="I6" t="inlineStr">
        <is>
          <t>Orlando Magic</t>
        </is>
      </c>
      <c r="J6" t="inlineStr">
        <is>
          <t>Miami Heat</t>
        </is>
      </c>
      <c r="K6" t="inlineStr">
        <is>
          <t>Yes</t>
        </is>
      </c>
      <c r="L6" t="inlineStr"/>
      <c r="M6" t="inlineStr">
        <is>
          <t>https://fixturedownload.com/download/nba-2024-UTC.csv</t>
        </is>
      </c>
    </row>
    <row r="7">
      <c r="A7" t="n">
        <v>6</v>
      </c>
      <c r="B7" t="n">
        <v>1</v>
      </c>
      <c r="C7" t="inlineStr">
        <is>
          <t>23/10/2024 23:30</t>
        </is>
      </c>
      <c r="D7" t="inlineStr">
        <is>
          <t>Wells Fargo Center</t>
        </is>
      </c>
      <c r="E7" t="inlineStr">
        <is>
          <t>Philadelphia 76ers</t>
        </is>
      </c>
      <c r="F7" t="inlineStr">
        <is>
          <t>Milwaukee Bucks</t>
        </is>
      </c>
      <c r="G7" t="n">
        <v>109</v>
      </c>
      <c r="H7" t="n">
        <v>124</v>
      </c>
      <c r="I7" t="inlineStr">
        <is>
          <t>Milwaukee Bucks</t>
        </is>
      </c>
      <c r="J7" t="inlineStr">
        <is>
          <t>Philadelphia 76ers</t>
        </is>
      </c>
      <c r="K7" t="inlineStr">
        <is>
          <t>Yes</t>
        </is>
      </c>
      <c r="L7" t="inlineStr"/>
      <c r="M7" t="inlineStr">
        <is>
          <t>https://fixturedownload.com/download/nba-2024-UTC.csv</t>
        </is>
      </c>
    </row>
    <row r="8">
      <c r="A8" t="n">
        <v>7</v>
      </c>
      <c r="B8" t="n">
        <v>1</v>
      </c>
      <c r="C8" t="inlineStr">
        <is>
          <t>23/10/2024 23:30</t>
        </is>
      </c>
      <c r="D8" t="inlineStr">
        <is>
          <t>Scotiabank Arena</t>
        </is>
      </c>
      <c r="E8" t="inlineStr">
        <is>
          <t>Toronto Raptors</t>
        </is>
      </c>
      <c r="F8" t="inlineStr">
        <is>
          <t>Cleveland Cavaliers</t>
        </is>
      </c>
      <c r="G8" t="n">
        <v>106</v>
      </c>
      <c r="H8" t="n">
        <v>136</v>
      </c>
      <c r="I8" t="inlineStr">
        <is>
          <t>Cleveland Cavaliers</t>
        </is>
      </c>
      <c r="J8" t="inlineStr">
        <is>
          <t>Toronto Raptors</t>
        </is>
      </c>
      <c r="K8" t="inlineStr">
        <is>
          <t>Yes</t>
        </is>
      </c>
      <c r="L8" t="inlineStr"/>
      <c r="M8" t="inlineStr">
        <is>
          <t>https://fixturedownload.com/download/nba-2024-UTC.csv</t>
        </is>
      </c>
    </row>
    <row r="9">
      <c r="A9" t="n">
        <v>8</v>
      </c>
      <c r="B9" t="n">
        <v>1</v>
      </c>
      <c r="C9" t="inlineStr">
        <is>
          <t>24/10/2024 00:00</t>
        </is>
      </c>
      <c r="D9" t="inlineStr">
        <is>
          <t>Toyota Center</t>
        </is>
      </c>
      <c r="E9" t="inlineStr">
        <is>
          <t>Houston Rockets</t>
        </is>
      </c>
      <c r="F9" t="inlineStr">
        <is>
          <t>Charlotte Hornets</t>
        </is>
      </c>
      <c r="G9" t="n">
        <v>105</v>
      </c>
      <c r="H9" t="n">
        <v>110</v>
      </c>
      <c r="I9" t="inlineStr">
        <is>
          <t>Charlotte Hornets</t>
        </is>
      </c>
      <c r="J9" t="inlineStr">
        <is>
          <t>Houston Rockets</t>
        </is>
      </c>
      <c r="K9" t="inlineStr">
        <is>
          <t>Yes</t>
        </is>
      </c>
      <c r="L9" t="inlineStr"/>
      <c r="M9" t="inlineStr">
        <is>
          <t>https://fixturedownload.com/download/nba-2024-UTC.csv</t>
        </is>
      </c>
    </row>
    <row r="10">
      <c r="A10" t="n">
        <v>9</v>
      </c>
      <c r="B10" t="n">
        <v>1</v>
      </c>
      <c r="C10" t="inlineStr">
        <is>
          <t>24/10/2024 00:00</t>
        </is>
      </c>
      <c r="D10" t="inlineStr">
        <is>
          <t>Smoothie King Center</t>
        </is>
      </c>
      <c r="E10" t="inlineStr">
        <is>
          <t>New Orleans Pelicans</t>
        </is>
      </c>
      <c r="F10" t="inlineStr">
        <is>
          <t>Chicago Bulls</t>
        </is>
      </c>
      <c r="G10" t="n">
        <v>123</v>
      </c>
      <c r="H10" t="n">
        <v>111</v>
      </c>
      <c r="I10" t="inlineStr">
        <is>
          <t>New Orleans Pelicans</t>
        </is>
      </c>
      <c r="J10" t="inlineStr">
        <is>
          <t>Chicago Bulls</t>
        </is>
      </c>
      <c r="K10" t="inlineStr">
        <is>
          <t>Yes</t>
        </is>
      </c>
      <c r="L10" t="inlineStr"/>
      <c r="M10" t="inlineStr">
        <is>
          <t>https://fixturedownload.com/download/nba-2024-UTC.csv</t>
        </is>
      </c>
    </row>
    <row r="11">
      <c r="A11" t="n">
        <v>10</v>
      </c>
      <c r="B11" t="n">
        <v>1</v>
      </c>
      <c r="C11" t="inlineStr">
        <is>
          <t>24/10/2024 01:00</t>
        </is>
      </c>
      <c r="D11" t="inlineStr">
        <is>
          <t>Delta Center</t>
        </is>
      </c>
      <c r="E11" t="inlineStr">
        <is>
          <t>Utah Jazz</t>
        </is>
      </c>
      <c r="F11" t="inlineStr">
        <is>
          <t>Memphis Grizzlies</t>
        </is>
      </c>
      <c r="G11" t="n">
        <v>124</v>
      </c>
      <c r="H11" t="n">
        <v>126</v>
      </c>
      <c r="I11" t="inlineStr">
        <is>
          <t>Memphis Grizzlies</t>
        </is>
      </c>
      <c r="J11" t="inlineStr">
        <is>
          <t>Utah Jazz</t>
        </is>
      </c>
      <c r="K11" t="inlineStr">
        <is>
          <t>Yes</t>
        </is>
      </c>
      <c r="L11" t="inlineStr"/>
      <c r="M11" t="inlineStr">
        <is>
          <t>https://fixturedownload.com/download/nba-2024-UTC.csv</t>
        </is>
      </c>
    </row>
    <row r="12">
      <c r="A12" t="n">
        <v>11</v>
      </c>
      <c r="B12" t="n">
        <v>1</v>
      </c>
      <c r="C12" t="inlineStr">
        <is>
          <t>24/10/2024 02:00</t>
        </is>
      </c>
      <c r="D12" t="inlineStr">
        <is>
          <t>Intuit Dome</t>
        </is>
      </c>
      <c r="E12" t="inlineStr">
        <is>
          <t>LA Clippers</t>
        </is>
      </c>
      <c r="F12" t="inlineStr">
        <is>
          <t>Phoenix Suns</t>
        </is>
      </c>
      <c r="G12" t="n">
        <v>113</v>
      </c>
      <c r="H12" t="n">
        <v>116</v>
      </c>
      <c r="I12" t="inlineStr">
        <is>
          <t>Phoenix Suns</t>
        </is>
      </c>
      <c r="J12" t="inlineStr">
        <is>
          <t>LA Clippers</t>
        </is>
      </c>
      <c r="K12" t="inlineStr">
        <is>
          <t>Yes</t>
        </is>
      </c>
      <c r="L12" t="inlineStr"/>
      <c r="M12" t="inlineStr">
        <is>
          <t>https://fixturedownload.com/download/nba-2024-UTC.csv</t>
        </is>
      </c>
    </row>
    <row r="13">
      <c r="A13" t="n">
        <v>12</v>
      </c>
      <c r="B13" t="n">
        <v>1</v>
      </c>
      <c r="C13" t="inlineStr">
        <is>
          <t>24/10/2024 02:00</t>
        </is>
      </c>
      <c r="D13" t="inlineStr">
        <is>
          <t>Moda Center</t>
        </is>
      </c>
      <c r="E13" t="inlineStr">
        <is>
          <t>Portland Trail Blazers</t>
        </is>
      </c>
      <c r="F13" t="inlineStr">
        <is>
          <t>Golden State Warriors</t>
        </is>
      </c>
      <c r="G13" t="n">
        <v>104</v>
      </c>
      <c r="H13" t="n">
        <v>140</v>
      </c>
      <c r="I13" t="inlineStr">
        <is>
          <t>Golden State Warriors</t>
        </is>
      </c>
      <c r="J13" t="inlineStr">
        <is>
          <t>Portland Trail Blazers</t>
        </is>
      </c>
      <c r="K13" t="inlineStr">
        <is>
          <t>Yes</t>
        </is>
      </c>
      <c r="L13" t="inlineStr"/>
      <c r="M13" t="inlineStr">
        <is>
          <t>https://fixturedownload.com/download/nba-2024-UTC.csv</t>
        </is>
      </c>
    </row>
    <row r="14">
      <c r="A14" t="n">
        <v>13</v>
      </c>
      <c r="B14" t="n">
        <v>1</v>
      </c>
      <c r="C14" t="inlineStr">
        <is>
          <t>24/10/2024 23:00</t>
        </is>
      </c>
      <c r="D14" t="inlineStr">
        <is>
          <t>Capital One Arena</t>
        </is>
      </c>
      <c r="E14" t="inlineStr">
        <is>
          <t>Washington Wizards</t>
        </is>
      </c>
      <c r="F14" t="inlineStr">
        <is>
          <t>Boston Celtics</t>
        </is>
      </c>
      <c r="G14" t="n">
        <v>102</v>
      </c>
      <c r="H14" t="n">
        <v>122</v>
      </c>
      <c r="I14" t="inlineStr">
        <is>
          <t>Boston Celtics</t>
        </is>
      </c>
      <c r="J14" t="inlineStr">
        <is>
          <t>Washington Wizards</t>
        </is>
      </c>
      <c r="K14" t="inlineStr">
        <is>
          <t>Yes</t>
        </is>
      </c>
      <c r="L14" t="inlineStr"/>
      <c r="M14" t="inlineStr">
        <is>
          <t>https://fixturedownload.com/download/nba-2024-UTC.csv</t>
        </is>
      </c>
    </row>
    <row r="15">
      <c r="A15" t="n">
        <v>14</v>
      </c>
      <c r="B15" t="n">
        <v>1</v>
      </c>
      <c r="C15" t="inlineStr">
        <is>
          <t>24/10/2024 23:30</t>
        </is>
      </c>
      <c r="D15" t="inlineStr">
        <is>
          <t>American Airlines Center</t>
        </is>
      </c>
      <c r="E15" t="inlineStr">
        <is>
          <t>Dallas Mavericks</t>
        </is>
      </c>
      <c r="F15" t="inlineStr">
        <is>
          <t>San Antonio Spurs</t>
        </is>
      </c>
      <c r="G15" t="n">
        <v>120</v>
      </c>
      <c r="H15" t="n">
        <v>109</v>
      </c>
      <c r="I15" t="inlineStr">
        <is>
          <t>Dallas Mavericks</t>
        </is>
      </c>
      <c r="J15" t="inlineStr">
        <is>
          <t>San Antonio Spurs</t>
        </is>
      </c>
      <c r="K15" t="inlineStr">
        <is>
          <t>Yes</t>
        </is>
      </c>
      <c r="L15" t="inlineStr"/>
      <c r="M15" t="inlineStr">
        <is>
          <t>https://fixturedownload.com/download/nba-2024-UTC.csv</t>
        </is>
      </c>
    </row>
    <row r="16">
      <c r="A16" t="n">
        <v>15</v>
      </c>
      <c r="B16" t="n">
        <v>1</v>
      </c>
      <c r="C16" t="inlineStr">
        <is>
          <t>25/10/2024 02:00</t>
        </is>
      </c>
      <c r="D16" t="inlineStr">
        <is>
          <t>Ball Arena</t>
        </is>
      </c>
      <c r="E16" t="inlineStr">
        <is>
          <t>Denver Nuggets</t>
        </is>
      </c>
      <c r="F16" t="inlineStr">
        <is>
          <t>Oklahoma City Thunder</t>
        </is>
      </c>
      <c r="G16" t="n">
        <v>87</v>
      </c>
      <c r="H16" t="n">
        <v>102</v>
      </c>
      <c r="I16" t="inlineStr">
        <is>
          <t>Oklahoma City Thunder</t>
        </is>
      </c>
      <c r="J16" t="inlineStr">
        <is>
          <t>Denver Nuggets</t>
        </is>
      </c>
      <c r="K16" t="inlineStr">
        <is>
          <t>Yes</t>
        </is>
      </c>
      <c r="L16" t="inlineStr"/>
      <c r="M16" t="inlineStr">
        <is>
          <t>https://fixturedownload.com/download/nba-2024-UTC.csv</t>
        </is>
      </c>
    </row>
    <row r="17">
      <c r="A17" t="n">
        <v>16</v>
      </c>
      <c r="B17" t="n">
        <v>1</v>
      </c>
      <c r="C17" t="inlineStr">
        <is>
          <t>25/10/2024 02:00</t>
        </is>
      </c>
      <c r="D17" t="inlineStr">
        <is>
          <t>Golden 1 Center</t>
        </is>
      </c>
      <c r="E17" t="inlineStr">
        <is>
          <t>Sacramento Kings</t>
        </is>
      </c>
      <c r="F17" t="inlineStr">
        <is>
          <t>Minnesota Timberwolves</t>
        </is>
      </c>
      <c r="G17" t="n">
        <v>115</v>
      </c>
      <c r="H17" t="n">
        <v>117</v>
      </c>
      <c r="I17" t="inlineStr">
        <is>
          <t>Minnesota Timberwolves</t>
        </is>
      </c>
      <c r="J17" t="inlineStr">
        <is>
          <t>Sacramento Kings</t>
        </is>
      </c>
      <c r="K17" t="inlineStr">
        <is>
          <t>Yes</t>
        </is>
      </c>
      <c r="L17" t="inlineStr"/>
      <c r="M17" t="inlineStr">
        <is>
          <t>https://fixturedownload.com/download/nba-2024-UTC.csv</t>
        </is>
      </c>
    </row>
    <row r="18">
      <c r="A18" t="n">
        <v>17</v>
      </c>
      <c r="B18" t="n">
        <v>1</v>
      </c>
      <c r="C18" t="inlineStr">
        <is>
          <t>25/10/2024 23:00</t>
        </is>
      </c>
      <c r="D18" t="inlineStr">
        <is>
          <t>Kia Center</t>
        </is>
      </c>
      <c r="E18" t="inlineStr">
        <is>
          <t>Orlando Magic</t>
        </is>
      </c>
      <c r="F18" t="inlineStr">
        <is>
          <t>Brooklyn Nets</t>
        </is>
      </c>
      <c r="G18" t="n">
        <v>116</v>
      </c>
      <c r="H18" t="n">
        <v>101</v>
      </c>
      <c r="I18" t="inlineStr">
        <is>
          <t>Orlando Magic</t>
        </is>
      </c>
      <c r="J18" t="inlineStr">
        <is>
          <t>Brooklyn Nets</t>
        </is>
      </c>
      <c r="K18" t="inlineStr">
        <is>
          <t>Yes</t>
        </is>
      </c>
      <c r="L18" t="inlineStr"/>
      <c r="M18" t="inlineStr">
        <is>
          <t>https://fixturedownload.com/download/nba-2024-UTC.csv</t>
        </is>
      </c>
    </row>
    <row r="19">
      <c r="A19" t="n">
        <v>18</v>
      </c>
      <c r="B19" t="n">
        <v>1</v>
      </c>
      <c r="C19" t="inlineStr">
        <is>
          <t>25/10/2024 23:00</t>
        </is>
      </c>
      <c r="D19" t="inlineStr">
        <is>
          <t>Scotiabank Arena</t>
        </is>
      </c>
      <c r="E19" t="inlineStr">
        <is>
          <t>Toronto Raptors</t>
        </is>
      </c>
      <c r="F19" t="inlineStr">
        <is>
          <t>Philadelphia 76ers</t>
        </is>
      </c>
      <c r="G19" t="n">
        <v>115</v>
      </c>
      <c r="H19" t="n">
        <v>107</v>
      </c>
      <c r="I19" t="inlineStr">
        <is>
          <t>Toronto Raptors</t>
        </is>
      </c>
      <c r="J19" t="inlineStr">
        <is>
          <t>Philadelphia 76ers</t>
        </is>
      </c>
      <c r="K19" t="inlineStr">
        <is>
          <t>Yes</t>
        </is>
      </c>
      <c r="L19" t="inlineStr"/>
      <c r="M19" t="inlineStr">
        <is>
          <t>https://fixturedownload.com/download/nba-2024-UTC.csv</t>
        </is>
      </c>
    </row>
    <row r="20">
      <c r="A20" t="n">
        <v>19</v>
      </c>
      <c r="B20" t="n">
        <v>1</v>
      </c>
      <c r="C20" t="inlineStr">
        <is>
          <t>25/10/2024 23:30</t>
        </is>
      </c>
      <c r="D20" t="inlineStr">
        <is>
          <t>State Farm Arena</t>
        </is>
      </c>
      <c r="E20" t="inlineStr">
        <is>
          <t>Atlanta Hawks</t>
        </is>
      </c>
      <c r="F20" t="inlineStr">
        <is>
          <t>Charlotte Hornets</t>
        </is>
      </c>
      <c r="G20" t="n">
        <v>125</v>
      </c>
      <c r="H20" t="n">
        <v>120</v>
      </c>
      <c r="I20" t="inlineStr">
        <is>
          <t>Atlanta Hawks</t>
        </is>
      </c>
      <c r="J20" t="inlineStr">
        <is>
          <t>Charlotte Hornets</t>
        </is>
      </c>
      <c r="K20" t="inlineStr">
        <is>
          <t>Yes</t>
        </is>
      </c>
      <c r="L20" t="inlineStr"/>
      <c r="M20" t="inlineStr">
        <is>
          <t>https://fixturedownload.com/download/nba-2024-UTC.csv</t>
        </is>
      </c>
    </row>
    <row r="21">
      <c r="A21" t="n">
        <v>20</v>
      </c>
      <c r="B21" t="n">
        <v>1</v>
      </c>
      <c r="C21" t="inlineStr">
        <is>
          <t>25/10/2024 23:30</t>
        </is>
      </c>
      <c r="D21" t="inlineStr">
        <is>
          <t>Rocket Arena</t>
        </is>
      </c>
      <c r="E21" t="inlineStr">
        <is>
          <t>Cleveland Cavaliers</t>
        </is>
      </c>
      <c r="F21" t="inlineStr">
        <is>
          <t>Detroit Pistons</t>
        </is>
      </c>
      <c r="G21" t="n">
        <v>113</v>
      </c>
      <c r="H21" t="n">
        <v>101</v>
      </c>
      <c r="I21" t="inlineStr">
        <is>
          <t>Cleveland Cavaliers</t>
        </is>
      </c>
      <c r="J21" t="inlineStr">
        <is>
          <t>Detroit Pistons</t>
        </is>
      </c>
      <c r="K21" t="inlineStr">
        <is>
          <t>Yes</t>
        </is>
      </c>
      <c r="L21" t="inlineStr"/>
      <c r="M21" t="inlineStr">
        <is>
          <t>https://fixturedownload.com/download/nba-2024-UTC.csv</t>
        </is>
      </c>
    </row>
    <row r="22">
      <c r="A22" t="n">
        <v>21</v>
      </c>
      <c r="B22" t="n">
        <v>1</v>
      </c>
      <c r="C22" t="inlineStr">
        <is>
          <t>25/10/2024 23:30</t>
        </is>
      </c>
      <c r="D22" t="inlineStr">
        <is>
          <t>Madison Square Garden</t>
        </is>
      </c>
      <c r="E22" t="inlineStr">
        <is>
          <t>New York Knicks</t>
        </is>
      </c>
      <c r="F22" t="inlineStr">
        <is>
          <t>Indiana Pacers</t>
        </is>
      </c>
      <c r="G22" t="n">
        <v>123</v>
      </c>
      <c r="H22" t="n">
        <v>98</v>
      </c>
      <c r="I22" t="inlineStr">
        <is>
          <t>New York Knicks</t>
        </is>
      </c>
      <c r="J22" t="inlineStr">
        <is>
          <t>Indiana Pacers</t>
        </is>
      </c>
      <c r="K22" t="inlineStr">
        <is>
          <t>Yes</t>
        </is>
      </c>
      <c r="L22" t="inlineStr"/>
      <c r="M22" t="inlineStr">
        <is>
          <t>https://fixturedownload.com/download/nba-2024-UTC.csv</t>
        </is>
      </c>
    </row>
    <row r="23">
      <c r="A23" t="n">
        <v>22</v>
      </c>
      <c r="B23" t="n">
        <v>1</v>
      </c>
      <c r="C23" t="inlineStr">
        <is>
          <t>26/10/2024 00:00</t>
        </is>
      </c>
      <c r="D23" t="inlineStr">
        <is>
          <t>Toyota Center</t>
        </is>
      </c>
      <c r="E23" t="inlineStr">
        <is>
          <t>Houston Rockets</t>
        </is>
      </c>
      <c r="F23" t="inlineStr">
        <is>
          <t>Memphis Grizzlies</t>
        </is>
      </c>
      <c r="G23" t="n">
        <v>128</v>
      </c>
      <c r="H23" t="n">
        <v>108</v>
      </c>
      <c r="I23" t="inlineStr">
        <is>
          <t>Houston Rockets</t>
        </is>
      </c>
      <c r="J23" t="inlineStr">
        <is>
          <t>Memphis Grizzlies</t>
        </is>
      </c>
      <c r="K23" t="inlineStr">
        <is>
          <t>Yes</t>
        </is>
      </c>
      <c r="L23" t="inlineStr"/>
      <c r="M23" t="inlineStr">
        <is>
          <t>https://fixturedownload.com/download/nba-2024-UTC.csv</t>
        </is>
      </c>
    </row>
    <row r="24">
      <c r="A24" t="n">
        <v>23</v>
      </c>
      <c r="B24" t="n">
        <v>1</v>
      </c>
      <c r="C24" t="inlineStr">
        <is>
          <t>26/10/2024 00:00</t>
        </is>
      </c>
      <c r="D24" t="inlineStr">
        <is>
          <t>Fiserv Forum</t>
        </is>
      </c>
      <c r="E24" t="inlineStr">
        <is>
          <t>Milwaukee Bucks</t>
        </is>
      </c>
      <c r="F24" t="inlineStr">
        <is>
          <t>Chicago Bulls</t>
        </is>
      </c>
      <c r="G24" t="n">
        <v>122</v>
      </c>
      <c r="H24" t="n">
        <v>133</v>
      </c>
      <c r="I24" t="inlineStr">
        <is>
          <t>Chicago Bulls</t>
        </is>
      </c>
      <c r="J24" t="inlineStr">
        <is>
          <t>Milwaukee Bucks</t>
        </is>
      </c>
      <c r="K24" t="inlineStr">
        <is>
          <t>Yes</t>
        </is>
      </c>
      <c r="L24" t="inlineStr"/>
      <c r="M24" t="inlineStr">
        <is>
          <t>https://fixturedownload.com/download/nba-2024-UTC.csv</t>
        </is>
      </c>
    </row>
    <row r="25">
      <c r="A25" t="n">
        <v>24</v>
      </c>
      <c r="B25" t="n">
        <v>1</v>
      </c>
      <c r="C25" t="inlineStr">
        <is>
          <t>26/10/2024 01:30</t>
        </is>
      </c>
      <c r="D25" t="inlineStr">
        <is>
          <t>Delta Center</t>
        </is>
      </c>
      <c r="E25" t="inlineStr">
        <is>
          <t>Utah Jazz</t>
        </is>
      </c>
      <c r="F25" t="inlineStr">
        <is>
          <t>Golden State Warriors</t>
        </is>
      </c>
      <c r="G25" t="n">
        <v>86</v>
      </c>
      <c r="H25" t="n">
        <v>127</v>
      </c>
      <c r="I25" t="inlineStr">
        <is>
          <t>Golden State Warriors</t>
        </is>
      </c>
      <c r="J25" t="inlineStr">
        <is>
          <t>Utah Jazz</t>
        </is>
      </c>
      <c r="K25" t="inlineStr">
        <is>
          <t>Yes</t>
        </is>
      </c>
      <c r="L25" t="inlineStr"/>
      <c r="M25" t="inlineStr">
        <is>
          <t>https://fixturedownload.com/download/nba-2024-UTC.csv</t>
        </is>
      </c>
    </row>
    <row r="26">
      <c r="A26" t="n">
        <v>25</v>
      </c>
      <c r="B26" t="n">
        <v>1</v>
      </c>
      <c r="C26" t="inlineStr">
        <is>
          <t>26/10/2024 02:00</t>
        </is>
      </c>
      <c r="D26" t="inlineStr">
        <is>
          <t>Crypto.com Arena</t>
        </is>
      </c>
      <c r="E26" t="inlineStr">
        <is>
          <t>Los Angeles Lakers</t>
        </is>
      </c>
      <c r="F26" t="inlineStr">
        <is>
          <t>Phoenix Suns</t>
        </is>
      </c>
      <c r="G26" t="n">
        <v>123</v>
      </c>
      <c r="H26" t="n">
        <v>116</v>
      </c>
      <c r="I26" t="inlineStr">
        <is>
          <t>Los Angeles Lakers</t>
        </is>
      </c>
      <c r="J26" t="inlineStr">
        <is>
          <t>Phoenix Suns</t>
        </is>
      </c>
      <c r="K26" t="inlineStr">
        <is>
          <t>Yes</t>
        </is>
      </c>
      <c r="L26" t="inlineStr"/>
      <c r="M26" t="inlineStr">
        <is>
          <t>https://fixturedownload.com/download/nba-2024-UTC.csv</t>
        </is>
      </c>
    </row>
    <row r="27">
      <c r="A27" t="n">
        <v>26</v>
      </c>
      <c r="B27" t="n">
        <v>1</v>
      </c>
      <c r="C27" t="inlineStr">
        <is>
          <t>26/10/2024 02:00</t>
        </is>
      </c>
      <c r="D27" t="inlineStr">
        <is>
          <t>Moda Center</t>
        </is>
      </c>
      <c r="E27" t="inlineStr">
        <is>
          <t>Portland Trail Blazers</t>
        </is>
      </c>
      <c r="F27" t="inlineStr">
        <is>
          <t>New Orleans Pelicans</t>
        </is>
      </c>
      <c r="G27" t="n">
        <v>103</v>
      </c>
      <c r="H27" t="n">
        <v>105</v>
      </c>
      <c r="I27" t="inlineStr">
        <is>
          <t>New Orleans Pelicans</t>
        </is>
      </c>
      <c r="J27" t="inlineStr">
        <is>
          <t>Portland Trail Blazers</t>
        </is>
      </c>
      <c r="K27" t="inlineStr">
        <is>
          <t>Yes</t>
        </is>
      </c>
      <c r="L27" t="inlineStr"/>
      <c r="M27" t="inlineStr">
        <is>
          <t>https://fixturedownload.com/download/nba-2024-UTC.csv</t>
        </is>
      </c>
    </row>
    <row r="28">
      <c r="A28" t="n">
        <v>27</v>
      </c>
      <c r="B28" t="n">
        <v>1</v>
      </c>
      <c r="C28" t="inlineStr">
        <is>
          <t>26/10/2024 21:00</t>
        </is>
      </c>
      <c r="D28" t="inlineStr">
        <is>
          <t>Ball Arena</t>
        </is>
      </c>
      <c r="E28" t="inlineStr">
        <is>
          <t>Denver Nuggets</t>
        </is>
      </c>
      <c r="F28" t="inlineStr">
        <is>
          <t>LA Clippers</t>
        </is>
      </c>
      <c r="G28" t="n">
        <v>104</v>
      </c>
      <c r="H28" t="n">
        <v>109</v>
      </c>
      <c r="I28" t="inlineStr">
        <is>
          <t>LA Clippers</t>
        </is>
      </c>
      <c r="J28" t="inlineStr">
        <is>
          <t>Denver Nuggets</t>
        </is>
      </c>
      <c r="K28" t="inlineStr">
        <is>
          <t>Yes</t>
        </is>
      </c>
      <c r="L28" t="inlineStr"/>
      <c r="M28" t="inlineStr">
        <is>
          <t>https://fixturedownload.com/download/nba-2024-UTC.csv</t>
        </is>
      </c>
    </row>
    <row r="29">
      <c r="A29" t="n">
        <v>28</v>
      </c>
      <c r="B29" t="n">
        <v>1</v>
      </c>
      <c r="C29" t="inlineStr">
        <is>
          <t>26/10/2024 23:00</t>
        </is>
      </c>
      <c r="D29" t="inlineStr">
        <is>
          <t>Spectrum Center</t>
        </is>
      </c>
      <c r="E29" t="inlineStr">
        <is>
          <t>Charlotte Hornets</t>
        </is>
      </c>
      <c r="F29" t="inlineStr">
        <is>
          <t>Miami Heat</t>
        </is>
      </c>
      <c r="G29" t="n">
        <v>106</v>
      </c>
      <c r="H29" t="n">
        <v>114</v>
      </c>
      <c r="I29" t="inlineStr">
        <is>
          <t>Miami Heat</t>
        </is>
      </c>
      <c r="J29" t="inlineStr">
        <is>
          <t>Charlotte Hornets</t>
        </is>
      </c>
      <c r="K29" t="inlineStr">
        <is>
          <t>Yes</t>
        </is>
      </c>
      <c r="L29" t="inlineStr"/>
      <c r="M29" t="inlineStr">
        <is>
          <t>https://fixturedownload.com/download/nba-2024-UTC.csv</t>
        </is>
      </c>
    </row>
    <row r="30">
      <c r="A30" t="n">
        <v>29</v>
      </c>
      <c r="B30" t="n">
        <v>1</v>
      </c>
      <c r="C30" t="inlineStr">
        <is>
          <t>26/10/2024 23:00</t>
        </is>
      </c>
      <c r="D30" t="inlineStr">
        <is>
          <t>Little Caesars Arena</t>
        </is>
      </c>
      <c r="E30" t="inlineStr">
        <is>
          <t>Detroit Pistons</t>
        </is>
      </c>
      <c r="F30" t="inlineStr">
        <is>
          <t>Boston Celtics</t>
        </is>
      </c>
      <c r="G30" t="n">
        <v>118</v>
      </c>
      <c r="H30" t="n">
        <v>124</v>
      </c>
      <c r="I30" t="inlineStr">
        <is>
          <t>Boston Celtics</t>
        </is>
      </c>
      <c r="J30" t="inlineStr">
        <is>
          <t>Detroit Pistons</t>
        </is>
      </c>
      <c r="K30" t="inlineStr">
        <is>
          <t>Yes</t>
        </is>
      </c>
      <c r="L30" t="inlineStr"/>
      <c r="M30" t="inlineStr">
        <is>
          <t>https://fixturedownload.com/download/nba-2024-UTC.csv</t>
        </is>
      </c>
    </row>
    <row r="31">
      <c r="A31" t="n">
        <v>30</v>
      </c>
      <c r="B31" t="n">
        <v>1</v>
      </c>
      <c r="C31" t="inlineStr">
        <is>
          <t>26/10/2024 23:00</t>
        </is>
      </c>
      <c r="D31" t="inlineStr">
        <is>
          <t>Capital One Arena</t>
        </is>
      </c>
      <c r="E31" t="inlineStr">
        <is>
          <t>Washington Wizards</t>
        </is>
      </c>
      <c r="F31" t="inlineStr">
        <is>
          <t>Cleveland Cavaliers</t>
        </is>
      </c>
      <c r="G31" t="n">
        <v>116</v>
      </c>
      <c r="H31" t="n">
        <v>135</v>
      </c>
      <c r="I31" t="inlineStr">
        <is>
          <t>Cleveland Cavaliers</t>
        </is>
      </c>
      <c r="J31" t="inlineStr">
        <is>
          <t>Washington Wizards</t>
        </is>
      </c>
      <c r="K31" t="inlineStr">
        <is>
          <t>Yes</t>
        </is>
      </c>
      <c r="L31" t="inlineStr"/>
      <c r="M31" t="inlineStr">
        <is>
          <t>https://fixturedownload.com/download/nba-2024-UTC.csv</t>
        </is>
      </c>
    </row>
    <row r="32">
      <c r="A32" t="n">
        <v>31</v>
      </c>
      <c r="B32" t="n">
        <v>1</v>
      </c>
      <c r="C32" t="inlineStr">
        <is>
          <t>27/10/2024 00:00</t>
        </is>
      </c>
      <c r="D32" t="inlineStr">
        <is>
          <t>United Center</t>
        </is>
      </c>
      <c r="E32" t="inlineStr">
        <is>
          <t>Chicago Bulls</t>
        </is>
      </c>
      <c r="F32" t="inlineStr">
        <is>
          <t>Oklahoma City Thunder</t>
        </is>
      </c>
      <c r="G32" t="n">
        <v>95</v>
      </c>
      <c r="H32" t="n">
        <v>114</v>
      </c>
      <c r="I32" t="inlineStr">
        <is>
          <t>Oklahoma City Thunder</t>
        </is>
      </c>
      <c r="J32" t="inlineStr">
        <is>
          <t>Chicago Bulls</t>
        </is>
      </c>
      <c r="K32" t="inlineStr">
        <is>
          <t>Yes</t>
        </is>
      </c>
      <c r="L32" t="inlineStr"/>
      <c r="M32" t="inlineStr">
        <is>
          <t>https://fixturedownload.com/download/nba-2024-UTC.csv</t>
        </is>
      </c>
    </row>
    <row r="33">
      <c r="A33" t="n">
        <v>32</v>
      </c>
      <c r="B33" t="n">
        <v>1</v>
      </c>
      <c r="C33" t="inlineStr">
        <is>
          <t>27/10/2024 00:00</t>
        </is>
      </c>
      <c r="D33" t="inlineStr">
        <is>
          <t>FedExForum</t>
        </is>
      </c>
      <c r="E33" t="inlineStr">
        <is>
          <t>Memphis Grizzlies</t>
        </is>
      </c>
      <c r="F33" t="inlineStr">
        <is>
          <t>Orlando Magic</t>
        </is>
      </c>
      <c r="G33" t="n">
        <v>124</v>
      </c>
      <c r="H33" t="n">
        <v>111</v>
      </c>
      <c r="I33" t="inlineStr">
        <is>
          <t>Memphis Grizzlies</t>
        </is>
      </c>
      <c r="J33" t="inlineStr">
        <is>
          <t>Orlando Magic</t>
        </is>
      </c>
      <c r="K33" t="inlineStr">
        <is>
          <t>Yes</t>
        </is>
      </c>
      <c r="L33" t="inlineStr"/>
      <c r="M33" t="inlineStr">
        <is>
          <t>https://fixturedownload.com/download/nba-2024-UTC.csv</t>
        </is>
      </c>
    </row>
    <row r="34">
      <c r="A34" t="n">
        <v>33</v>
      </c>
      <c r="B34" t="n">
        <v>1</v>
      </c>
      <c r="C34" t="inlineStr">
        <is>
          <t>27/10/2024 00:00</t>
        </is>
      </c>
      <c r="D34" t="inlineStr">
        <is>
          <t>Target Center</t>
        </is>
      </c>
      <c r="E34" t="inlineStr">
        <is>
          <t>Minnesota Timberwolves</t>
        </is>
      </c>
      <c r="F34" t="inlineStr">
        <is>
          <t>Toronto Raptors</t>
        </is>
      </c>
      <c r="G34" t="n">
        <v>112</v>
      </c>
      <c r="H34" t="n">
        <v>101</v>
      </c>
      <c r="I34" t="inlineStr">
        <is>
          <t>Minnesota Timberwolves</t>
        </is>
      </c>
      <c r="J34" t="inlineStr">
        <is>
          <t>Toronto Raptors</t>
        </is>
      </c>
      <c r="K34" t="inlineStr">
        <is>
          <t>Yes</t>
        </is>
      </c>
      <c r="L34" t="inlineStr"/>
      <c r="M34" t="inlineStr">
        <is>
          <t>https://fixturedownload.com/download/nba-2024-UTC.csv</t>
        </is>
      </c>
    </row>
    <row r="35">
      <c r="A35" t="n">
        <v>34</v>
      </c>
      <c r="B35" t="n">
        <v>1</v>
      </c>
      <c r="C35" t="inlineStr">
        <is>
          <t>27/10/2024 00:30</t>
        </is>
      </c>
      <c r="D35" t="inlineStr">
        <is>
          <t>Frost Bank Center</t>
        </is>
      </c>
      <c r="E35" t="inlineStr">
        <is>
          <t>San Antonio Spurs</t>
        </is>
      </c>
      <c r="F35" t="inlineStr">
        <is>
          <t>Houston Rockets</t>
        </is>
      </c>
      <c r="G35" t="n">
        <v>109</v>
      </c>
      <c r="H35" t="n">
        <v>106</v>
      </c>
      <c r="I35" t="inlineStr">
        <is>
          <t>San Antonio Spurs</t>
        </is>
      </c>
      <c r="J35" t="inlineStr">
        <is>
          <t>Houston Rockets</t>
        </is>
      </c>
      <c r="K35" t="inlineStr">
        <is>
          <t>Yes</t>
        </is>
      </c>
      <c r="L35" t="inlineStr"/>
      <c r="M35" t="inlineStr">
        <is>
          <t>https://fixturedownload.com/download/nba-2024-UTC.csv</t>
        </is>
      </c>
    </row>
    <row r="36">
      <c r="A36" t="n">
        <v>35</v>
      </c>
      <c r="B36" t="n">
        <v>1</v>
      </c>
      <c r="C36" t="inlineStr">
        <is>
          <t>27/10/2024 02:00</t>
        </is>
      </c>
      <c r="D36" t="inlineStr">
        <is>
          <t>PHX Arena</t>
        </is>
      </c>
      <c r="E36" t="inlineStr">
        <is>
          <t>Phoenix Suns</t>
        </is>
      </c>
      <c r="F36" t="inlineStr">
        <is>
          <t>Dallas Mavericks</t>
        </is>
      </c>
      <c r="G36" t="n">
        <v>114</v>
      </c>
      <c r="H36" t="n">
        <v>102</v>
      </c>
      <c r="I36" t="inlineStr">
        <is>
          <t>Phoenix Suns</t>
        </is>
      </c>
      <c r="J36" t="inlineStr">
        <is>
          <t>Dallas Mavericks</t>
        </is>
      </c>
      <c r="K36" t="inlineStr">
        <is>
          <t>Yes</t>
        </is>
      </c>
      <c r="L36" t="inlineStr"/>
      <c r="M36" t="inlineStr">
        <is>
          <t>https://fixturedownload.com/download/nba-2024-UTC.csv</t>
        </is>
      </c>
    </row>
    <row r="37">
      <c r="A37" t="n">
        <v>36</v>
      </c>
      <c r="B37" t="n">
        <v>1</v>
      </c>
      <c r="C37" t="inlineStr">
        <is>
          <t>27/10/2024 02:30</t>
        </is>
      </c>
      <c r="D37" t="inlineStr">
        <is>
          <t>Crypto.com Arena</t>
        </is>
      </c>
      <c r="E37" t="inlineStr">
        <is>
          <t>Los Angeles Lakers</t>
        </is>
      </c>
      <c r="F37" t="inlineStr">
        <is>
          <t>Sacramento Kings</t>
        </is>
      </c>
      <c r="G37" t="n">
        <v>131</v>
      </c>
      <c r="H37" t="n">
        <v>127</v>
      </c>
      <c r="I37" t="inlineStr">
        <is>
          <t>Los Angeles Lakers</t>
        </is>
      </c>
      <c r="J37" t="inlineStr">
        <is>
          <t>Sacramento Kings</t>
        </is>
      </c>
      <c r="K37" t="inlineStr">
        <is>
          <t>Yes</t>
        </is>
      </c>
      <c r="L37" t="inlineStr"/>
      <c r="M37" t="inlineStr">
        <is>
          <t>https://fixturedownload.com/download/nba-2024-UTC.csv</t>
        </is>
      </c>
    </row>
    <row r="38">
      <c r="A38" t="n">
        <v>37</v>
      </c>
      <c r="B38" t="n">
        <v>1</v>
      </c>
      <c r="C38" t="inlineStr">
        <is>
          <t>27/10/2024 19:30</t>
        </is>
      </c>
      <c r="D38" t="inlineStr">
        <is>
          <t>Gainbridge Fieldhouse</t>
        </is>
      </c>
      <c r="E38" t="inlineStr">
        <is>
          <t>Indiana Pacers</t>
        </is>
      </c>
      <c r="F38" t="inlineStr">
        <is>
          <t>Philadelphia 76ers</t>
        </is>
      </c>
      <c r="G38" t="n">
        <v>114</v>
      </c>
      <c r="H38" t="n">
        <v>118</v>
      </c>
      <c r="I38" t="inlineStr">
        <is>
          <t>Philadelphia 76ers</t>
        </is>
      </c>
      <c r="J38" t="inlineStr">
        <is>
          <t>Indiana Pacers</t>
        </is>
      </c>
      <c r="K38" t="inlineStr">
        <is>
          <t>Yes</t>
        </is>
      </c>
      <c r="L38" t="inlineStr"/>
      <c r="M38" t="inlineStr">
        <is>
          <t>https://fixturedownload.com/download/nba-2024-UTC.csv</t>
        </is>
      </c>
    </row>
    <row r="39">
      <c r="A39" t="n">
        <v>38</v>
      </c>
      <c r="B39" t="n">
        <v>1</v>
      </c>
      <c r="C39" t="inlineStr">
        <is>
          <t>27/10/2024 22:00</t>
        </is>
      </c>
      <c r="D39" t="inlineStr">
        <is>
          <t>Barclays Center</t>
        </is>
      </c>
      <c r="E39" t="inlineStr">
        <is>
          <t>Brooklyn Nets</t>
        </is>
      </c>
      <c r="F39" t="inlineStr">
        <is>
          <t>Milwaukee Bucks</t>
        </is>
      </c>
      <c r="G39" t="n">
        <v>115</v>
      </c>
      <c r="H39" t="n">
        <v>102</v>
      </c>
      <c r="I39" t="inlineStr">
        <is>
          <t>Brooklyn Nets</t>
        </is>
      </c>
      <c r="J39" t="inlineStr">
        <is>
          <t>Milwaukee Bucks</t>
        </is>
      </c>
      <c r="K39" t="inlineStr">
        <is>
          <t>Yes</t>
        </is>
      </c>
      <c r="L39" t="inlineStr"/>
      <c r="M39" t="inlineStr">
        <is>
          <t>https://fixturedownload.com/download/nba-2024-UTC.csv</t>
        </is>
      </c>
    </row>
    <row r="40">
      <c r="A40" t="n">
        <v>39</v>
      </c>
      <c r="B40" t="n">
        <v>1</v>
      </c>
      <c r="C40" t="inlineStr">
        <is>
          <t>27/10/2024 22:00</t>
        </is>
      </c>
      <c r="D40" t="inlineStr">
        <is>
          <t>Moda Center</t>
        </is>
      </c>
      <c r="E40" t="inlineStr">
        <is>
          <t>Portland Trail Blazers</t>
        </is>
      </c>
      <c r="F40" t="inlineStr">
        <is>
          <t>New Orleans Pelicans</t>
        </is>
      </c>
      <c r="G40" t="n">
        <v>125</v>
      </c>
      <c r="H40" t="n">
        <v>103</v>
      </c>
      <c r="I40" t="inlineStr">
        <is>
          <t>Portland Trail Blazers</t>
        </is>
      </c>
      <c r="J40" t="inlineStr">
        <is>
          <t>New Orleans Pelicans</t>
        </is>
      </c>
      <c r="K40" t="inlineStr">
        <is>
          <t>Yes</t>
        </is>
      </c>
      <c r="L40" t="inlineStr"/>
      <c r="M40" t="inlineStr">
        <is>
          <t>https://fixturedownload.com/download/nba-2024-UTC.csv</t>
        </is>
      </c>
    </row>
    <row r="41">
      <c r="A41" t="n">
        <v>40</v>
      </c>
      <c r="B41" t="n">
        <v>1</v>
      </c>
      <c r="C41" t="inlineStr">
        <is>
          <t>27/10/2024 23:00</t>
        </is>
      </c>
      <c r="D41" t="inlineStr">
        <is>
          <t>Paycom Center</t>
        </is>
      </c>
      <c r="E41" t="inlineStr">
        <is>
          <t>Oklahoma City Thunder</t>
        </is>
      </c>
      <c r="F41" t="inlineStr">
        <is>
          <t>Atlanta Hawks</t>
        </is>
      </c>
      <c r="G41" t="n">
        <v>128</v>
      </c>
      <c r="H41" t="n">
        <v>104</v>
      </c>
      <c r="I41" t="inlineStr">
        <is>
          <t>Oklahoma City Thunder</t>
        </is>
      </c>
      <c r="J41" t="inlineStr">
        <is>
          <t>Atlanta Hawks</t>
        </is>
      </c>
      <c r="K41" t="inlineStr">
        <is>
          <t>Yes</t>
        </is>
      </c>
      <c r="L41" t="inlineStr"/>
      <c r="M41" t="inlineStr">
        <is>
          <t>https://fixturedownload.com/download/nba-2024-UTC.csv</t>
        </is>
      </c>
    </row>
    <row r="42">
      <c r="A42" t="n">
        <v>41</v>
      </c>
      <c r="B42" t="n">
        <v>1</v>
      </c>
      <c r="C42" t="inlineStr">
        <is>
          <t>28/10/2024 00:30</t>
        </is>
      </c>
      <c r="D42" t="inlineStr">
        <is>
          <t>Chase Center</t>
        </is>
      </c>
      <c r="E42" t="inlineStr">
        <is>
          <t>Golden State Warriors</t>
        </is>
      </c>
      <c r="F42" t="inlineStr">
        <is>
          <t>LA Clippers</t>
        </is>
      </c>
      <c r="G42" t="n">
        <v>104</v>
      </c>
      <c r="H42" t="n">
        <v>112</v>
      </c>
      <c r="I42" t="inlineStr">
        <is>
          <t>LA Clippers</t>
        </is>
      </c>
      <c r="J42" t="inlineStr">
        <is>
          <t>Golden State Warriors</t>
        </is>
      </c>
      <c r="K42" t="inlineStr">
        <is>
          <t>Yes</t>
        </is>
      </c>
      <c r="L42" t="inlineStr"/>
      <c r="M42" t="inlineStr">
        <is>
          <t>https://fixturedownload.com/download/nba-2024-UTC.csv</t>
        </is>
      </c>
    </row>
    <row r="43">
      <c r="A43" t="n">
        <v>42</v>
      </c>
      <c r="B43" t="n">
        <v>1</v>
      </c>
      <c r="C43" t="inlineStr">
        <is>
          <t>28/10/2024 23:00</t>
        </is>
      </c>
      <c r="D43" t="inlineStr">
        <is>
          <t>Kia Center</t>
        </is>
      </c>
      <c r="E43" t="inlineStr">
        <is>
          <t>Orlando Magic</t>
        </is>
      </c>
      <c r="F43" t="inlineStr">
        <is>
          <t>Indiana Pacers</t>
        </is>
      </c>
      <c r="G43" t="n">
        <v>119</v>
      </c>
      <c r="H43" t="n">
        <v>115</v>
      </c>
      <c r="I43" t="inlineStr">
        <is>
          <t>Orlando Magic</t>
        </is>
      </c>
      <c r="J43" t="inlineStr">
        <is>
          <t>Indiana Pacers</t>
        </is>
      </c>
      <c r="K43" t="inlineStr">
        <is>
          <t>Yes</t>
        </is>
      </c>
      <c r="L43" t="inlineStr"/>
      <c r="M43" t="inlineStr">
        <is>
          <t>https://fixturedownload.com/download/nba-2024-UTC.csv</t>
        </is>
      </c>
    </row>
    <row r="44">
      <c r="A44" t="n">
        <v>43</v>
      </c>
      <c r="B44" t="n">
        <v>1</v>
      </c>
      <c r="C44" t="inlineStr">
        <is>
          <t>28/10/2024 23:30</t>
        </is>
      </c>
      <c r="D44" t="inlineStr">
        <is>
          <t>State Farm Arena</t>
        </is>
      </c>
      <c r="E44" t="inlineStr">
        <is>
          <t>Atlanta Hawks</t>
        </is>
      </c>
      <c r="F44" t="inlineStr">
        <is>
          <t>Washington Wizards</t>
        </is>
      </c>
      <c r="G44" t="n">
        <v>119</v>
      </c>
      <c r="H44" t="n">
        <v>121</v>
      </c>
      <c r="I44" t="inlineStr">
        <is>
          <t>Washington Wizards</t>
        </is>
      </c>
      <c r="J44" t="inlineStr">
        <is>
          <t>Atlanta Hawks</t>
        </is>
      </c>
      <c r="K44" t="inlineStr">
        <is>
          <t>Yes</t>
        </is>
      </c>
      <c r="L44" t="inlineStr"/>
      <c r="M44" t="inlineStr">
        <is>
          <t>https://fixturedownload.com/download/nba-2024-UTC.csv</t>
        </is>
      </c>
    </row>
    <row r="45">
      <c r="A45" t="n">
        <v>44</v>
      </c>
      <c r="B45" t="n">
        <v>1</v>
      </c>
      <c r="C45" t="inlineStr">
        <is>
          <t>28/10/2024 23:30</t>
        </is>
      </c>
      <c r="D45" t="inlineStr">
        <is>
          <t>TD Garden</t>
        </is>
      </c>
      <c r="E45" t="inlineStr">
        <is>
          <t>Boston Celtics</t>
        </is>
      </c>
      <c r="F45" t="inlineStr">
        <is>
          <t>Milwaukee Bucks</t>
        </is>
      </c>
      <c r="G45" t="n">
        <v>119</v>
      </c>
      <c r="H45" t="n">
        <v>108</v>
      </c>
      <c r="I45" t="inlineStr">
        <is>
          <t>Boston Celtics</t>
        </is>
      </c>
      <c r="J45" t="inlineStr">
        <is>
          <t>Milwaukee Bucks</t>
        </is>
      </c>
      <c r="K45" t="inlineStr">
        <is>
          <t>Yes</t>
        </is>
      </c>
      <c r="L45" t="inlineStr"/>
      <c r="M45" t="inlineStr">
        <is>
          <t>https://fixturedownload.com/download/nba-2024-UTC.csv</t>
        </is>
      </c>
    </row>
    <row r="46">
      <c r="A46" t="n">
        <v>45</v>
      </c>
      <c r="B46" t="n">
        <v>1</v>
      </c>
      <c r="C46" t="inlineStr">
        <is>
          <t>28/10/2024 23:30</t>
        </is>
      </c>
      <c r="D46" t="inlineStr">
        <is>
          <t>Kaseya Center</t>
        </is>
      </c>
      <c r="E46" t="inlineStr">
        <is>
          <t>Miami Heat</t>
        </is>
      </c>
      <c r="F46" t="inlineStr">
        <is>
          <t>Detroit Pistons</t>
        </is>
      </c>
      <c r="G46" t="n">
        <v>106</v>
      </c>
      <c r="H46" t="n">
        <v>98</v>
      </c>
      <c r="I46" t="inlineStr">
        <is>
          <t>Miami Heat</t>
        </is>
      </c>
      <c r="J46" t="inlineStr">
        <is>
          <t>Detroit Pistons</t>
        </is>
      </c>
      <c r="K46" t="inlineStr">
        <is>
          <t>Yes</t>
        </is>
      </c>
      <c r="L46" t="inlineStr"/>
      <c r="M46" t="inlineStr">
        <is>
          <t>https://fixturedownload.com/download/nba-2024-UTC.csv</t>
        </is>
      </c>
    </row>
    <row r="47">
      <c r="A47" t="n">
        <v>46</v>
      </c>
      <c r="B47" t="n">
        <v>1</v>
      </c>
      <c r="C47" t="inlineStr">
        <is>
          <t>28/10/2024 23:30</t>
        </is>
      </c>
      <c r="D47" t="inlineStr">
        <is>
          <t>Madison Square Garden</t>
        </is>
      </c>
      <c r="E47" t="inlineStr">
        <is>
          <t>New York Knicks</t>
        </is>
      </c>
      <c r="F47" t="inlineStr">
        <is>
          <t>Cleveland Cavaliers</t>
        </is>
      </c>
      <c r="G47" t="n">
        <v>104</v>
      </c>
      <c r="H47" t="n">
        <v>110</v>
      </c>
      <c r="I47" t="inlineStr">
        <is>
          <t>Cleveland Cavaliers</t>
        </is>
      </c>
      <c r="J47" t="inlineStr">
        <is>
          <t>New York Knicks</t>
        </is>
      </c>
      <c r="K47" t="inlineStr">
        <is>
          <t>Yes</t>
        </is>
      </c>
      <c r="L47" t="inlineStr"/>
      <c r="M47" t="inlineStr">
        <is>
          <t>https://fixturedownload.com/download/nba-2024-UTC.csv</t>
        </is>
      </c>
    </row>
    <row r="48">
      <c r="A48" t="n">
        <v>47</v>
      </c>
      <c r="B48" t="n">
        <v>1</v>
      </c>
      <c r="C48" t="inlineStr">
        <is>
          <t>28/10/2024 23:30</t>
        </is>
      </c>
      <c r="D48" t="inlineStr">
        <is>
          <t>Scotiabank Arena</t>
        </is>
      </c>
      <c r="E48" t="inlineStr">
        <is>
          <t>Toronto Raptors</t>
        </is>
      </c>
      <c r="F48" t="inlineStr">
        <is>
          <t>Denver Nuggets</t>
        </is>
      </c>
      <c r="G48" t="n">
        <v>125</v>
      </c>
      <c r="H48" t="n">
        <v>127</v>
      </c>
      <c r="I48" t="inlineStr">
        <is>
          <t>Denver Nuggets</t>
        </is>
      </c>
      <c r="J48" t="inlineStr">
        <is>
          <t>Toronto Raptors</t>
        </is>
      </c>
      <c r="K48" t="inlineStr">
        <is>
          <t>Yes</t>
        </is>
      </c>
      <c r="L48" t="inlineStr"/>
      <c r="M48" t="inlineStr">
        <is>
          <t>https://fixturedownload.com/download/nba-2024-UTC.csv</t>
        </is>
      </c>
    </row>
    <row r="49">
      <c r="A49" t="n">
        <v>48</v>
      </c>
      <c r="B49" t="n">
        <v>1</v>
      </c>
      <c r="C49" t="inlineStr">
        <is>
          <t>29/10/2024 00:00</t>
        </is>
      </c>
      <c r="D49" t="inlineStr">
        <is>
          <t>FedExForum</t>
        </is>
      </c>
      <c r="E49" t="inlineStr">
        <is>
          <t>Memphis Grizzlies</t>
        </is>
      </c>
      <c r="F49" t="inlineStr">
        <is>
          <t>Chicago Bulls</t>
        </is>
      </c>
      <c r="G49" t="n">
        <v>123</v>
      </c>
      <c r="H49" t="n">
        <v>126</v>
      </c>
      <c r="I49" t="inlineStr">
        <is>
          <t>Chicago Bulls</t>
        </is>
      </c>
      <c r="J49" t="inlineStr">
        <is>
          <t>Memphis Grizzlies</t>
        </is>
      </c>
      <c r="K49" t="inlineStr">
        <is>
          <t>Yes</t>
        </is>
      </c>
      <c r="L49" t="inlineStr"/>
      <c r="M49" t="inlineStr">
        <is>
          <t>https://fixturedownload.com/download/nba-2024-UTC.csv</t>
        </is>
      </c>
    </row>
    <row r="50">
      <c r="A50" t="n">
        <v>49</v>
      </c>
      <c r="B50" t="n">
        <v>1</v>
      </c>
      <c r="C50" t="inlineStr">
        <is>
          <t>29/10/2024 00:00</t>
        </is>
      </c>
      <c r="D50" t="inlineStr">
        <is>
          <t>Frost Bank Center</t>
        </is>
      </c>
      <c r="E50" t="inlineStr">
        <is>
          <t>San Antonio Spurs</t>
        </is>
      </c>
      <c r="F50" t="inlineStr">
        <is>
          <t>Houston Rockets</t>
        </is>
      </c>
      <c r="G50" t="n">
        <v>101</v>
      </c>
      <c r="H50" t="n">
        <v>106</v>
      </c>
      <c r="I50" t="inlineStr">
        <is>
          <t>Houston Rockets</t>
        </is>
      </c>
      <c r="J50" t="inlineStr">
        <is>
          <t>San Antonio Spurs</t>
        </is>
      </c>
      <c r="K50" t="inlineStr">
        <is>
          <t>Yes</t>
        </is>
      </c>
      <c r="L50" t="inlineStr"/>
      <c r="M50" t="inlineStr">
        <is>
          <t>https://fixturedownload.com/download/nba-2024-UTC.csv</t>
        </is>
      </c>
    </row>
    <row r="51">
      <c r="A51" t="n">
        <v>50</v>
      </c>
      <c r="B51" t="n">
        <v>1</v>
      </c>
      <c r="C51" t="inlineStr">
        <is>
          <t>29/10/2024 00:30</t>
        </is>
      </c>
      <c r="D51" t="inlineStr">
        <is>
          <t>American Airlines Center</t>
        </is>
      </c>
      <c r="E51" t="inlineStr">
        <is>
          <t>Dallas Mavericks</t>
        </is>
      </c>
      <c r="F51" t="inlineStr">
        <is>
          <t>Utah Jazz</t>
        </is>
      </c>
      <c r="G51" t="n">
        <v>110</v>
      </c>
      <c r="H51" t="n">
        <v>102</v>
      </c>
      <c r="I51" t="inlineStr">
        <is>
          <t>Dallas Mavericks</t>
        </is>
      </c>
      <c r="J51" t="inlineStr">
        <is>
          <t>Utah Jazz</t>
        </is>
      </c>
      <c r="K51" t="inlineStr">
        <is>
          <t>Yes</t>
        </is>
      </c>
      <c r="L51" t="inlineStr"/>
      <c r="M51" t="inlineStr">
        <is>
          <t>https://fixturedownload.com/download/nba-2024-UTC.csv</t>
        </is>
      </c>
    </row>
    <row r="52">
      <c r="A52" t="n">
        <v>51</v>
      </c>
      <c r="B52" t="n">
        <v>1</v>
      </c>
      <c r="C52" t="inlineStr">
        <is>
          <t>29/10/2024 02:00</t>
        </is>
      </c>
      <c r="D52" t="inlineStr">
        <is>
          <t>PHX Arena</t>
        </is>
      </c>
      <c r="E52" t="inlineStr">
        <is>
          <t>Phoenix Suns</t>
        </is>
      </c>
      <c r="F52" t="inlineStr">
        <is>
          <t>Los Angeles Lakers</t>
        </is>
      </c>
      <c r="G52" t="n">
        <v>109</v>
      </c>
      <c r="H52" t="n">
        <v>105</v>
      </c>
      <c r="I52" t="inlineStr">
        <is>
          <t>Phoenix Suns</t>
        </is>
      </c>
      <c r="J52" t="inlineStr">
        <is>
          <t>Los Angeles Lakers</t>
        </is>
      </c>
      <c r="K52" t="inlineStr">
        <is>
          <t>Yes</t>
        </is>
      </c>
      <c r="L52" t="inlineStr"/>
      <c r="M52" t="inlineStr">
        <is>
          <t>https://fixturedownload.com/download/nba-2024-UTC.csv</t>
        </is>
      </c>
    </row>
    <row r="53">
      <c r="A53" t="n">
        <v>52</v>
      </c>
      <c r="B53" t="n">
        <v>1</v>
      </c>
      <c r="C53" t="inlineStr">
        <is>
          <t>29/10/2024 02:00</t>
        </is>
      </c>
      <c r="D53" t="inlineStr">
        <is>
          <t>Golden 1 Center</t>
        </is>
      </c>
      <c r="E53" t="inlineStr">
        <is>
          <t>Sacramento Kings</t>
        </is>
      </c>
      <c r="F53" t="inlineStr">
        <is>
          <t>Portland Trail Blazers</t>
        </is>
      </c>
      <c r="G53" t="n">
        <v>111</v>
      </c>
      <c r="H53" t="n">
        <v>98</v>
      </c>
      <c r="I53" t="inlineStr">
        <is>
          <t>Sacramento Kings</t>
        </is>
      </c>
      <c r="J53" t="inlineStr">
        <is>
          <t>Portland Trail Blazers</t>
        </is>
      </c>
      <c r="K53" t="inlineStr">
        <is>
          <t>Yes</t>
        </is>
      </c>
      <c r="L53" t="inlineStr"/>
      <c r="M53" t="inlineStr">
        <is>
          <t>https://fixturedownload.com/download/nba-2024-UTC.csv</t>
        </is>
      </c>
    </row>
    <row r="54">
      <c r="A54" t="n">
        <v>53</v>
      </c>
      <c r="B54" t="n">
        <v>1</v>
      </c>
      <c r="C54" t="inlineStr">
        <is>
          <t>29/10/2024 23:30</t>
        </is>
      </c>
      <c r="D54" t="inlineStr">
        <is>
          <t>Barclays Center</t>
        </is>
      </c>
      <c r="E54" t="inlineStr">
        <is>
          <t>Brooklyn Nets</t>
        </is>
      </c>
      <c r="F54" t="inlineStr">
        <is>
          <t>Denver Nuggets</t>
        </is>
      </c>
      <c r="G54" t="n">
        <v>139</v>
      </c>
      <c r="H54" t="n">
        <v>144</v>
      </c>
      <c r="I54" t="inlineStr">
        <is>
          <t>Denver Nuggets</t>
        </is>
      </c>
      <c r="J54" t="inlineStr">
        <is>
          <t>Brooklyn Nets</t>
        </is>
      </c>
      <c r="K54" t="inlineStr">
        <is>
          <t>Yes</t>
        </is>
      </c>
      <c r="L54" t="inlineStr"/>
      <c r="M54" t="inlineStr">
        <is>
          <t>https://fixturedownload.com/download/nba-2024-UTC.csv</t>
        </is>
      </c>
    </row>
    <row r="55">
      <c r="A55" t="n">
        <v>54</v>
      </c>
      <c r="B55" t="n">
        <v>1</v>
      </c>
      <c r="C55" t="inlineStr">
        <is>
          <t>29/10/2024 23:30</t>
        </is>
      </c>
      <c r="D55" t="inlineStr">
        <is>
          <t>Target Center</t>
        </is>
      </c>
      <c r="E55" t="inlineStr">
        <is>
          <t>Minnesota Timberwolves</t>
        </is>
      </c>
      <c r="F55" t="inlineStr">
        <is>
          <t>Dallas Mavericks</t>
        </is>
      </c>
      <c r="G55" t="n">
        <v>114</v>
      </c>
      <c r="H55" t="n">
        <v>120</v>
      </c>
      <c r="I55" t="inlineStr">
        <is>
          <t>Dallas Mavericks</t>
        </is>
      </c>
      <c r="J55" t="inlineStr">
        <is>
          <t>Minnesota Timberwolves</t>
        </is>
      </c>
      <c r="K55" t="inlineStr">
        <is>
          <t>Yes</t>
        </is>
      </c>
      <c r="L55" t="inlineStr"/>
      <c r="M55" t="inlineStr">
        <is>
          <t>https://fixturedownload.com/download/nba-2024-UTC.csv</t>
        </is>
      </c>
    </row>
    <row r="56">
      <c r="A56" t="n">
        <v>55</v>
      </c>
      <c r="B56" t="n">
        <v>1</v>
      </c>
      <c r="C56" t="inlineStr">
        <is>
          <t>30/10/2024 01:00</t>
        </is>
      </c>
      <c r="D56" t="inlineStr">
        <is>
          <t>Delta Center</t>
        </is>
      </c>
      <c r="E56" t="inlineStr">
        <is>
          <t>Utah Jazz</t>
        </is>
      </c>
      <c r="F56" t="inlineStr">
        <is>
          <t>Sacramento Kings</t>
        </is>
      </c>
      <c r="G56" t="n">
        <v>96</v>
      </c>
      <c r="H56" t="n">
        <v>113</v>
      </c>
      <c r="I56" t="inlineStr">
        <is>
          <t>Sacramento Kings</t>
        </is>
      </c>
      <c r="J56" t="inlineStr">
        <is>
          <t>Utah Jazz</t>
        </is>
      </c>
      <c r="K56" t="inlineStr">
        <is>
          <t>Yes</t>
        </is>
      </c>
      <c r="L56" t="inlineStr"/>
      <c r="M56" t="inlineStr">
        <is>
          <t>https://fixturedownload.com/download/nba-2024-UTC.csv</t>
        </is>
      </c>
    </row>
    <row r="57">
      <c r="A57" t="n">
        <v>56</v>
      </c>
      <c r="B57" t="n">
        <v>1</v>
      </c>
      <c r="C57" t="inlineStr">
        <is>
          <t>30/10/2024 02:00</t>
        </is>
      </c>
      <c r="D57" t="inlineStr">
        <is>
          <t>Chase Center</t>
        </is>
      </c>
      <c r="E57" t="inlineStr">
        <is>
          <t>Golden State Warriors</t>
        </is>
      </c>
      <c r="F57" t="inlineStr">
        <is>
          <t>New Orleans Pelicans</t>
        </is>
      </c>
      <c r="G57" t="n">
        <v>124</v>
      </c>
      <c r="H57" t="n">
        <v>106</v>
      </c>
      <c r="I57" t="inlineStr">
        <is>
          <t>Golden State Warriors</t>
        </is>
      </c>
      <c r="J57" t="inlineStr">
        <is>
          <t>New Orleans Pelicans</t>
        </is>
      </c>
      <c r="K57" t="inlineStr">
        <is>
          <t>Yes</t>
        </is>
      </c>
      <c r="L57" t="inlineStr"/>
      <c r="M57" t="inlineStr">
        <is>
          <t>https://fixturedownload.com/download/nba-2024-UTC.csv</t>
        </is>
      </c>
    </row>
    <row r="58">
      <c r="A58" t="n">
        <v>57</v>
      </c>
      <c r="B58" t="n">
        <v>2</v>
      </c>
      <c r="C58" t="inlineStr">
        <is>
          <t>30/10/2024 23:00</t>
        </is>
      </c>
      <c r="D58" t="inlineStr">
        <is>
          <t>Spectrum Center</t>
        </is>
      </c>
      <c r="E58" t="inlineStr">
        <is>
          <t>Charlotte Hornets</t>
        </is>
      </c>
      <c r="F58" t="inlineStr">
        <is>
          <t>Toronto Raptors</t>
        </is>
      </c>
      <c r="G58" t="n">
        <v>138</v>
      </c>
      <c r="H58" t="n">
        <v>133</v>
      </c>
      <c r="I58" t="inlineStr">
        <is>
          <t>Charlotte Hornets</t>
        </is>
      </c>
      <c r="J58" t="inlineStr">
        <is>
          <t>Toronto Raptors</t>
        </is>
      </c>
      <c r="K58" t="inlineStr">
        <is>
          <t>Yes</t>
        </is>
      </c>
      <c r="L58" t="inlineStr"/>
      <c r="M58" t="inlineStr">
        <is>
          <t>https://fixturedownload.com/download/nba-2024-UTC.csv</t>
        </is>
      </c>
    </row>
    <row r="59">
      <c r="A59" t="n">
        <v>58</v>
      </c>
      <c r="B59" t="n">
        <v>2</v>
      </c>
      <c r="C59" t="inlineStr">
        <is>
          <t>30/10/2024 23:00</t>
        </is>
      </c>
      <c r="D59" t="inlineStr">
        <is>
          <t>Rocket Arena</t>
        </is>
      </c>
      <c r="E59" t="inlineStr">
        <is>
          <t>Cleveland Cavaliers</t>
        </is>
      </c>
      <c r="F59" t="inlineStr">
        <is>
          <t>Los Angeles Lakers</t>
        </is>
      </c>
      <c r="G59" t="n">
        <v>134</v>
      </c>
      <c r="H59" t="n">
        <v>110</v>
      </c>
      <c r="I59" t="inlineStr">
        <is>
          <t>Cleveland Cavaliers</t>
        </is>
      </c>
      <c r="J59" t="inlineStr">
        <is>
          <t>Los Angeles Lakers</t>
        </is>
      </c>
      <c r="K59" t="inlineStr">
        <is>
          <t>Yes</t>
        </is>
      </c>
      <c r="L59" t="inlineStr"/>
      <c r="M59" t="inlineStr">
        <is>
          <t>https://fixturedownload.com/download/nba-2024-UTC.csv</t>
        </is>
      </c>
    </row>
    <row r="60">
      <c r="A60" t="n">
        <v>59</v>
      </c>
      <c r="B60" t="n">
        <v>2</v>
      </c>
      <c r="C60" t="inlineStr">
        <is>
          <t>30/10/2024 23:00</t>
        </is>
      </c>
      <c r="D60" t="inlineStr">
        <is>
          <t>Gainbridge Fieldhouse</t>
        </is>
      </c>
      <c r="E60" t="inlineStr">
        <is>
          <t>Indiana Pacers</t>
        </is>
      </c>
      <c r="F60" t="inlineStr">
        <is>
          <t>Boston Celtics</t>
        </is>
      </c>
      <c r="G60" t="n">
        <v>135</v>
      </c>
      <c r="H60" t="n">
        <v>132</v>
      </c>
      <c r="I60" t="inlineStr">
        <is>
          <t>Indiana Pacers</t>
        </is>
      </c>
      <c r="J60" t="inlineStr">
        <is>
          <t>Boston Celtics</t>
        </is>
      </c>
      <c r="K60" t="inlineStr">
        <is>
          <t>Yes</t>
        </is>
      </c>
      <c r="L60" t="inlineStr"/>
      <c r="M60" t="inlineStr">
        <is>
          <t>https://fixturedownload.com/download/nba-2024-UTC.csv</t>
        </is>
      </c>
    </row>
    <row r="61">
      <c r="A61" t="n">
        <v>60</v>
      </c>
      <c r="B61" t="n">
        <v>2</v>
      </c>
      <c r="C61" t="inlineStr">
        <is>
          <t>30/10/2024 23:00</t>
        </is>
      </c>
      <c r="D61" t="inlineStr">
        <is>
          <t>Wells Fargo Center</t>
        </is>
      </c>
      <c r="E61" t="inlineStr">
        <is>
          <t>Philadelphia 76ers</t>
        </is>
      </c>
      <c r="F61" t="inlineStr">
        <is>
          <t>Detroit Pistons</t>
        </is>
      </c>
      <c r="G61" t="n">
        <v>95</v>
      </c>
      <c r="H61" t="n">
        <v>105</v>
      </c>
      <c r="I61" t="inlineStr">
        <is>
          <t>Detroit Pistons</t>
        </is>
      </c>
      <c r="J61" t="inlineStr">
        <is>
          <t>Philadelphia 76ers</t>
        </is>
      </c>
      <c r="K61" t="inlineStr">
        <is>
          <t>Yes</t>
        </is>
      </c>
      <c r="L61" t="inlineStr"/>
      <c r="M61" t="inlineStr">
        <is>
          <t>https://fixturedownload.com/download/nba-2024-UTC.csv</t>
        </is>
      </c>
    </row>
    <row r="62">
      <c r="A62" t="n">
        <v>61</v>
      </c>
      <c r="B62" t="n">
        <v>2</v>
      </c>
      <c r="C62" t="inlineStr">
        <is>
          <t>30/10/2024 23:00</t>
        </is>
      </c>
      <c r="D62" t="inlineStr">
        <is>
          <t>Capital One Arena</t>
        </is>
      </c>
      <c r="E62" t="inlineStr">
        <is>
          <t>Washington Wizards</t>
        </is>
      </c>
      <c r="F62" t="inlineStr">
        <is>
          <t>Atlanta Hawks</t>
        </is>
      </c>
      <c r="G62" t="n">
        <v>133</v>
      </c>
      <c r="H62" t="n">
        <v>120</v>
      </c>
      <c r="I62" t="inlineStr">
        <is>
          <t>Washington Wizards</t>
        </is>
      </c>
      <c r="J62" t="inlineStr">
        <is>
          <t>Atlanta Hawks</t>
        </is>
      </c>
      <c r="K62" t="inlineStr">
        <is>
          <t>Yes</t>
        </is>
      </c>
      <c r="L62" t="inlineStr"/>
      <c r="M62" t="inlineStr">
        <is>
          <t>https://fixturedownload.com/download/nba-2024-UTC.csv</t>
        </is>
      </c>
    </row>
    <row r="63">
      <c r="A63" t="n">
        <v>62</v>
      </c>
      <c r="B63" t="n">
        <v>2</v>
      </c>
      <c r="C63" t="inlineStr">
        <is>
          <t>30/10/2024 23:30</t>
        </is>
      </c>
      <c r="D63" t="inlineStr">
        <is>
          <t>Kaseya Center</t>
        </is>
      </c>
      <c r="E63" t="inlineStr">
        <is>
          <t>Miami Heat</t>
        </is>
      </c>
      <c r="F63" t="inlineStr">
        <is>
          <t>New York Knicks</t>
        </is>
      </c>
      <c r="G63" t="n">
        <v>107</v>
      </c>
      <c r="H63" t="n">
        <v>116</v>
      </c>
      <c r="I63" t="inlineStr">
        <is>
          <t>New York Knicks</t>
        </is>
      </c>
      <c r="J63" t="inlineStr">
        <is>
          <t>Miami Heat</t>
        </is>
      </c>
      <c r="K63" t="inlineStr">
        <is>
          <t>Yes</t>
        </is>
      </c>
      <c r="L63" t="inlineStr"/>
      <c r="M63" t="inlineStr">
        <is>
          <t>https://fixturedownload.com/download/nba-2024-UTC.csv</t>
        </is>
      </c>
    </row>
    <row r="64">
      <c r="A64" t="n">
        <v>63</v>
      </c>
      <c r="B64" t="n">
        <v>2</v>
      </c>
      <c r="C64" t="inlineStr">
        <is>
          <t>31/10/2024 00:00</t>
        </is>
      </c>
      <c r="D64" t="inlineStr">
        <is>
          <t>United Center</t>
        </is>
      </c>
      <c r="E64" t="inlineStr">
        <is>
          <t>Chicago Bulls</t>
        </is>
      </c>
      <c r="F64" t="inlineStr">
        <is>
          <t>Orlando Magic</t>
        </is>
      </c>
      <c r="G64" t="n">
        <v>102</v>
      </c>
      <c r="H64" t="n">
        <v>99</v>
      </c>
      <c r="I64" t="inlineStr">
        <is>
          <t>Chicago Bulls</t>
        </is>
      </c>
      <c r="J64" t="inlineStr">
        <is>
          <t>Orlando Magic</t>
        </is>
      </c>
      <c r="K64" t="inlineStr">
        <is>
          <t>Yes</t>
        </is>
      </c>
      <c r="L64" t="inlineStr"/>
      <c r="M64" t="inlineStr">
        <is>
          <t>https://fixturedownload.com/download/nba-2024-UTC.csv</t>
        </is>
      </c>
    </row>
    <row r="65">
      <c r="A65" t="n">
        <v>64</v>
      </c>
      <c r="B65" t="n">
        <v>2</v>
      </c>
      <c r="C65" t="inlineStr">
        <is>
          <t>31/10/2024 00:00</t>
        </is>
      </c>
      <c r="D65" t="inlineStr">
        <is>
          <t>FedExForum</t>
        </is>
      </c>
      <c r="E65" t="inlineStr">
        <is>
          <t>Memphis Grizzlies</t>
        </is>
      </c>
      <c r="F65" t="inlineStr">
        <is>
          <t>Brooklyn Nets</t>
        </is>
      </c>
      <c r="G65" t="n">
        <v>106</v>
      </c>
      <c r="H65" t="n">
        <v>119</v>
      </c>
      <c r="I65" t="inlineStr">
        <is>
          <t>Brooklyn Nets</t>
        </is>
      </c>
      <c r="J65" t="inlineStr">
        <is>
          <t>Memphis Grizzlies</t>
        </is>
      </c>
      <c r="K65" t="inlineStr">
        <is>
          <t>Yes</t>
        </is>
      </c>
      <c r="L65" t="inlineStr"/>
      <c r="M65" t="inlineStr">
        <is>
          <t>https://fixturedownload.com/download/nba-2024-UTC.csv</t>
        </is>
      </c>
    </row>
    <row r="66">
      <c r="A66" t="n">
        <v>65</v>
      </c>
      <c r="B66" t="n">
        <v>2</v>
      </c>
      <c r="C66" t="inlineStr">
        <is>
          <t>31/10/2024 01:30</t>
        </is>
      </c>
      <c r="D66" t="inlineStr">
        <is>
          <t>Paycom Center</t>
        </is>
      </c>
      <c r="E66" t="inlineStr">
        <is>
          <t>Oklahoma City Thunder</t>
        </is>
      </c>
      <c r="F66" t="inlineStr">
        <is>
          <t>San Antonio Spurs</t>
        </is>
      </c>
      <c r="G66" t="n">
        <v>105</v>
      </c>
      <c r="H66" t="n">
        <v>93</v>
      </c>
      <c r="I66" t="inlineStr">
        <is>
          <t>Oklahoma City Thunder</t>
        </is>
      </c>
      <c r="J66" t="inlineStr">
        <is>
          <t>San Antonio Spurs</t>
        </is>
      </c>
      <c r="K66" t="inlineStr">
        <is>
          <t>Yes</t>
        </is>
      </c>
      <c r="L66" t="inlineStr"/>
      <c r="M66" t="inlineStr">
        <is>
          <t>https://fixturedownload.com/download/nba-2024-UTC.csv</t>
        </is>
      </c>
    </row>
    <row r="67">
      <c r="A67" t="n">
        <v>66</v>
      </c>
      <c r="B67" t="n">
        <v>2</v>
      </c>
      <c r="C67" t="inlineStr">
        <is>
          <t>31/10/2024 02:00</t>
        </is>
      </c>
      <c r="D67" t="inlineStr">
        <is>
          <t>Chase Center</t>
        </is>
      </c>
      <c r="E67" t="inlineStr">
        <is>
          <t>Golden State Warriors</t>
        </is>
      </c>
      <c r="F67" t="inlineStr">
        <is>
          <t>New Orleans Pelicans</t>
        </is>
      </c>
      <c r="G67" t="n">
        <v>104</v>
      </c>
      <c r="H67" t="n">
        <v>89</v>
      </c>
      <c r="I67" t="inlineStr">
        <is>
          <t>Golden State Warriors</t>
        </is>
      </c>
      <c r="J67" t="inlineStr">
        <is>
          <t>New Orleans Pelicans</t>
        </is>
      </c>
      <c r="K67" t="inlineStr">
        <is>
          <t>Yes</t>
        </is>
      </c>
      <c r="L67" t="inlineStr"/>
      <c r="M67" t="inlineStr">
        <is>
          <t>https://fixturedownload.com/download/nba-2024-UTC.csv</t>
        </is>
      </c>
    </row>
    <row r="68">
      <c r="A68" t="n">
        <v>67</v>
      </c>
      <c r="B68" t="n">
        <v>2</v>
      </c>
      <c r="C68" t="inlineStr">
        <is>
          <t>31/10/2024 02:30</t>
        </is>
      </c>
      <c r="D68" t="inlineStr">
        <is>
          <t>Intuit Dome</t>
        </is>
      </c>
      <c r="E68" t="inlineStr">
        <is>
          <t>LA Clippers</t>
        </is>
      </c>
      <c r="F68" t="inlineStr">
        <is>
          <t>Portland Trail Blazers</t>
        </is>
      </c>
      <c r="G68" t="n">
        <v>105</v>
      </c>
      <c r="H68" t="n">
        <v>106</v>
      </c>
      <c r="I68" t="inlineStr">
        <is>
          <t>Portland Trail Blazers</t>
        </is>
      </c>
      <c r="J68" t="inlineStr">
        <is>
          <t>LA Clippers</t>
        </is>
      </c>
      <c r="K68" t="inlineStr">
        <is>
          <t>Yes</t>
        </is>
      </c>
      <c r="L68" t="inlineStr"/>
      <c r="M68" t="inlineStr">
        <is>
          <t>https://fixturedownload.com/download/nba-2024-UTC.csv</t>
        </is>
      </c>
    </row>
    <row r="69">
      <c r="A69" t="n">
        <v>68</v>
      </c>
      <c r="B69" t="n">
        <v>2</v>
      </c>
      <c r="C69" t="inlineStr">
        <is>
          <t>01/11/2024 00:00</t>
        </is>
      </c>
      <c r="D69" t="inlineStr">
        <is>
          <t>FedExForum</t>
        </is>
      </c>
      <c r="E69" t="inlineStr">
        <is>
          <t>Memphis Grizzlies</t>
        </is>
      </c>
      <c r="F69" t="inlineStr">
        <is>
          <t>Milwaukee Bucks</t>
        </is>
      </c>
      <c r="G69" t="n">
        <v>122</v>
      </c>
      <c r="H69" t="n">
        <v>99</v>
      </c>
      <c r="I69" t="inlineStr">
        <is>
          <t>Memphis Grizzlies</t>
        </is>
      </c>
      <c r="J69" t="inlineStr">
        <is>
          <t>Milwaukee Bucks</t>
        </is>
      </c>
      <c r="K69" t="inlineStr">
        <is>
          <t>Yes</t>
        </is>
      </c>
      <c r="L69" t="inlineStr"/>
      <c r="M69" t="inlineStr">
        <is>
          <t>https://fixturedownload.com/download/nba-2024-UTC.csv</t>
        </is>
      </c>
    </row>
    <row r="70">
      <c r="A70" t="n">
        <v>69</v>
      </c>
      <c r="B70" t="n">
        <v>2</v>
      </c>
      <c r="C70" t="inlineStr">
        <is>
          <t>01/11/2024 00:30</t>
        </is>
      </c>
      <c r="D70" t="inlineStr">
        <is>
          <t>American Airlines Center</t>
        </is>
      </c>
      <c r="E70" t="inlineStr">
        <is>
          <t>Dallas Mavericks</t>
        </is>
      </c>
      <c r="F70" t="inlineStr">
        <is>
          <t>Houston Rockets</t>
        </is>
      </c>
      <c r="G70" t="n">
        <v>102</v>
      </c>
      <c r="H70" t="n">
        <v>108</v>
      </c>
      <c r="I70" t="inlineStr">
        <is>
          <t>Houston Rockets</t>
        </is>
      </c>
      <c r="J70" t="inlineStr">
        <is>
          <t>Dallas Mavericks</t>
        </is>
      </c>
      <c r="K70" t="inlineStr">
        <is>
          <t>Yes</t>
        </is>
      </c>
      <c r="L70" t="inlineStr"/>
      <c r="M70" t="inlineStr">
        <is>
          <t>https://fixturedownload.com/download/nba-2024-UTC.csv</t>
        </is>
      </c>
    </row>
    <row r="71">
      <c r="A71" t="n">
        <v>70</v>
      </c>
      <c r="B71" t="n">
        <v>2</v>
      </c>
      <c r="C71" t="inlineStr">
        <is>
          <t>01/11/2024 01:00</t>
        </is>
      </c>
      <c r="D71" t="inlineStr">
        <is>
          <t>Delta Center</t>
        </is>
      </c>
      <c r="E71" t="inlineStr">
        <is>
          <t>Utah Jazz</t>
        </is>
      </c>
      <c r="F71" t="inlineStr">
        <is>
          <t>San Antonio Spurs</t>
        </is>
      </c>
      <c r="G71" t="n">
        <v>88</v>
      </c>
      <c r="H71" t="n">
        <v>106</v>
      </c>
      <c r="I71" t="inlineStr">
        <is>
          <t>San Antonio Spurs</t>
        </is>
      </c>
      <c r="J71" t="inlineStr">
        <is>
          <t>Utah Jazz</t>
        </is>
      </c>
      <c r="K71" t="inlineStr">
        <is>
          <t>Yes</t>
        </is>
      </c>
      <c r="L71" t="inlineStr"/>
      <c r="M71" t="inlineStr">
        <is>
          <t>https://fixturedownload.com/download/nba-2024-UTC.csv</t>
        </is>
      </c>
    </row>
    <row r="72">
      <c r="A72" t="n">
        <v>71</v>
      </c>
      <c r="B72" t="n">
        <v>2</v>
      </c>
      <c r="C72" t="inlineStr">
        <is>
          <t>01/11/2024 02:30</t>
        </is>
      </c>
      <c r="D72" t="inlineStr">
        <is>
          <t>Intuit Dome</t>
        </is>
      </c>
      <c r="E72" t="inlineStr">
        <is>
          <t>LA Clippers</t>
        </is>
      </c>
      <c r="F72" t="inlineStr">
        <is>
          <t>Phoenix Suns</t>
        </is>
      </c>
      <c r="G72" t="n">
        <v>119</v>
      </c>
      <c r="H72" t="n">
        <v>125</v>
      </c>
      <c r="I72" t="inlineStr">
        <is>
          <t>Phoenix Suns</t>
        </is>
      </c>
      <c r="J72" t="inlineStr">
        <is>
          <t>LA Clippers</t>
        </is>
      </c>
      <c r="K72" t="inlineStr">
        <is>
          <t>Yes</t>
        </is>
      </c>
      <c r="L72" t="inlineStr"/>
      <c r="M72" t="inlineStr">
        <is>
          <t>https://fixturedownload.com/download/nba-2024-UTC.csv</t>
        </is>
      </c>
    </row>
    <row r="73">
      <c r="A73" t="n">
        <v>72</v>
      </c>
      <c r="B73" t="n">
        <v>2</v>
      </c>
      <c r="C73" t="inlineStr">
        <is>
          <t>01/11/2024 23:00</t>
        </is>
      </c>
      <c r="D73" t="inlineStr">
        <is>
          <t>Spectrum Center</t>
        </is>
      </c>
      <c r="E73" t="inlineStr">
        <is>
          <t>Charlotte Hornets</t>
        </is>
      </c>
      <c r="F73" t="inlineStr">
        <is>
          <t>Boston Celtics</t>
        </is>
      </c>
      <c r="G73" t="n">
        <v>109</v>
      </c>
      <c r="H73" t="n">
        <v>124</v>
      </c>
      <c r="I73" t="inlineStr">
        <is>
          <t>Boston Celtics</t>
        </is>
      </c>
      <c r="J73" t="inlineStr">
        <is>
          <t>Charlotte Hornets</t>
        </is>
      </c>
      <c r="K73" t="inlineStr">
        <is>
          <t>Yes</t>
        </is>
      </c>
      <c r="L73" t="inlineStr"/>
      <c r="M73" t="inlineStr">
        <is>
          <t>https://fixturedownload.com/download/nba-2024-UTC.csv</t>
        </is>
      </c>
    </row>
    <row r="74">
      <c r="A74" t="n">
        <v>73</v>
      </c>
      <c r="B74" t="n">
        <v>2</v>
      </c>
      <c r="C74" t="inlineStr">
        <is>
          <t>01/11/2024 23:00</t>
        </is>
      </c>
      <c r="D74" t="inlineStr">
        <is>
          <t>Rocket Arena</t>
        </is>
      </c>
      <c r="E74" t="inlineStr">
        <is>
          <t>Cleveland Cavaliers</t>
        </is>
      </c>
      <c r="F74" t="inlineStr">
        <is>
          <t>Orlando Magic</t>
        </is>
      </c>
      <c r="G74" t="n">
        <v>120</v>
      </c>
      <c r="H74" t="n">
        <v>109</v>
      </c>
      <c r="I74" t="inlineStr">
        <is>
          <t>Cleveland Cavaliers</t>
        </is>
      </c>
      <c r="J74" t="inlineStr">
        <is>
          <t>Orlando Magic</t>
        </is>
      </c>
      <c r="K74" t="inlineStr">
        <is>
          <t>Yes</t>
        </is>
      </c>
      <c r="L74" t="inlineStr"/>
      <c r="M74" t="inlineStr">
        <is>
          <t>https://fixturedownload.com/download/nba-2024-UTC.csv</t>
        </is>
      </c>
    </row>
    <row r="75">
      <c r="A75" t="n">
        <v>74</v>
      </c>
      <c r="B75" t="n">
        <v>2</v>
      </c>
      <c r="C75" t="inlineStr">
        <is>
          <t>01/11/2024 23:00</t>
        </is>
      </c>
      <c r="D75" t="inlineStr">
        <is>
          <t>Little Caesars Arena</t>
        </is>
      </c>
      <c r="E75" t="inlineStr">
        <is>
          <t>Detroit Pistons</t>
        </is>
      </c>
      <c r="F75" t="inlineStr">
        <is>
          <t>New York Knicks</t>
        </is>
      </c>
      <c r="G75" t="n">
        <v>98</v>
      </c>
      <c r="H75" t="n">
        <v>128</v>
      </c>
      <c r="I75" t="inlineStr">
        <is>
          <t>New York Knicks</t>
        </is>
      </c>
      <c r="J75" t="inlineStr">
        <is>
          <t>Detroit Pistons</t>
        </is>
      </c>
      <c r="K75" t="inlineStr">
        <is>
          <t>Yes</t>
        </is>
      </c>
      <c r="L75" t="inlineStr"/>
      <c r="M75" t="inlineStr">
        <is>
          <t>https://fixturedownload.com/download/nba-2024-UTC.csv</t>
        </is>
      </c>
    </row>
    <row r="76">
      <c r="A76" t="n">
        <v>75</v>
      </c>
      <c r="B76" t="n">
        <v>2</v>
      </c>
      <c r="C76" t="inlineStr">
        <is>
          <t>01/11/2024 23:30</t>
        </is>
      </c>
      <c r="D76" t="inlineStr">
        <is>
          <t>State Farm Arena</t>
        </is>
      </c>
      <c r="E76" t="inlineStr">
        <is>
          <t>Atlanta Hawks</t>
        </is>
      </c>
      <c r="F76" t="inlineStr">
        <is>
          <t>Sacramento Kings</t>
        </is>
      </c>
      <c r="G76" t="n">
        <v>115</v>
      </c>
      <c r="H76" t="n">
        <v>123</v>
      </c>
      <c r="I76" t="inlineStr">
        <is>
          <t>Sacramento Kings</t>
        </is>
      </c>
      <c r="J76" t="inlineStr">
        <is>
          <t>Atlanta Hawks</t>
        </is>
      </c>
      <c r="K76" t="inlineStr">
        <is>
          <t>Yes</t>
        </is>
      </c>
      <c r="L76" t="inlineStr"/>
      <c r="M76" t="inlineStr">
        <is>
          <t>https://fixturedownload.com/download/nba-2024-UTC.csv</t>
        </is>
      </c>
    </row>
    <row r="77">
      <c r="A77" t="n">
        <v>76</v>
      </c>
      <c r="B77" t="n">
        <v>2</v>
      </c>
      <c r="C77" t="inlineStr">
        <is>
          <t>01/11/2024 23:30</t>
        </is>
      </c>
      <c r="D77" t="inlineStr">
        <is>
          <t>Barclays Center</t>
        </is>
      </c>
      <c r="E77" t="inlineStr">
        <is>
          <t>Brooklyn Nets</t>
        </is>
      </c>
      <c r="F77" t="inlineStr">
        <is>
          <t>Chicago Bulls</t>
        </is>
      </c>
      <c r="G77" t="n">
        <v>120</v>
      </c>
      <c r="H77" t="n">
        <v>112</v>
      </c>
      <c r="I77" t="inlineStr">
        <is>
          <t>Brooklyn Nets</t>
        </is>
      </c>
      <c r="J77" t="inlineStr">
        <is>
          <t>Chicago Bulls</t>
        </is>
      </c>
      <c r="K77" t="inlineStr">
        <is>
          <t>Yes</t>
        </is>
      </c>
      <c r="L77" t="inlineStr"/>
      <c r="M77" t="inlineStr">
        <is>
          <t>https://fixturedownload.com/download/nba-2024-UTC.csv</t>
        </is>
      </c>
    </row>
    <row r="78">
      <c r="A78" t="n">
        <v>77</v>
      </c>
      <c r="B78" t="n">
        <v>2</v>
      </c>
      <c r="C78" t="inlineStr">
        <is>
          <t>01/11/2024 23:30</t>
        </is>
      </c>
      <c r="D78" t="inlineStr">
        <is>
          <t>Scotiabank Arena</t>
        </is>
      </c>
      <c r="E78" t="inlineStr">
        <is>
          <t>Toronto Raptors</t>
        </is>
      </c>
      <c r="F78" t="inlineStr">
        <is>
          <t>Los Angeles Lakers</t>
        </is>
      </c>
      <c r="G78" t="n">
        <v>125</v>
      </c>
      <c r="H78" t="n">
        <v>131</v>
      </c>
      <c r="I78" t="inlineStr">
        <is>
          <t>Los Angeles Lakers</t>
        </is>
      </c>
      <c r="J78" t="inlineStr">
        <is>
          <t>Toronto Raptors</t>
        </is>
      </c>
      <c r="K78" t="inlineStr">
        <is>
          <t>Yes</t>
        </is>
      </c>
      <c r="L78" t="inlineStr"/>
      <c r="M78" t="inlineStr">
        <is>
          <t>https://fixturedownload.com/download/nba-2024-UTC.csv</t>
        </is>
      </c>
    </row>
    <row r="79">
      <c r="A79" t="n">
        <v>78</v>
      </c>
      <c r="B79" t="n">
        <v>2</v>
      </c>
      <c r="C79" t="inlineStr">
        <is>
          <t>02/11/2024 00:00</t>
        </is>
      </c>
      <c r="D79" t="inlineStr">
        <is>
          <t>Smoothie King Center</t>
        </is>
      </c>
      <c r="E79" t="inlineStr">
        <is>
          <t>New Orleans Pelicans</t>
        </is>
      </c>
      <c r="F79" t="inlineStr">
        <is>
          <t>Indiana Pacers</t>
        </is>
      </c>
      <c r="G79" t="n">
        <v>125</v>
      </c>
      <c r="H79" t="n">
        <v>118</v>
      </c>
      <c r="I79" t="inlineStr">
        <is>
          <t>New Orleans Pelicans</t>
        </is>
      </c>
      <c r="J79" t="inlineStr">
        <is>
          <t>Indiana Pacers</t>
        </is>
      </c>
      <c r="K79" t="inlineStr">
        <is>
          <t>Yes</t>
        </is>
      </c>
      <c r="L79" t="inlineStr"/>
      <c r="M79" t="inlineStr">
        <is>
          <t>https://fixturedownload.com/download/nba-2024-UTC.csv</t>
        </is>
      </c>
    </row>
    <row r="80">
      <c r="A80" t="n">
        <v>79</v>
      </c>
      <c r="B80" t="n">
        <v>2</v>
      </c>
      <c r="C80" t="inlineStr">
        <is>
          <t>02/11/2024 01:30</t>
        </is>
      </c>
      <c r="D80" t="inlineStr">
        <is>
          <t>Target Center</t>
        </is>
      </c>
      <c r="E80" t="inlineStr">
        <is>
          <t>Minnesota Timberwolves</t>
        </is>
      </c>
      <c r="F80" t="inlineStr">
        <is>
          <t>Denver Nuggets</t>
        </is>
      </c>
      <c r="G80" t="n">
        <v>119</v>
      </c>
      <c r="H80" t="n">
        <v>116</v>
      </c>
      <c r="I80" t="inlineStr">
        <is>
          <t>Minnesota Timberwolves</t>
        </is>
      </c>
      <c r="J80" t="inlineStr">
        <is>
          <t>Denver Nuggets</t>
        </is>
      </c>
      <c r="K80" t="inlineStr">
        <is>
          <t>Yes</t>
        </is>
      </c>
      <c r="L80" t="inlineStr"/>
      <c r="M80" t="inlineStr">
        <is>
          <t>https://fixturedownload.com/download/nba-2024-UTC.csv</t>
        </is>
      </c>
    </row>
    <row r="81">
      <c r="A81" t="n">
        <v>80</v>
      </c>
      <c r="B81" t="n">
        <v>2</v>
      </c>
      <c r="C81" t="inlineStr">
        <is>
          <t>02/11/2024 02:00</t>
        </is>
      </c>
      <c r="D81" t="inlineStr">
        <is>
          <t>Moda Center</t>
        </is>
      </c>
      <c r="E81" t="inlineStr">
        <is>
          <t>Portland Trail Blazers</t>
        </is>
      </c>
      <c r="F81" t="inlineStr">
        <is>
          <t>Oklahoma City Thunder</t>
        </is>
      </c>
      <c r="G81" t="n">
        <v>114</v>
      </c>
      <c r="H81" t="n">
        <v>137</v>
      </c>
      <c r="I81" t="inlineStr">
        <is>
          <t>Oklahoma City Thunder</t>
        </is>
      </c>
      <c r="J81" t="inlineStr">
        <is>
          <t>Portland Trail Blazers</t>
        </is>
      </c>
      <c r="K81" t="inlineStr">
        <is>
          <t>Yes</t>
        </is>
      </c>
      <c r="L81" t="inlineStr"/>
      <c r="M81" t="inlineStr">
        <is>
          <t>https://fixturedownload.com/download/nba-2024-UTC.csv</t>
        </is>
      </c>
    </row>
    <row r="82">
      <c r="A82" t="n">
        <v>81</v>
      </c>
      <c r="B82" t="n">
        <v>2</v>
      </c>
      <c r="C82" t="inlineStr">
        <is>
          <t>02/11/2024 22:00</t>
        </is>
      </c>
      <c r="D82" t="inlineStr">
        <is>
          <t>Spectrum Center</t>
        </is>
      </c>
      <c r="E82" t="inlineStr">
        <is>
          <t>Charlotte Hornets</t>
        </is>
      </c>
      <c r="F82" t="inlineStr">
        <is>
          <t>Boston Celtics</t>
        </is>
      </c>
      <c r="G82" t="n">
        <v>103</v>
      </c>
      <c r="H82" t="n">
        <v>113</v>
      </c>
      <c r="I82" t="inlineStr">
        <is>
          <t>Boston Celtics</t>
        </is>
      </c>
      <c r="J82" t="inlineStr">
        <is>
          <t>Charlotte Hornets</t>
        </is>
      </c>
      <c r="K82" t="inlineStr">
        <is>
          <t>Yes</t>
        </is>
      </c>
      <c r="L82" t="inlineStr"/>
      <c r="M82" t="inlineStr">
        <is>
          <t>https://fixturedownload.com/download/nba-2024-UTC.csv</t>
        </is>
      </c>
    </row>
    <row r="83">
      <c r="A83" t="n">
        <v>82</v>
      </c>
      <c r="B83" t="n">
        <v>2</v>
      </c>
      <c r="C83" t="inlineStr">
        <is>
          <t>02/11/2024 23:30</t>
        </is>
      </c>
      <c r="D83" t="inlineStr">
        <is>
          <t>Wells Fargo Center</t>
        </is>
      </c>
      <c r="E83" t="inlineStr">
        <is>
          <t>Philadelphia 76ers</t>
        </is>
      </c>
      <c r="F83" t="inlineStr">
        <is>
          <t>Memphis Grizzlies</t>
        </is>
      </c>
      <c r="G83" t="n">
        <v>104</v>
      </c>
      <c r="H83" t="n">
        <v>124</v>
      </c>
      <c r="I83" t="inlineStr">
        <is>
          <t>Memphis Grizzlies</t>
        </is>
      </c>
      <c r="J83" t="inlineStr">
        <is>
          <t>Philadelphia 76ers</t>
        </is>
      </c>
      <c r="K83" t="inlineStr">
        <is>
          <t>Yes</t>
        </is>
      </c>
      <c r="L83" t="inlineStr"/>
      <c r="M83" t="inlineStr">
        <is>
          <t>https://fixturedownload.com/download/nba-2024-UTC.csv</t>
        </is>
      </c>
    </row>
    <row r="84">
      <c r="A84" t="n">
        <v>83</v>
      </c>
      <c r="B84" t="n">
        <v>2</v>
      </c>
      <c r="C84" t="inlineStr">
        <is>
          <t>02/11/2024 23:30</t>
        </is>
      </c>
      <c r="D84" t="inlineStr">
        <is>
          <t>Scotiabank Arena</t>
        </is>
      </c>
      <c r="E84" t="inlineStr">
        <is>
          <t>Toronto Raptors</t>
        </is>
      </c>
      <c r="F84" t="inlineStr">
        <is>
          <t>Sacramento Kings</t>
        </is>
      </c>
      <c r="G84" t="n">
        <v>131</v>
      </c>
      <c r="H84" t="n">
        <v>128</v>
      </c>
      <c r="I84" t="inlineStr">
        <is>
          <t>Toronto Raptors</t>
        </is>
      </c>
      <c r="J84" t="inlineStr">
        <is>
          <t>Sacramento Kings</t>
        </is>
      </c>
      <c r="K84" t="inlineStr">
        <is>
          <t>Yes</t>
        </is>
      </c>
      <c r="L84" t="inlineStr"/>
      <c r="M84" t="inlineStr">
        <is>
          <t>https://fixturedownload.com/download/nba-2024-UTC.csv</t>
        </is>
      </c>
    </row>
    <row r="85">
      <c r="A85" t="n">
        <v>84</v>
      </c>
      <c r="B85" t="n">
        <v>2</v>
      </c>
      <c r="C85" t="inlineStr">
        <is>
          <t>03/11/2024 00:00</t>
        </is>
      </c>
      <c r="D85" t="inlineStr">
        <is>
          <t>Toyota Center</t>
        </is>
      </c>
      <c r="E85" t="inlineStr">
        <is>
          <t>Houston Rockets</t>
        </is>
      </c>
      <c r="F85" t="inlineStr">
        <is>
          <t>Golden State Warriors</t>
        </is>
      </c>
      <c r="G85" t="n">
        <v>121</v>
      </c>
      <c r="H85" t="n">
        <v>127</v>
      </c>
      <c r="I85" t="inlineStr">
        <is>
          <t>Golden State Warriors</t>
        </is>
      </c>
      <c r="J85" t="inlineStr">
        <is>
          <t>Houston Rockets</t>
        </is>
      </c>
      <c r="K85" t="inlineStr">
        <is>
          <t>Yes</t>
        </is>
      </c>
      <c r="L85" t="inlineStr"/>
      <c r="M85" t="inlineStr">
        <is>
          <t>https://fixturedownload.com/download/nba-2024-UTC.csv</t>
        </is>
      </c>
    </row>
    <row r="86">
      <c r="A86" t="n">
        <v>85</v>
      </c>
      <c r="B86" t="n">
        <v>2</v>
      </c>
      <c r="C86" t="inlineStr">
        <is>
          <t>03/11/2024 00:00</t>
        </is>
      </c>
      <c r="D86" t="inlineStr">
        <is>
          <t>Fiserv Forum</t>
        </is>
      </c>
      <c r="E86" t="inlineStr">
        <is>
          <t>Milwaukee Bucks</t>
        </is>
      </c>
      <c r="F86" t="inlineStr">
        <is>
          <t>Cleveland Cavaliers</t>
        </is>
      </c>
      <c r="G86" t="n">
        <v>113</v>
      </c>
      <c r="H86" t="n">
        <v>114</v>
      </c>
      <c r="I86" t="inlineStr">
        <is>
          <t>Cleveland Cavaliers</t>
        </is>
      </c>
      <c r="J86" t="inlineStr">
        <is>
          <t>Milwaukee Bucks</t>
        </is>
      </c>
      <c r="K86" t="inlineStr">
        <is>
          <t>Yes</t>
        </is>
      </c>
      <c r="L86" t="inlineStr"/>
      <c r="M86" t="inlineStr">
        <is>
          <t>https://fixturedownload.com/download/nba-2024-UTC.csv</t>
        </is>
      </c>
    </row>
    <row r="87">
      <c r="A87" t="n">
        <v>86</v>
      </c>
      <c r="B87" t="n">
        <v>2</v>
      </c>
      <c r="C87" t="inlineStr">
        <is>
          <t>03/11/2024 00:00</t>
        </is>
      </c>
      <c r="D87" t="inlineStr">
        <is>
          <t>Frost Bank Center</t>
        </is>
      </c>
      <c r="E87" t="inlineStr">
        <is>
          <t>San Antonio Spurs</t>
        </is>
      </c>
      <c r="F87" t="inlineStr">
        <is>
          <t>Minnesota Timberwolves</t>
        </is>
      </c>
      <c r="G87" t="n">
        <v>113</v>
      </c>
      <c r="H87" t="n">
        <v>103</v>
      </c>
      <c r="I87" t="inlineStr">
        <is>
          <t>San Antonio Spurs</t>
        </is>
      </c>
      <c r="J87" t="inlineStr">
        <is>
          <t>Minnesota Timberwolves</t>
        </is>
      </c>
      <c r="K87" t="inlineStr">
        <is>
          <t>Yes</t>
        </is>
      </c>
      <c r="L87" t="inlineStr"/>
      <c r="M87" t="inlineStr">
        <is>
          <t>https://fixturedownload.com/download/nba-2024-UTC.csv</t>
        </is>
      </c>
    </row>
    <row r="88">
      <c r="A88" t="n">
        <v>87</v>
      </c>
      <c r="B88" t="n">
        <v>2</v>
      </c>
      <c r="C88" t="inlineStr">
        <is>
          <t>03/11/2024 01:30</t>
        </is>
      </c>
      <c r="D88" t="inlineStr">
        <is>
          <t>Arena CDMX</t>
        </is>
      </c>
      <c r="E88" t="inlineStr">
        <is>
          <t>Washington Wizards</t>
        </is>
      </c>
      <c r="F88" t="inlineStr">
        <is>
          <t>Miami Heat</t>
        </is>
      </c>
      <c r="G88" t="n">
        <v>98</v>
      </c>
      <c r="H88" t="n">
        <v>118</v>
      </c>
      <c r="I88" t="inlineStr">
        <is>
          <t>Miami Heat</t>
        </is>
      </c>
      <c r="J88" t="inlineStr">
        <is>
          <t>Washington Wizards</t>
        </is>
      </c>
      <c r="K88" t="inlineStr">
        <is>
          <t>Yes</t>
        </is>
      </c>
      <c r="L88" t="inlineStr"/>
      <c r="M88" t="inlineStr">
        <is>
          <t>https://fixturedownload.com/download/nba-2024-UTC.csv</t>
        </is>
      </c>
    </row>
    <row r="89">
      <c r="A89" t="n">
        <v>88</v>
      </c>
      <c r="B89" t="n">
        <v>2</v>
      </c>
      <c r="C89" t="inlineStr">
        <is>
          <t>03/11/2024 02:00</t>
        </is>
      </c>
      <c r="D89" t="inlineStr">
        <is>
          <t>Ball Arena</t>
        </is>
      </c>
      <c r="E89" t="inlineStr">
        <is>
          <t>Denver Nuggets</t>
        </is>
      </c>
      <c r="F89" t="inlineStr">
        <is>
          <t>Utah Jazz</t>
        </is>
      </c>
      <c r="G89" t="n">
        <v>129</v>
      </c>
      <c r="H89" t="n">
        <v>103</v>
      </c>
      <c r="I89" t="inlineStr">
        <is>
          <t>Denver Nuggets</t>
        </is>
      </c>
      <c r="J89" t="inlineStr">
        <is>
          <t>Utah Jazz</t>
        </is>
      </c>
      <c r="K89" t="inlineStr">
        <is>
          <t>Yes</t>
        </is>
      </c>
      <c r="L89" t="inlineStr"/>
      <c r="M89" t="inlineStr">
        <is>
          <t>https://fixturedownload.com/download/nba-2024-UTC.csv</t>
        </is>
      </c>
    </row>
    <row r="90">
      <c r="A90" t="n">
        <v>89</v>
      </c>
      <c r="B90" t="n">
        <v>2</v>
      </c>
      <c r="C90" t="inlineStr">
        <is>
          <t>03/11/2024 02:00</t>
        </is>
      </c>
      <c r="D90" t="inlineStr">
        <is>
          <t>PHX Arena</t>
        </is>
      </c>
      <c r="E90" t="inlineStr">
        <is>
          <t>Phoenix Suns</t>
        </is>
      </c>
      <c r="F90" t="inlineStr">
        <is>
          <t>Portland Trail Blazers</t>
        </is>
      </c>
      <c r="G90" t="n">
        <v>103</v>
      </c>
      <c r="H90" t="n">
        <v>97</v>
      </c>
      <c r="I90" t="inlineStr">
        <is>
          <t>Phoenix Suns</t>
        </is>
      </c>
      <c r="J90" t="inlineStr">
        <is>
          <t>Portland Trail Blazers</t>
        </is>
      </c>
      <c r="K90" t="inlineStr">
        <is>
          <t>Yes</t>
        </is>
      </c>
      <c r="L90" t="inlineStr"/>
      <c r="M90" t="inlineStr">
        <is>
          <t>https://fixturedownload.com/download/nba-2024-UTC.csv</t>
        </is>
      </c>
    </row>
    <row r="91">
      <c r="A91" t="n">
        <v>90</v>
      </c>
      <c r="B91" t="n">
        <v>2</v>
      </c>
      <c r="C91" t="inlineStr">
        <is>
          <t>03/11/2024 02:30</t>
        </is>
      </c>
      <c r="D91" t="inlineStr">
        <is>
          <t>Intuit Dome</t>
        </is>
      </c>
      <c r="E91" t="inlineStr">
        <is>
          <t>LA Clippers</t>
        </is>
      </c>
      <c r="F91" t="inlineStr">
        <is>
          <t>Oklahoma City Thunder</t>
        </is>
      </c>
      <c r="G91" t="n">
        <v>92</v>
      </c>
      <c r="H91" t="n">
        <v>105</v>
      </c>
      <c r="I91" t="inlineStr">
        <is>
          <t>Oklahoma City Thunder</t>
        </is>
      </c>
      <c r="J91" t="inlineStr">
        <is>
          <t>LA Clippers</t>
        </is>
      </c>
      <c r="K91" t="inlineStr">
        <is>
          <t>Yes</t>
        </is>
      </c>
      <c r="L91" t="inlineStr"/>
      <c r="M91" t="inlineStr">
        <is>
          <t>https://fixturedownload.com/download/nba-2024-UTC.csv</t>
        </is>
      </c>
    </row>
    <row r="92">
      <c r="A92" t="n">
        <v>91</v>
      </c>
      <c r="B92" t="n">
        <v>2</v>
      </c>
      <c r="C92" t="inlineStr">
        <is>
          <t>03/11/2024 20:30</t>
        </is>
      </c>
      <c r="D92" t="inlineStr">
        <is>
          <t>Barclays Center</t>
        </is>
      </c>
      <c r="E92" t="inlineStr">
        <is>
          <t>Brooklyn Nets</t>
        </is>
      </c>
      <c r="F92" t="inlineStr">
        <is>
          <t>Detroit Pistons</t>
        </is>
      </c>
      <c r="G92" t="n">
        <v>92</v>
      </c>
      <c r="H92" t="n">
        <v>106</v>
      </c>
      <c r="I92" t="inlineStr">
        <is>
          <t>Detroit Pistons</t>
        </is>
      </c>
      <c r="J92" t="inlineStr">
        <is>
          <t>Brooklyn Nets</t>
        </is>
      </c>
      <c r="K92" t="inlineStr">
        <is>
          <t>Yes</t>
        </is>
      </c>
      <c r="L92" t="inlineStr"/>
      <c r="M92" t="inlineStr">
        <is>
          <t>https://fixturedownload.com/download/nba-2024-UTC.csv</t>
        </is>
      </c>
    </row>
    <row r="93">
      <c r="A93" t="n">
        <v>92</v>
      </c>
      <c r="B93" t="n">
        <v>2</v>
      </c>
      <c r="C93" t="inlineStr">
        <is>
          <t>04/11/2024 00:00</t>
        </is>
      </c>
      <c r="D93" t="inlineStr">
        <is>
          <t>Smoothie King Center</t>
        </is>
      </c>
      <c r="E93" t="inlineStr">
        <is>
          <t>New Orleans Pelicans</t>
        </is>
      </c>
      <c r="F93" t="inlineStr">
        <is>
          <t>Atlanta Hawks</t>
        </is>
      </c>
      <c r="G93" t="n">
        <v>111</v>
      </c>
      <c r="H93" t="n">
        <v>126</v>
      </c>
      <c r="I93" t="inlineStr">
        <is>
          <t>Atlanta Hawks</t>
        </is>
      </c>
      <c r="J93" t="inlineStr">
        <is>
          <t>New Orleans Pelicans</t>
        </is>
      </c>
      <c r="K93" t="inlineStr">
        <is>
          <t>Yes</t>
        </is>
      </c>
      <c r="L93" t="inlineStr"/>
      <c r="M93" t="inlineStr">
        <is>
          <t>https://fixturedownload.com/download/nba-2024-UTC.csv</t>
        </is>
      </c>
    </row>
    <row r="94">
      <c r="A94" t="n">
        <v>93</v>
      </c>
      <c r="B94" t="n">
        <v>2</v>
      </c>
      <c r="C94" t="inlineStr">
        <is>
          <t>04/11/2024 00:30</t>
        </is>
      </c>
      <c r="D94" t="inlineStr">
        <is>
          <t>American Airlines Center</t>
        </is>
      </c>
      <c r="E94" t="inlineStr">
        <is>
          <t>Dallas Mavericks</t>
        </is>
      </c>
      <c r="F94" t="inlineStr">
        <is>
          <t>Orlando Magic</t>
        </is>
      </c>
      <c r="G94" t="n">
        <v>108</v>
      </c>
      <c r="H94" t="n">
        <v>85</v>
      </c>
      <c r="I94" t="inlineStr">
        <is>
          <t>Dallas Mavericks</t>
        </is>
      </c>
      <c r="J94" t="inlineStr">
        <is>
          <t>Orlando Magic</t>
        </is>
      </c>
      <c r="K94" t="inlineStr">
        <is>
          <t>Yes</t>
        </is>
      </c>
      <c r="L94" t="inlineStr"/>
      <c r="M94" t="inlineStr">
        <is>
          <t>https://fixturedownload.com/download/nba-2024-UTC.csv</t>
        </is>
      </c>
    </row>
    <row r="95">
      <c r="A95" t="n">
        <v>94</v>
      </c>
      <c r="B95" t="n">
        <v>2</v>
      </c>
      <c r="C95" t="inlineStr">
        <is>
          <t>05/11/2024 00:00</t>
        </is>
      </c>
      <c r="D95" t="inlineStr">
        <is>
          <t>Rocket Arena</t>
        </is>
      </c>
      <c r="E95" t="inlineStr">
        <is>
          <t>Cleveland Cavaliers</t>
        </is>
      </c>
      <c r="F95" t="inlineStr">
        <is>
          <t>Milwaukee Bucks</t>
        </is>
      </c>
      <c r="G95" t="n">
        <v>116</v>
      </c>
      <c r="H95" t="n">
        <v>114</v>
      </c>
      <c r="I95" t="inlineStr">
        <is>
          <t>Cleveland Cavaliers</t>
        </is>
      </c>
      <c r="J95" t="inlineStr">
        <is>
          <t>Milwaukee Bucks</t>
        </is>
      </c>
      <c r="K95" t="inlineStr">
        <is>
          <t>Yes</t>
        </is>
      </c>
      <c r="L95" t="inlineStr"/>
      <c r="M95" t="inlineStr">
        <is>
          <t>https://fixturedownload.com/download/nba-2024-UTC.csv</t>
        </is>
      </c>
    </row>
    <row r="96">
      <c r="A96" t="n">
        <v>95</v>
      </c>
      <c r="B96" t="n">
        <v>2</v>
      </c>
      <c r="C96" t="inlineStr">
        <is>
          <t>05/11/2024 00:15</t>
        </is>
      </c>
      <c r="D96" t="inlineStr">
        <is>
          <t>Capital One Arena</t>
        </is>
      </c>
      <c r="E96" t="inlineStr">
        <is>
          <t>Washington Wizards</t>
        </is>
      </c>
      <c r="F96" t="inlineStr">
        <is>
          <t>Golden State Warriors</t>
        </is>
      </c>
      <c r="G96" t="n">
        <v>112</v>
      </c>
      <c r="H96" t="n">
        <v>125</v>
      </c>
      <c r="I96" t="inlineStr">
        <is>
          <t>Golden State Warriors</t>
        </is>
      </c>
      <c r="J96" t="inlineStr">
        <is>
          <t>Washington Wizards</t>
        </is>
      </c>
      <c r="K96" t="inlineStr">
        <is>
          <t>Yes</t>
        </is>
      </c>
      <c r="L96" t="inlineStr"/>
      <c r="M96" t="inlineStr">
        <is>
          <t>https://fixturedownload.com/download/nba-2024-UTC.csv</t>
        </is>
      </c>
    </row>
    <row r="97">
      <c r="A97" t="n">
        <v>96</v>
      </c>
      <c r="B97" t="n">
        <v>2</v>
      </c>
      <c r="C97" t="inlineStr">
        <is>
          <t>05/11/2024 00:30</t>
        </is>
      </c>
      <c r="D97" t="inlineStr">
        <is>
          <t>Little Caesars Arena</t>
        </is>
      </c>
      <c r="E97" t="inlineStr">
        <is>
          <t>Detroit Pistons</t>
        </is>
      </c>
      <c r="F97" t="inlineStr">
        <is>
          <t>Los Angeles Lakers</t>
        </is>
      </c>
      <c r="G97" t="n">
        <v>115</v>
      </c>
      <c r="H97" t="n">
        <v>103</v>
      </c>
      <c r="I97" t="inlineStr">
        <is>
          <t>Detroit Pistons</t>
        </is>
      </c>
      <c r="J97" t="inlineStr">
        <is>
          <t>Los Angeles Lakers</t>
        </is>
      </c>
      <c r="K97" t="inlineStr">
        <is>
          <t>Yes</t>
        </is>
      </c>
      <c r="L97" t="inlineStr"/>
      <c r="M97" t="inlineStr">
        <is>
          <t>https://fixturedownload.com/download/nba-2024-UTC.csv</t>
        </is>
      </c>
    </row>
    <row r="98">
      <c r="A98" t="n">
        <v>97</v>
      </c>
      <c r="B98" t="n">
        <v>2</v>
      </c>
      <c r="C98" t="inlineStr">
        <is>
          <t>05/11/2024 00:45</t>
        </is>
      </c>
      <c r="D98" t="inlineStr">
        <is>
          <t>State Farm Arena</t>
        </is>
      </c>
      <c r="E98" t="inlineStr">
        <is>
          <t>Atlanta Hawks</t>
        </is>
      </c>
      <c r="F98" t="inlineStr">
        <is>
          <t>Boston Celtics</t>
        </is>
      </c>
      <c r="G98" t="n">
        <v>93</v>
      </c>
      <c r="H98" t="n">
        <v>123</v>
      </c>
      <c r="I98" t="inlineStr">
        <is>
          <t>Boston Celtics</t>
        </is>
      </c>
      <c r="J98" t="inlineStr">
        <is>
          <t>Atlanta Hawks</t>
        </is>
      </c>
      <c r="K98" t="inlineStr">
        <is>
          <t>Yes</t>
        </is>
      </c>
      <c r="L98" t="inlineStr"/>
      <c r="M98" t="inlineStr">
        <is>
          <t>https://fixturedownload.com/download/nba-2024-UTC.csv</t>
        </is>
      </c>
    </row>
    <row r="99">
      <c r="A99" t="n">
        <v>98</v>
      </c>
      <c r="B99" t="n">
        <v>2</v>
      </c>
      <c r="C99" t="inlineStr">
        <is>
          <t>05/11/2024 01:00</t>
        </is>
      </c>
      <c r="D99" t="inlineStr">
        <is>
          <t>Barclays Center</t>
        </is>
      </c>
      <c r="E99" t="inlineStr">
        <is>
          <t>Brooklyn Nets</t>
        </is>
      </c>
      <c r="F99" t="inlineStr">
        <is>
          <t>Memphis Grizzlies</t>
        </is>
      </c>
      <c r="G99" t="n">
        <v>106</v>
      </c>
      <c r="H99" t="n">
        <v>104</v>
      </c>
      <c r="I99" t="inlineStr">
        <is>
          <t>Brooklyn Nets</t>
        </is>
      </c>
      <c r="J99" t="inlineStr">
        <is>
          <t>Memphis Grizzlies</t>
        </is>
      </c>
      <c r="K99" t="inlineStr">
        <is>
          <t>Yes</t>
        </is>
      </c>
      <c r="L99" t="inlineStr"/>
      <c r="M99" t="inlineStr">
        <is>
          <t>https://fixturedownload.com/download/nba-2024-UTC.csv</t>
        </is>
      </c>
    </row>
    <row r="100">
      <c r="A100" t="n">
        <v>99</v>
      </c>
      <c r="B100" t="n">
        <v>2</v>
      </c>
      <c r="C100" t="inlineStr">
        <is>
          <t>05/11/2024 01:15</t>
        </is>
      </c>
      <c r="D100" t="inlineStr">
        <is>
          <t>Kaseya Center</t>
        </is>
      </c>
      <c r="E100" t="inlineStr">
        <is>
          <t>Miami Heat</t>
        </is>
      </c>
      <c r="F100" t="inlineStr">
        <is>
          <t>Sacramento Kings</t>
        </is>
      </c>
      <c r="G100" t="n">
        <v>110</v>
      </c>
      <c r="H100" t="n">
        <v>111</v>
      </c>
      <c r="I100" t="inlineStr">
        <is>
          <t>Sacramento Kings</t>
        </is>
      </c>
      <c r="J100" t="inlineStr">
        <is>
          <t>Miami Heat</t>
        </is>
      </c>
      <c r="K100" t="inlineStr">
        <is>
          <t>Yes</t>
        </is>
      </c>
      <c r="L100" t="inlineStr"/>
      <c r="M100" t="inlineStr">
        <is>
          <t>https://fixturedownload.com/download/nba-2024-UTC.csv</t>
        </is>
      </c>
    </row>
    <row r="101">
      <c r="A101" t="n">
        <v>100</v>
      </c>
      <c r="B101" t="n">
        <v>2</v>
      </c>
      <c r="C101" t="inlineStr">
        <is>
          <t>05/11/2024 01:30</t>
        </is>
      </c>
      <c r="D101" t="inlineStr">
        <is>
          <t>United Center</t>
        </is>
      </c>
      <c r="E101" t="inlineStr">
        <is>
          <t>Chicago Bulls</t>
        </is>
      </c>
      <c r="F101" t="inlineStr">
        <is>
          <t>Utah Jazz</t>
        </is>
      </c>
      <c r="G101" t="n">
        <v>126</v>
      </c>
      <c r="H101" t="n">
        <v>135</v>
      </c>
      <c r="I101" t="inlineStr">
        <is>
          <t>Utah Jazz</t>
        </is>
      </c>
      <c r="J101" t="inlineStr">
        <is>
          <t>Chicago Bulls</t>
        </is>
      </c>
      <c r="K101" t="inlineStr">
        <is>
          <t>Yes</t>
        </is>
      </c>
      <c r="L101" t="inlineStr"/>
      <c r="M101" t="inlineStr">
        <is>
          <t>https://fixturedownload.com/download/nba-2024-UTC.csv</t>
        </is>
      </c>
    </row>
    <row r="102">
      <c r="A102" t="n">
        <v>101</v>
      </c>
      <c r="B102" t="n">
        <v>2</v>
      </c>
      <c r="C102" t="inlineStr">
        <is>
          <t>05/11/2024 01:45</t>
        </is>
      </c>
      <c r="D102" t="inlineStr">
        <is>
          <t>Toyota Center</t>
        </is>
      </c>
      <c r="E102" t="inlineStr">
        <is>
          <t>Houston Rockets</t>
        </is>
      </c>
      <c r="F102" t="inlineStr">
        <is>
          <t>New York Knicks</t>
        </is>
      </c>
      <c r="G102" t="n">
        <v>109</v>
      </c>
      <c r="H102" t="n">
        <v>97</v>
      </c>
      <c r="I102" t="inlineStr">
        <is>
          <t>Houston Rockets</t>
        </is>
      </c>
      <c r="J102" t="inlineStr">
        <is>
          <t>New York Knicks</t>
        </is>
      </c>
      <c r="K102" t="inlineStr">
        <is>
          <t>Yes</t>
        </is>
      </c>
      <c r="L102" t="inlineStr"/>
      <c r="M102" t="inlineStr">
        <is>
          <t>https://fixturedownload.com/download/nba-2024-UTC.csv</t>
        </is>
      </c>
    </row>
    <row r="103">
      <c r="A103" t="n">
        <v>102</v>
      </c>
      <c r="B103" t="n">
        <v>2</v>
      </c>
      <c r="C103" t="inlineStr">
        <is>
          <t>05/11/2024 02:00</t>
        </is>
      </c>
      <c r="D103" t="inlineStr">
        <is>
          <t>Target Center</t>
        </is>
      </c>
      <c r="E103" t="inlineStr">
        <is>
          <t>Minnesota Timberwolves</t>
        </is>
      </c>
      <c r="F103" t="inlineStr">
        <is>
          <t>Charlotte Hornets</t>
        </is>
      </c>
      <c r="G103" t="n">
        <v>114</v>
      </c>
      <c r="H103" t="n">
        <v>93</v>
      </c>
      <c r="I103" t="inlineStr">
        <is>
          <t>Minnesota Timberwolves</t>
        </is>
      </c>
      <c r="J103" t="inlineStr">
        <is>
          <t>Charlotte Hornets</t>
        </is>
      </c>
      <c r="K103" t="inlineStr">
        <is>
          <t>Yes</t>
        </is>
      </c>
      <c r="L103" t="inlineStr"/>
      <c r="M103" t="inlineStr">
        <is>
          <t>https://fixturedownload.com/download/nba-2024-UTC.csv</t>
        </is>
      </c>
    </row>
    <row r="104">
      <c r="A104" t="n">
        <v>103</v>
      </c>
      <c r="B104" t="n">
        <v>2</v>
      </c>
      <c r="C104" t="inlineStr">
        <is>
          <t>05/11/2024 02:15</t>
        </is>
      </c>
      <c r="D104" t="inlineStr">
        <is>
          <t>Paycom Center</t>
        </is>
      </c>
      <c r="E104" t="inlineStr">
        <is>
          <t>Oklahoma City Thunder</t>
        </is>
      </c>
      <c r="F104" t="inlineStr">
        <is>
          <t>Orlando Magic</t>
        </is>
      </c>
      <c r="G104" t="n">
        <v>102</v>
      </c>
      <c r="H104" t="n">
        <v>86</v>
      </c>
      <c r="I104" t="inlineStr">
        <is>
          <t>Oklahoma City Thunder</t>
        </is>
      </c>
      <c r="J104" t="inlineStr">
        <is>
          <t>Orlando Magic</t>
        </is>
      </c>
      <c r="K104" t="inlineStr">
        <is>
          <t>Yes</t>
        </is>
      </c>
      <c r="L104" t="inlineStr"/>
      <c r="M104" t="inlineStr">
        <is>
          <t>https://fixturedownload.com/download/nba-2024-UTC.csv</t>
        </is>
      </c>
    </row>
    <row r="105">
      <c r="A105" t="n">
        <v>104</v>
      </c>
      <c r="B105" t="n">
        <v>2</v>
      </c>
      <c r="C105" t="inlineStr">
        <is>
          <t>05/11/2024 02:30</t>
        </is>
      </c>
      <c r="D105" t="inlineStr">
        <is>
          <t>Smoothie King Center</t>
        </is>
      </c>
      <c r="E105" t="inlineStr">
        <is>
          <t>New Orleans Pelicans</t>
        </is>
      </c>
      <c r="F105" t="inlineStr">
        <is>
          <t>Portland Trail Blazers</t>
        </is>
      </c>
      <c r="G105" t="n">
        <v>100</v>
      </c>
      <c r="H105" t="n">
        <v>118</v>
      </c>
      <c r="I105" t="inlineStr">
        <is>
          <t>Portland Trail Blazers</t>
        </is>
      </c>
      <c r="J105" t="inlineStr">
        <is>
          <t>New Orleans Pelicans</t>
        </is>
      </c>
      <c r="K105" t="inlineStr">
        <is>
          <t>Yes</t>
        </is>
      </c>
      <c r="L105" t="inlineStr"/>
      <c r="M105" t="inlineStr">
        <is>
          <t>https://fixturedownload.com/download/nba-2024-UTC.csv</t>
        </is>
      </c>
    </row>
    <row r="106">
      <c r="A106" t="n">
        <v>105</v>
      </c>
      <c r="B106" t="n">
        <v>2</v>
      </c>
      <c r="C106" t="inlineStr">
        <is>
          <t>05/11/2024 02:45</t>
        </is>
      </c>
      <c r="D106" t="inlineStr">
        <is>
          <t>American Airlines Center</t>
        </is>
      </c>
      <c r="E106" t="inlineStr">
        <is>
          <t>Dallas Mavericks</t>
        </is>
      </c>
      <c r="F106" t="inlineStr">
        <is>
          <t>Indiana Pacers</t>
        </is>
      </c>
      <c r="G106" t="n">
        <v>127</v>
      </c>
      <c r="H106" t="n">
        <v>134</v>
      </c>
      <c r="I106" t="inlineStr">
        <is>
          <t>Indiana Pacers</t>
        </is>
      </c>
      <c r="J106" t="inlineStr">
        <is>
          <t>Dallas Mavericks</t>
        </is>
      </c>
      <c r="K106" t="inlineStr">
        <is>
          <t>Yes</t>
        </is>
      </c>
      <c r="L106" t="inlineStr"/>
      <c r="M106" t="inlineStr">
        <is>
          <t>https://fixturedownload.com/download/nba-2024-UTC.csv</t>
        </is>
      </c>
    </row>
    <row r="107">
      <c r="A107" t="n">
        <v>106</v>
      </c>
      <c r="B107" t="n">
        <v>2</v>
      </c>
      <c r="C107" t="inlineStr">
        <is>
          <t>05/11/2024 03:00</t>
        </is>
      </c>
      <c r="D107" t="inlineStr">
        <is>
          <t>Ball Arena</t>
        </is>
      </c>
      <c r="E107" t="inlineStr">
        <is>
          <t>Denver Nuggets</t>
        </is>
      </c>
      <c r="F107" t="inlineStr">
        <is>
          <t>Toronto Raptors</t>
        </is>
      </c>
      <c r="G107" t="n">
        <v>121</v>
      </c>
      <c r="H107" t="n">
        <v>119</v>
      </c>
      <c r="I107" t="inlineStr">
        <is>
          <t>Denver Nuggets</t>
        </is>
      </c>
      <c r="J107" t="inlineStr">
        <is>
          <t>Toronto Raptors</t>
        </is>
      </c>
      <c r="K107" t="inlineStr">
        <is>
          <t>Yes</t>
        </is>
      </c>
      <c r="L107" t="inlineStr"/>
      <c r="M107" t="inlineStr">
        <is>
          <t>https://fixturedownload.com/download/nba-2024-UTC.csv</t>
        </is>
      </c>
    </row>
    <row r="108">
      <c r="A108" t="n">
        <v>107</v>
      </c>
      <c r="B108" t="n">
        <v>2</v>
      </c>
      <c r="C108" t="inlineStr">
        <is>
          <t>05/11/2024 03:15</t>
        </is>
      </c>
      <c r="D108" t="inlineStr">
        <is>
          <t>PHX Arena</t>
        </is>
      </c>
      <c r="E108" t="inlineStr">
        <is>
          <t>Phoenix Suns</t>
        </is>
      </c>
      <c r="F108" t="inlineStr">
        <is>
          <t>Philadelphia 76ers</t>
        </is>
      </c>
      <c r="G108" t="n">
        <v>118</v>
      </c>
      <c r="H108" t="n">
        <v>116</v>
      </c>
      <c r="I108" t="inlineStr">
        <is>
          <t>Phoenix Suns</t>
        </is>
      </c>
      <c r="J108" t="inlineStr">
        <is>
          <t>Philadelphia 76ers</t>
        </is>
      </c>
      <c r="K108" t="inlineStr">
        <is>
          <t>Yes</t>
        </is>
      </c>
      <c r="L108" t="inlineStr"/>
      <c r="M108" t="inlineStr">
        <is>
          <t>https://fixturedownload.com/download/nba-2024-UTC.csv</t>
        </is>
      </c>
    </row>
    <row r="109">
      <c r="A109" t="n">
        <v>108</v>
      </c>
      <c r="B109" t="n">
        <v>2</v>
      </c>
      <c r="C109" t="inlineStr">
        <is>
          <t>05/11/2024 03:30</t>
        </is>
      </c>
      <c r="D109" t="inlineStr">
        <is>
          <t>Intuit Dome</t>
        </is>
      </c>
      <c r="E109" t="inlineStr">
        <is>
          <t>LA Clippers</t>
        </is>
      </c>
      <c r="F109" t="inlineStr">
        <is>
          <t>San Antonio Spurs</t>
        </is>
      </c>
      <c r="G109" t="n">
        <v>113</v>
      </c>
      <c r="H109" t="n">
        <v>104</v>
      </c>
      <c r="I109" t="inlineStr">
        <is>
          <t>LA Clippers</t>
        </is>
      </c>
      <c r="J109" t="inlineStr">
        <is>
          <t>San Antonio Spurs</t>
        </is>
      </c>
      <c r="K109" t="inlineStr">
        <is>
          <t>Yes</t>
        </is>
      </c>
      <c r="L109" t="inlineStr"/>
      <c r="M109" t="inlineStr">
        <is>
          <t>https://fixturedownload.com/download/nba-2024-UTC.csv</t>
        </is>
      </c>
    </row>
    <row r="110">
      <c r="A110" t="n">
        <v>109</v>
      </c>
      <c r="B110" t="n">
        <v>3</v>
      </c>
      <c r="C110" t="inlineStr">
        <is>
          <t>07/11/2024 00:00</t>
        </is>
      </c>
      <c r="D110" t="inlineStr">
        <is>
          <t>Spectrum Center</t>
        </is>
      </c>
      <c r="E110" t="inlineStr">
        <is>
          <t>Charlotte Hornets</t>
        </is>
      </c>
      <c r="F110" t="inlineStr">
        <is>
          <t>Detroit Pistons</t>
        </is>
      </c>
      <c r="G110" t="n">
        <v>108</v>
      </c>
      <c r="H110" t="n">
        <v>107</v>
      </c>
      <c r="I110" t="inlineStr">
        <is>
          <t>Charlotte Hornets</t>
        </is>
      </c>
      <c r="J110" t="inlineStr">
        <is>
          <t>Detroit Pistons</t>
        </is>
      </c>
      <c r="K110" t="inlineStr">
        <is>
          <t>Yes</t>
        </is>
      </c>
      <c r="L110" t="inlineStr"/>
      <c r="M110" t="inlineStr">
        <is>
          <t>https://fixturedownload.com/download/nba-2024-UTC.csv</t>
        </is>
      </c>
    </row>
    <row r="111">
      <c r="A111" t="n">
        <v>110</v>
      </c>
      <c r="B111" t="n">
        <v>3</v>
      </c>
      <c r="C111" t="inlineStr">
        <is>
          <t>07/11/2024 00:00</t>
        </is>
      </c>
      <c r="D111" t="inlineStr">
        <is>
          <t>Gainbridge Fieldhouse</t>
        </is>
      </c>
      <c r="E111" t="inlineStr">
        <is>
          <t>Indiana Pacers</t>
        </is>
      </c>
      <c r="F111" t="inlineStr">
        <is>
          <t>Orlando Magic</t>
        </is>
      </c>
      <c r="G111" t="n">
        <v>118</v>
      </c>
      <c r="H111" t="n">
        <v>111</v>
      </c>
      <c r="I111" t="inlineStr">
        <is>
          <t>Indiana Pacers</t>
        </is>
      </c>
      <c r="J111" t="inlineStr">
        <is>
          <t>Orlando Magic</t>
        </is>
      </c>
      <c r="K111" t="inlineStr">
        <is>
          <t>Yes</t>
        </is>
      </c>
      <c r="L111" t="inlineStr"/>
      <c r="M111" t="inlineStr">
        <is>
          <t>https://fixturedownload.com/download/nba-2024-UTC.csv</t>
        </is>
      </c>
    </row>
    <row r="112">
      <c r="A112" t="n">
        <v>111</v>
      </c>
      <c r="B112" t="n">
        <v>3</v>
      </c>
      <c r="C112" t="inlineStr">
        <is>
          <t>07/11/2024 00:30</t>
        </is>
      </c>
      <c r="D112" t="inlineStr">
        <is>
          <t>State Farm Arena</t>
        </is>
      </c>
      <c r="E112" t="inlineStr">
        <is>
          <t>Atlanta Hawks</t>
        </is>
      </c>
      <c r="F112" t="inlineStr">
        <is>
          <t>New York Knicks</t>
        </is>
      </c>
      <c r="G112" t="n">
        <v>121</v>
      </c>
      <c r="H112" t="n">
        <v>116</v>
      </c>
      <c r="I112" t="inlineStr">
        <is>
          <t>Atlanta Hawks</t>
        </is>
      </c>
      <c r="J112" t="inlineStr">
        <is>
          <t>New York Knicks</t>
        </is>
      </c>
      <c r="K112" t="inlineStr">
        <is>
          <t>Yes</t>
        </is>
      </c>
      <c r="L112" t="inlineStr"/>
      <c r="M112" t="inlineStr">
        <is>
          <t>https://fixturedownload.com/download/nba-2024-UTC.csv</t>
        </is>
      </c>
    </row>
    <row r="113">
      <c r="A113" t="n">
        <v>112</v>
      </c>
      <c r="B113" t="n">
        <v>3</v>
      </c>
      <c r="C113" t="inlineStr">
        <is>
          <t>07/11/2024 00:30</t>
        </is>
      </c>
      <c r="D113" t="inlineStr">
        <is>
          <t>TD Garden</t>
        </is>
      </c>
      <c r="E113" t="inlineStr">
        <is>
          <t>Boston Celtics</t>
        </is>
      </c>
      <c r="F113" t="inlineStr">
        <is>
          <t>Golden State Warriors</t>
        </is>
      </c>
      <c r="G113" t="n">
        <v>112</v>
      </c>
      <c r="H113" t="n">
        <v>118</v>
      </c>
      <c r="I113" t="inlineStr">
        <is>
          <t>Golden State Warriors</t>
        </is>
      </c>
      <c r="J113" t="inlineStr">
        <is>
          <t>Boston Celtics</t>
        </is>
      </c>
      <c r="K113" t="inlineStr">
        <is>
          <t>Yes</t>
        </is>
      </c>
      <c r="L113" t="inlineStr"/>
      <c r="M113" t="inlineStr">
        <is>
          <t>https://fixturedownload.com/download/nba-2024-UTC.csv</t>
        </is>
      </c>
    </row>
    <row r="114">
      <c r="A114" t="n">
        <v>113</v>
      </c>
      <c r="B114" t="n">
        <v>3</v>
      </c>
      <c r="C114" t="inlineStr">
        <is>
          <t>07/11/2024 01:00</t>
        </is>
      </c>
      <c r="D114" t="inlineStr">
        <is>
          <t>Toyota Center</t>
        </is>
      </c>
      <c r="E114" t="inlineStr">
        <is>
          <t>Houston Rockets</t>
        </is>
      </c>
      <c r="F114" t="inlineStr">
        <is>
          <t>San Antonio Spurs</t>
        </is>
      </c>
      <c r="G114" t="n">
        <v>127</v>
      </c>
      <c r="H114" t="n">
        <v>100</v>
      </c>
      <c r="I114" t="inlineStr">
        <is>
          <t>Houston Rockets</t>
        </is>
      </c>
      <c r="J114" t="inlineStr">
        <is>
          <t>San Antonio Spurs</t>
        </is>
      </c>
      <c r="K114" t="inlineStr">
        <is>
          <t>Yes</t>
        </is>
      </c>
      <c r="L114" t="inlineStr"/>
      <c r="M114" t="inlineStr">
        <is>
          <t>https://fixturedownload.com/download/nba-2024-UTC.csv</t>
        </is>
      </c>
    </row>
    <row r="115">
      <c r="A115" t="n">
        <v>114</v>
      </c>
      <c r="B115" t="n">
        <v>3</v>
      </c>
      <c r="C115" t="inlineStr">
        <is>
          <t>07/11/2024 01:00</t>
        </is>
      </c>
      <c r="D115" t="inlineStr">
        <is>
          <t>FedExForum</t>
        </is>
      </c>
      <c r="E115" t="inlineStr">
        <is>
          <t>Memphis Grizzlies</t>
        </is>
      </c>
      <c r="F115" t="inlineStr">
        <is>
          <t>Los Angeles Lakers</t>
        </is>
      </c>
      <c r="G115" t="n">
        <v>131</v>
      </c>
      <c r="H115" t="n">
        <v>114</v>
      </c>
      <c r="I115" t="inlineStr">
        <is>
          <t>Memphis Grizzlies</t>
        </is>
      </c>
      <c r="J115" t="inlineStr">
        <is>
          <t>Los Angeles Lakers</t>
        </is>
      </c>
      <c r="K115" t="inlineStr">
        <is>
          <t>Yes</t>
        </is>
      </c>
      <c r="L115" t="inlineStr"/>
      <c r="M115" t="inlineStr">
        <is>
          <t>https://fixturedownload.com/download/nba-2024-UTC.csv</t>
        </is>
      </c>
    </row>
    <row r="116">
      <c r="A116" t="n">
        <v>115</v>
      </c>
      <c r="B116" t="n">
        <v>3</v>
      </c>
      <c r="C116" t="inlineStr">
        <is>
          <t>07/11/2024 01:00</t>
        </is>
      </c>
      <c r="D116" t="inlineStr">
        <is>
          <t>Smoothie King Center</t>
        </is>
      </c>
      <c r="E116" t="inlineStr">
        <is>
          <t>New Orleans Pelicans</t>
        </is>
      </c>
      <c r="F116" t="inlineStr">
        <is>
          <t>Cleveland Cavaliers</t>
        </is>
      </c>
      <c r="G116" t="n">
        <v>122</v>
      </c>
      <c r="H116" t="n">
        <v>131</v>
      </c>
      <c r="I116" t="inlineStr">
        <is>
          <t>Cleveland Cavaliers</t>
        </is>
      </c>
      <c r="J116" t="inlineStr">
        <is>
          <t>New Orleans Pelicans</t>
        </is>
      </c>
      <c r="K116" t="inlineStr">
        <is>
          <t>Yes</t>
        </is>
      </c>
      <c r="L116" t="inlineStr"/>
      <c r="M116" t="inlineStr">
        <is>
          <t>https://fixturedownload.com/download/nba-2024-UTC.csv</t>
        </is>
      </c>
    </row>
    <row r="117">
      <c r="A117" t="n">
        <v>116</v>
      </c>
      <c r="B117" t="n">
        <v>3</v>
      </c>
      <c r="C117" t="inlineStr">
        <is>
          <t>07/11/2024 01:30</t>
        </is>
      </c>
      <c r="D117" t="inlineStr">
        <is>
          <t>American Airlines Center</t>
        </is>
      </c>
      <c r="E117" t="inlineStr">
        <is>
          <t>Dallas Mavericks</t>
        </is>
      </c>
      <c r="F117" t="inlineStr">
        <is>
          <t>Chicago Bulls</t>
        </is>
      </c>
      <c r="G117" t="n">
        <v>119</v>
      </c>
      <c r="H117" t="n">
        <v>99</v>
      </c>
      <c r="I117" t="inlineStr">
        <is>
          <t>Dallas Mavericks</t>
        </is>
      </c>
      <c r="J117" t="inlineStr">
        <is>
          <t>Chicago Bulls</t>
        </is>
      </c>
      <c r="K117" t="inlineStr">
        <is>
          <t>Yes</t>
        </is>
      </c>
      <c r="L117" t="inlineStr"/>
      <c r="M117" t="inlineStr">
        <is>
          <t>https://fixturedownload.com/download/nba-2024-UTC.csv</t>
        </is>
      </c>
    </row>
    <row r="118">
      <c r="A118" t="n">
        <v>117</v>
      </c>
      <c r="B118" t="n">
        <v>3</v>
      </c>
      <c r="C118" t="inlineStr">
        <is>
          <t>07/11/2024 02:00</t>
        </is>
      </c>
      <c r="D118" t="inlineStr">
        <is>
          <t>Ball Arena</t>
        </is>
      </c>
      <c r="E118" t="inlineStr">
        <is>
          <t>Denver Nuggets</t>
        </is>
      </c>
      <c r="F118" t="inlineStr">
        <is>
          <t>Oklahoma City Thunder</t>
        </is>
      </c>
      <c r="G118" t="n">
        <v>124</v>
      </c>
      <c r="H118" t="n">
        <v>122</v>
      </c>
      <c r="I118" t="inlineStr">
        <is>
          <t>Denver Nuggets</t>
        </is>
      </c>
      <c r="J118" t="inlineStr">
        <is>
          <t>Oklahoma City Thunder</t>
        </is>
      </c>
      <c r="K118" t="inlineStr">
        <is>
          <t>Yes</t>
        </is>
      </c>
      <c r="L118" t="inlineStr"/>
      <c r="M118" t="inlineStr">
        <is>
          <t>https://fixturedownload.com/download/nba-2024-UTC.csv</t>
        </is>
      </c>
    </row>
    <row r="119">
      <c r="A119" t="n">
        <v>118</v>
      </c>
      <c r="B119" t="n">
        <v>3</v>
      </c>
      <c r="C119" t="inlineStr">
        <is>
          <t>07/11/2024 02:00</t>
        </is>
      </c>
      <c r="D119" t="inlineStr">
        <is>
          <t>PHX Arena</t>
        </is>
      </c>
      <c r="E119" t="inlineStr">
        <is>
          <t>Phoenix Suns</t>
        </is>
      </c>
      <c r="F119" t="inlineStr">
        <is>
          <t>Miami Heat</t>
        </is>
      </c>
      <c r="G119" t="n">
        <v>115</v>
      </c>
      <c r="H119" t="n">
        <v>112</v>
      </c>
      <c r="I119" t="inlineStr">
        <is>
          <t>Phoenix Suns</t>
        </is>
      </c>
      <c r="J119" t="inlineStr">
        <is>
          <t>Miami Heat</t>
        </is>
      </c>
      <c r="K119" t="inlineStr">
        <is>
          <t>Yes</t>
        </is>
      </c>
      <c r="L119" t="inlineStr"/>
      <c r="M119" t="inlineStr">
        <is>
          <t>https://fixturedownload.com/download/nba-2024-UTC.csv</t>
        </is>
      </c>
    </row>
    <row r="120">
      <c r="A120" t="n">
        <v>119</v>
      </c>
      <c r="B120" t="n">
        <v>3</v>
      </c>
      <c r="C120" t="inlineStr">
        <is>
          <t>07/11/2024 03:00</t>
        </is>
      </c>
      <c r="D120" t="inlineStr">
        <is>
          <t>Intuit Dome</t>
        </is>
      </c>
      <c r="E120" t="inlineStr">
        <is>
          <t>LA Clippers</t>
        </is>
      </c>
      <c r="F120" t="inlineStr">
        <is>
          <t>Philadelphia 76ers</t>
        </is>
      </c>
      <c r="G120" t="n">
        <v>110</v>
      </c>
      <c r="H120" t="n">
        <v>98</v>
      </c>
      <c r="I120" t="inlineStr">
        <is>
          <t>LA Clippers</t>
        </is>
      </c>
      <c r="J120" t="inlineStr">
        <is>
          <t>Philadelphia 76ers</t>
        </is>
      </c>
      <c r="K120" t="inlineStr">
        <is>
          <t>Yes</t>
        </is>
      </c>
      <c r="L120" t="inlineStr"/>
      <c r="M120" t="inlineStr">
        <is>
          <t>https://fixturedownload.com/download/nba-2024-UTC.csv</t>
        </is>
      </c>
    </row>
    <row r="121">
      <c r="A121" t="n">
        <v>120</v>
      </c>
      <c r="B121" t="n">
        <v>3</v>
      </c>
      <c r="C121" t="inlineStr">
        <is>
          <t>07/11/2024 03:00</t>
        </is>
      </c>
      <c r="D121" t="inlineStr">
        <is>
          <t>Golden 1 Center</t>
        </is>
      </c>
      <c r="E121" t="inlineStr">
        <is>
          <t>Sacramento Kings</t>
        </is>
      </c>
      <c r="F121" t="inlineStr">
        <is>
          <t>Toronto Raptors</t>
        </is>
      </c>
      <c r="G121" t="n">
        <v>122</v>
      </c>
      <c r="H121" t="n">
        <v>107</v>
      </c>
      <c r="I121" t="inlineStr">
        <is>
          <t>Sacramento Kings</t>
        </is>
      </c>
      <c r="J121" t="inlineStr">
        <is>
          <t>Toronto Raptors</t>
        </is>
      </c>
      <c r="K121" t="inlineStr">
        <is>
          <t>Yes</t>
        </is>
      </c>
      <c r="L121" t="inlineStr"/>
      <c r="M121" t="inlineStr">
        <is>
          <t>https://fixturedownload.com/download/nba-2024-UTC.csv</t>
        </is>
      </c>
    </row>
    <row r="122">
      <c r="A122" t="n">
        <v>121</v>
      </c>
      <c r="B122" t="n">
        <v>3</v>
      </c>
      <c r="C122" t="inlineStr">
        <is>
          <t>08/11/2024 01:00</t>
        </is>
      </c>
      <c r="D122" t="inlineStr">
        <is>
          <t>United Center</t>
        </is>
      </c>
      <c r="E122" t="inlineStr">
        <is>
          <t>Chicago Bulls</t>
        </is>
      </c>
      <c r="F122" t="inlineStr">
        <is>
          <t>Minnesota Timberwolves</t>
        </is>
      </c>
      <c r="G122" t="n">
        <v>119</v>
      </c>
      <c r="H122" t="n">
        <v>135</v>
      </c>
      <c r="I122" t="inlineStr">
        <is>
          <t>Minnesota Timberwolves</t>
        </is>
      </c>
      <c r="J122" t="inlineStr">
        <is>
          <t>Chicago Bulls</t>
        </is>
      </c>
      <c r="K122" t="inlineStr">
        <is>
          <t>Yes</t>
        </is>
      </c>
      <c r="L122" t="inlineStr"/>
      <c r="M122" t="inlineStr">
        <is>
          <t>https://fixturedownload.com/download/nba-2024-UTC.csv</t>
        </is>
      </c>
    </row>
    <row r="123">
      <c r="A123" t="n">
        <v>122</v>
      </c>
      <c r="B123" t="n">
        <v>3</v>
      </c>
      <c r="C123" t="inlineStr">
        <is>
          <t>08/11/2024 01:00</t>
        </is>
      </c>
      <c r="D123" t="inlineStr">
        <is>
          <t>Fiserv Forum</t>
        </is>
      </c>
      <c r="E123" t="inlineStr">
        <is>
          <t>Milwaukee Bucks</t>
        </is>
      </c>
      <c r="F123" t="inlineStr">
        <is>
          <t>Utah Jazz</t>
        </is>
      </c>
      <c r="G123" t="n">
        <v>123</v>
      </c>
      <c r="H123" t="n">
        <v>100</v>
      </c>
      <c r="I123" t="inlineStr">
        <is>
          <t>Milwaukee Bucks</t>
        </is>
      </c>
      <c r="J123" t="inlineStr">
        <is>
          <t>Utah Jazz</t>
        </is>
      </c>
      <c r="K123" t="inlineStr">
        <is>
          <t>Yes</t>
        </is>
      </c>
      <c r="L123" t="inlineStr"/>
      <c r="M123" t="inlineStr">
        <is>
          <t>https://fixturedownload.com/download/nba-2024-UTC.csv</t>
        </is>
      </c>
    </row>
    <row r="124">
      <c r="A124" t="n">
        <v>123</v>
      </c>
      <c r="B124" t="n">
        <v>3</v>
      </c>
      <c r="C124" t="inlineStr">
        <is>
          <t>08/11/2024 01:00</t>
        </is>
      </c>
      <c r="D124" t="inlineStr">
        <is>
          <t>Frost Bank Center</t>
        </is>
      </c>
      <c r="E124" t="inlineStr">
        <is>
          <t>San Antonio Spurs</t>
        </is>
      </c>
      <c r="F124" t="inlineStr">
        <is>
          <t>Portland Trail Blazers</t>
        </is>
      </c>
      <c r="G124" t="n">
        <v>118</v>
      </c>
      <c r="H124" t="n">
        <v>105</v>
      </c>
      <c r="I124" t="inlineStr">
        <is>
          <t>San Antonio Spurs</t>
        </is>
      </c>
      <c r="J124" t="inlineStr">
        <is>
          <t>Portland Trail Blazers</t>
        </is>
      </c>
      <c r="K124" t="inlineStr">
        <is>
          <t>Yes</t>
        </is>
      </c>
      <c r="L124" t="inlineStr"/>
      <c r="M124" t="inlineStr">
        <is>
          <t>https://fixturedownload.com/download/nba-2024-UTC.csv</t>
        </is>
      </c>
    </row>
    <row r="125">
      <c r="A125" t="n">
        <v>124</v>
      </c>
      <c r="B125" t="n">
        <v>3</v>
      </c>
      <c r="C125" t="inlineStr">
        <is>
          <t>09/11/2024 00:00</t>
        </is>
      </c>
      <c r="D125" t="inlineStr">
        <is>
          <t>Spectrum Center</t>
        </is>
      </c>
      <c r="E125" t="inlineStr">
        <is>
          <t>Charlotte Hornets</t>
        </is>
      </c>
      <c r="F125" t="inlineStr">
        <is>
          <t>Indiana Pacers</t>
        </is>
      </c>
      <c r="G125" t="n">
        <v>103</v>
      </c>
      <c r="H125" t="n">
        <v>83</v>
      </c>
      <c r="I125" t="inlineStr">
        <is>
          <t>Charlotte Hornets</t>
        </is>
      </c>
      <c r="J125" t="inlineStr">
        <is>
          <t>Indiana Pacers</t>
        </is>
      </c>
      <c r="K125" t="inlineStr">
        <is>
          <t>Yes</t>
        </is>
      </c>
      <c r="L125" t="inlineStr"/>
      <c r="M125" t="inlineStr">
        <is>
          <t>https://fixturedownload.com/download/nba-2024-UTC.csv</t>
        </is>
      </c>
    </row>
    <row r="126">
      <c r="A126" t="n">
        <v>125</v>
      </c>
      <c r="B126" t="n">
        <v>3</v>
      </c>
      <c r="C126" t="inlineStr">
        <is>
          <t>09/11/2024 00:00</t>
        </is>
      </c>
      <c r="D126" t="inlineStr">
        <is>
          <t>Little Caesars Arena</t>
        </is>
      </c>
      <c r="E126" t="inlineStr">
        <is>
          <t>Detroit Pistons</t>
        </is>
      </c>
      <c r="F126" t="inlineStr">
        <is>
          <t>Atlanta Hawks</t>
        </is>
      </c>
      <c r="G126" t="n">
        <v>122</v>
      </c>
      <c r="H126" t="n">
        <v>121</v>
      </c>
      <c r="I126" t="inlineStr">
        <is>
          <t>Detroit Pistons</t>
        </is>
      </c>
      <c r="J126" t="inlineStr">
        <is>
          <t>Atlanta Hawks</t>
        </is>
      </c>
      <c r="K126" t="inlineStr">
        <is>
          <t>Yes</t>
        </is>
      </c>
      <c r="L126" t="inlineStr"/>
      <c r="M126" t="inlineStr">
        <is>
          <t>https://fixturedownload.com/download/nba-2024-UTC.csv</t>
        </is>
      </c>
    </row>
    <row r="127">
      <c r="A127" t="n">
        <v>126</v>
      </c>
      <c r="B127" t="n">
        <v>3</v>
      </c>
      <c r="C127" t="inlineStr">
        <is>
          <t>09/11/2024 00:00</t>
        </is>
      </c>
      <c r="D127" t="inlineStr">
        <is>
          <t>Kia Center</t>
        </is>
      </c>
      <c r="E127" t="inlineStr">
        <is>
          <t>Orlando Magic</t>
        </is>
      </c>
      <c r="F127" t="inlineStr">
        <is>
          <t>New Orleans Pelicans</t>
        </is>
      </c>
      <c r="G127" t="n">
        <v>115</v>
      </c>
      <c r="H127" t="n">
        <v>88</v>
      </c>
      <c r="I127" t="inlineStr">
        <is>
          <t>Orlando Magic</t>
        </is>
      </c>
      <c r="J127" t="inlineStr">
        <is>
          <t>New Orleans Pelicans</t>
        </is>
      </c>
      <c r="K127" t="inlineStr">
        <is>
          <t>Yes</t>
        </is>
      </c>
      <c r="L127" t="inlineStr"/>
      <c r="M127" t="inlineStr">
        <is>
          <t>https://fixturedownload.com/download/nba-2024-UTC.csv</t>
        </is>
      </c>
    </row>
    <row r="128">
      <c r="A128" t="n">
        <v>127</v>
      </c>
      <c r="B128" t="n">
        <v>3</v>
      </c>
      <c r="C128" t="inlineStr">
        <is>
          <t>09/11/2024 00:30</t>
        </is>
      </c>
      <c r="D128" t="inlineStr">
        <is>
          <t>TD Garden</t>
        </is>
      </c>
      <c r="E128" t="inlineStr">
        <is>
          <t>Boston Celtics</t>
        </is>
      </c>
      <c r="F128" t="inlineStr">
        <is>
          <t>Brooklyn Nets</t>
        </is>
      </c>
      <c r="G128" t="n">
        <v>108</v>
      </c>
      <c r="H128" t="n">
        <v>104</v>
      </c>
      <c r="I128" t="inlineStr">
        <is>
          <t>Boston Celtics</t>
        </is>
      </c>
      <c r="J128" t="inlineStr">
        <is>
          <t>Brooklyn Nets</t>
        </is>
      </c>
      <c r="K128" t="inlineStr">
        <is>
          <t>Yes</t>
        </is>
      </c>
      <c r="L128" t="inlineStr"/>
      <c r="M128" t="inlineStr">
        <is>
          <t>https://fixturedownload.com/download/nba-2024-UTC.csv</t>
        </is>
      </c>
    </row>
    <row r="129">
      <c r="A129" t="n">
        <v>128</v>
      </c>
      <c r="B129" t="n">
        <v>3</v>
      </c>
      <c r="C129" t="inlineStr">
        <is>
          <t>09/11/2024 00:30</t>
        </is>
      </c>
      <c r="D129" t="inlineStr">
        <is>
          <t>Rocket Arena</t>
        </is>
      </c>
      <c r="E129" t="inlineStr">
        <is>
          <t>Cleveland Cavaliers</t>
        </is>
      </c>
      <c r="F129" t="inlineStr">
        <is>
          <t>Golden State Warriors</t>
        </is>
      </c>
      <c r="G129" t="n">
        <v>136</v>
      </c>
      <c r="H129" t="n">
        <v>117</v>
      </c>
      <c r="I129" t="inlineStr">
        <is>
          <t>Cleveland Cavaliers</t>
        </is>
      </c>
      <c r="J129" t="inlineStr">
        <is>
          <t>Golden State Warriors</t>
        </is>
      </c>
      <c r="K129" t="inlineStr">
        <is>
          <t>Yes</t>
        </is>
      </c>
      <c r="L129" t="inlineStr"/>
      <c r="M129" t="inlineStr">
        <is>
          <t>https://fixturedownload.com/download/nba-2024-UTC.csv</t>
        </is>
      </c>
    </row>
    <row r="130">
      <c r="A130" t="n">
        <v>129</v>
      </c>
      <c r="B130" t="n">
        <v>3</v>
      </c>
      <c r="C130" t="inlineStr">
        <is>
          <t>09/11/2024 00:30</t>
        </is>
      </c>
      <c r="D130" t="inlineStr">
        <is>
          <t>Madison Square Garden</t>
        </is>
      </c>
      <c r="E130" t="inlineStr">
        <is>
          <t>New York Knicks</t>
        </is>
      </c>
      <c r="F130" t="inlineStr">
        <is>
          <t>Milwaukee Bucks</t>
        </is>
      </c>
      <c r="G130" t="n">
        <v>116</v>
      </c>
      <c r="H130" t="n">
        <v>94</v>
      </c>
      <c r="I130" t="inlineStr">
        <is>
          <t>New York Knicks</t>
        </is>
      </c>
      <c r="J130" t="inlineStr">
        <is>
          <t>Milwaukee Bucks</t>
        </is>
      </c>
      <c r="K130" t="inlineStr">
        <is>
          <t>Yes</t>
        </is>
      </c>
      <c r="L130" t="inlineStr"/>
      <c r="M130" t="inlineStr">
        <is>
          <t>https://fixturedownload.com/download/nba-2024-UTC.csv</t>
        </is>
      </c>
    </row>
    <row r="131">
      <c r="A131" t="n">
        <v>130</v>
      </c>
      <c r="B131" t="n">
        <v>3</v>
      </c>
      <c r="C131" t="inlineStr">
        <is>
          <t>09/11/2024 00:30</t>
        </is>
      </c>
      <c r="D131" t="inlineStr">
        <is>
          <t>American Airlines Center</t>
        </is>
      </c>
      <c r="E131" t="inlineStr">
        <is>
          <t>Dallas Mavericks</t>
        </is>
      </c>
      <c r="F131" t="inlineStr">
        <is>
          <t>Phoenix Suns</t>
        </is>
      </c>
      <c r="G131" t="n">
        <v>113</v>
      </c>
      <c r="H131" t="n">
        <v>114</v>
      </c>
      <c r="I131" t="inlineStr">
        <is>
          <t>Phoenix Suns</t>
        </is>
      </c>
      <c r="J131" t="inlineStr">
        <is>
          <t>Dallas Mavericks</t>
        </is>
      </c>
      <c r="K131" t="inlineStr">
        <is>
          <t>Yes</t>
        </is>
      </c>
      <c r="L131" t="inlineStr"/>
      <c r="M131" t="inlineStr">
        <is>
          <t>https://fixturedownload.com/download/nba-2024-UTC.csv</t>
        </is>
      </c>
    </row>
    <row r="132">
      <c r="A132" t="n">
        <v>131</v>
      </c>
      <c r="B132" t="n">
        <v>3</v>
      </c>
      <c r="C132" t="inlineStr">
        <is>
          <t>09/11/2024 01:00</t>
        </is>
      </c>
      <c r="D132" t="inlineStr">
        <is>
          <t>FedExForum</t>
        </is>
      </c>
      <c r="E132" t="inlineStr">
        <is>
          <t>Memphis Grizzlies</t>
        </is>
      </c>
      <c r="F132" t="inlineStr">
        <is>
          <t>Washington Wizards</t>
        </is>
      </c>
      <c r="G132" t="n">
        <v>128</v>
      </c>
      <c r="H132" t="n">
        <v>104</v>
      </c>
      <c r="I132" t="inlineStr">
        <is>
          <t>Memphis Grizzlies</t>
        </is>
      </c>
      <c r="J132" t="inlineStr">
        <is>
          <t>Washington Wizards</t>
        </is>
      </c>
      <c r="K132" t="inlineStr">
        <is>
          <t>Yes</t>
        </is>
      </c>
      <c r="L132" t="inlineStr"/>
      <c r="M132" t="inlineStr">
        <is>
          <t>https://fixturedownload.com/download/nba-2024-UTC.csv</t>
        </is>
      </c>
    </row>
    <row r="133">
      <c r="A133" t="n">
        <v>132</v>
      </c>
      <c r="B133" t="n">
        <v>3</v>
      </c>
      <c r="C133" t="inlineStr">
        <is>
          <t>09/11/2024 01:00</t>
        </is>
      </c>
      <c r="D133" t="inlineStr">
        <is>
          <t>Paycom Center</t>
        </is>
      </c>
      <c r="E133" t="inlineStr">
        <is>
          <t>Oklahoma City Thunder</t>
        </is>
      </c>
      <c r="F133" t="inlineStr">
        <is>
          <t>Houston Rockets</t>
        </is>
      </c>
      <c r="G133" t="n">
        <v>126</v>
      </c>
      <c r="H133" t="n">
        <v>107</v>
      </c>
      <c r="I133" t="inlineStr">
        <is>
          <t>Oklahoma City Thunder</t>
        </is>
      </c>
      <c r="J133" t="inlineStr">
        <is>
          <t>Houston Rockets</t>
        </is>
      </c>
      <c r="K133" t="inlineStr">
        <is>
          <t>Yes</t>
        </is>
      </c>
      <c r="L133" t="inlineStr"/>
      <c r="M133" t="inlineStr">
        <is>
          <t>https://fixturedownload.com/download/nba-2024-UTC.csv</t>
        </is>
      </c>
    </row>
    <row r="134">
      <c r="A134" t="n">
        <v>133</v>
      </c>
      <c r="B134" t="n">
        <v>3</v>
      </c>
      <c r="C134" t="inlineStr">
        <is>
          <t>09/11/2024 02:00</t>
        </is>
      </c>
      <c r="D134" t="inlineStr">
        <is>
          <t>Target Center</t>
        </is>
      </c>
      <c r="E134" t="inlineStr">
        <is>
          <t>Minnesota Timberwolves</t>
        </is>
      </c>
      <c r="F134" t="inlineStr">
        <is>
          <t>Portland Trail Blazers</t>
        </is>
      </c>
      <c r="G134" t="n">
        <v>127</v>
      </c>
      <c r="H134" t="n">
        <v>102</v>
      </c>
      <c r="I134" t="inlineStr">
        <is>
          <t>Minnesota Timberwolves</t>
        </is>
      </c>
      <c r="J134" t="inlineStr">
        <is>
          <t>Portland Trail Blazers</t>
        </is>
      </c>
      <c r="K134" t="inlineStr">
        <is>
          <t>Yes</t>
        </is>
      </c>
      <c r="L134" t="inlineStr"/>
      <c r="M134" t="inlineStr">
        <is>
          <t>https://fixturedownload.com/download/nba-2024-UTC.csv</t>
        </is>
      </c>
    </row>
    <row r="135">
      <c r="A135" t="n">
        <v>134</v>
      </c>
      <c r="B135" t="n">
        <v>3</v>
      </c>
      <c r="C135" t="inlineStr">
        <is>
          <t>09/11/2024 02:00</t>
        </is>
      </c>
      <c r="D135" t="inlineStr">
        <is>
          <t>Ball Arena</t>
        </is>
      </c>
      <c r="E135" t="inlineStr">
        <is>
          <t>Denver Nuggets</t>
        </is>
      </c>
      <c r="F135" t="inlineStr">
        <is>
          <t>Miami Heat</t>
        </is>
      </c>
      <c r="G135" t="n">
        <v>135</v>
      </c>
      <c r="H135" t="n">
        <v>122</v>
      </c>
      <c r="I135" t="inlineStr">
        <is>
          <t>Denver Nuggets</t>
        </is>
      </c>
      <c r="J135" t="inlineStr">
        <is>
          <t>Miami Heat</t>
        </is>
      </c>
      <c r="K135" t="inlineStr">
        <is>
          <t>Yes</t>
        </is>
      </c>
      <c r="L135" t="inlineStr"/>
      <c r="M135" t="inlineStr">
        <is>
          <t>https://fixturedownload.com/download/nba-2024-UTC.csv</t>
        </is>
      </c>
    </row>
    <row r="136">
      <c r="A136" t="n">
        <v>135</v>
      </c>
      <c r="B136" t="n">
        <v>3</v>
      </c>
      <c r="C136" t="inlineStr">
        <is>
          <t>09/11/2024 03:00</t>
        </is>
      </c>
      <c r="D136" t="inlineStr">
        <is>
          <t>Crypto.com Arena</t>
        </is>
      </c>
      <c r="E136" t="inlineStr">
        <is>
          <t>Los Angeles Lakers</t>
        </is>
      </c>
      <c r="F136" t="inlineStr">
        <is>
          <t>Philadelphia 76ers</t>
        </is>
      </c>
      <c r="G136" t="n">
        <v>116</v>
      </c>
      <c r="H136" t="n">
        <v>106</v>
      </c>
      <c r="I136" t="inlineStr">
        <is>
          <t>Los Angeles Lakers</t>
        </is>
      </c>
      <c r="J136" t="inlineStr">
        <is>
          <t>Philadelphia 76ers</t>
        </is>
      </c>
      <c r="K136" t="inlineStr">
        <is>
          <t>Yes</t>
        </is>
      </c>
      <c r="L136" t="inlineStr"/>
      <c r="M136" t="inlineStr">
        <is>
          <t>https://fixturedownload.com/download/nba-2024-UTC.csv</t>
        </is>
      </c>
    </row>
    <row r="137">
      <c r="A137" t="n">
        <v>136</v>
      </c>
      <c r="B137" t="n">
        <v>3</v>
      </c>
      <c r="C137" t="inlineStr">
        <is>
          <t>09/11/2024 03:00</t>
        </is>
      </c>
      <c r="D137" t="inlineStr">
        <is>
          <t>Golden 1 Center</t>
        </is>
      </c>
      <c r="E137" t="inlineStr">
        <is>
          <t>Sacramento Kings</t>
        </is>
      </c>
      <c r="F137" t="inlineStr">
        <is>
          <t>LA Clippers</t>
        </is>
      </c>
      <c r="G137" t="n">
        <v>98</v>
      </c>
      <c r="H137" t="n">
        <v>107</v>
      </c>
      <c r="I137" t="inlineStr">
        <is>
          <t>LA Clippers</t>
        </is>
      </c>
      <c r="J137" t="inlineStr">
        <is>
          <t>Sacramento Kings</t>
        </is>
      </c>
      <c r="K137" t="inlineStr">
        <is>
          <t>Yes</t>
        </is>
      </c>
      <c r="L137" t="inlineStr"/>
      <c r="M137" t="inlineStr">
        <is>
          <t>https://fixturedownload.com/download/nba-2024-UTC.csv</t>
        </is>
      </c>
    </row>
    <row r="138">
      <c r="A138" t="n">
        <v>137</v>
      </c>
      <c r="B138" t="n">
        <v>3</v>
      </c>
      <c r="C138" t="inlineStr">
        <is>
          <t>09/11/2024 22:00</t>
        </is>
      </c>
      <c r="D138" t="inlineStr">
        <is>
          <t>Frost Bank Center</t>
        </is>
      </c>
      <c r="E138" t="inlineStr">
        <is>
          <t>San Antonio Spurs</t>
        </is>
      </c>
      <c r="F138" t="inlineStr">
        <is>
          <t>Utah Jazz</t>
        </is>
      </c>
      <c r="G138" t="n">
        <v>110</v>
      </c>
      <c r="H138" t="n">
        <v>111</v>
      </c>
      <c r="I138" t="inlineStr">
        <is>
          <t>Utah Jazz</t>
        </is>
      </c>
      <c r="J138" t="inlineStr">
        <is>
          <t>San Antonio Spurs</t>
        </is>
      </c>
      <c r="K138" t="inlineStr">
        <is>
          <t>Yes</t>
        </is>
      </c>
      <c r="L138" t="inlineStr"/>
      <c r="M138" t="inlineStr">
        <is>
          <t>https://fixturedownload.com/download/nba-2024-UTC.csv</t>
        </is>
      </c>
    </row>
    <row r="139">
      <c r="A139" t="n">
        <v>138</v>
      </c>
      <c r="B139" t="n">
        <v>3</v>
      </c>
      <c r="C139" t="inlineStr">
        <is>
          <t>10/11/2024 00:30</t>
        </is>
      </c>
      <c r="D139" t="inlineStr">
        <is>
          <t>State Farm Arena</t>
        </is>
      </c>
      <c r="E139" t="inlineStr">
        <is>
          <t>Atlanta Hawks</t>
        </is>
      </c>
      <c r="F139" t="inlineStr">
        <is>
          <t>Chicago Bulls</t>
        </is>
      </c>
      <c r="G139" t="n">
        <v>113</v>
      </c>
      <c r="H139" t="n">
        <v>125</v>
      </c>
      <c r="I139" t="inlineStr">
        <is>
          <t>Chicago Bulls</t>
        </is>
      </c>
      <c r="J139" t="inlineStr">
        <is>
          <t>Atlanta Hawks</t>
        </is>
      </c>
      <c r="K139" t="inlineStr">
        <is>
          <t>Yes</t>
        </is>
      </c>
      <c r="L139" t="inlineStr"/>
      <c r="M139" t="inlineStr">
        <is>
          <t>https://fixturedownload.com/download/nba-2024-UTC.csv</t>
        </is>
      </c>
    </row>
    <row r="140">
      <c r="A140" t="n">
        <v>139</v>
      </c>
      <c r="B140" t="n">
        <v>3</v>
      </c>
      <c r="C140" t="inlineStr">
        <is>
          <t>10/11/2024 00:30</t>
        </is>
      </c>
      <c r="D140" t="inlineStr">
        <is>
          <t>Rocket Arena</t>
        </is>
      </c>
      <c r="E140" t="inlineStr">
        <is>
          <t>Cleveland Cavaliers</t>
        </is>
      </c>
      <c r="F140" t="inlineStr">
        <is>
          <t>Brooklyn Nets</t>
        </is>
      </c>
      <c r="G140" t="n">
        <v>105</v>
      </c>
      <c r="H140" t="n">
        <v>100</v>
      </c>
      <c r="I140" t="inlineStr">
        <is>
          <t>Cleveland Cavaliers</t>
        </is>
      </c>
      <c r="J140" t="inlineStr">
        <is>
          <t>Brooklyn Nets</t>
        </is>
      </c>
      <c r="K140" t="inlineStr">
        <is>
          <t>Yes</t>
        </is>
      </c>
      <c r="L140" t="inlineStr"/>
      <c r="M140" t="inlineStr">
        <is>
          <t>https://fixturedownload.com/download/nba-2024-UTC.csv</t>
        </is>
      </c>
    </row>
    <row r="141">
      <c r="A141" t="n">
        <v>140</v>
      </c>
      <c r="B141" t="n">
        <v>3</v>
      </c>
      <c r="C141" t="inlineStr">
        <is>
          <t>10/11/2024 03:30</t>
        </is>
      </c>
      <c r="D141" t="inlineStr">
        <is>
          <t>Intuit Dome</t>
        </is>
      </c>
      <c r="E141" t="inlineStr">
        <is>
          <t>LA Clippers</t>
        </is>
      </c>
      <c r="F141" t="inlineStr">
        <is>
          <t>Toronto Raptors</t>
        </is>
      </c>
      <c r="G141" t="n">
        <v>105</v>
      </c>
      <c r="H141" t="n">
        <v>103</v>
      </c>
      <c r="I141" t="inlineStr">
        <is>
          <t>LA Clippers</t>
        </is>
      </c>
      <c r="J141" t="inlineStr">
        <is>
          <t>Toronto Raptors</t>
        </is>
      </c>
      <c r="K141" t="inlineStr">
        <is>
          <t>Yes</t>
        </is>
      </c>
      <c r="L141" t="inlineStr"/>
      <c r="M141" t="inlineStr">
        <is>
          <t>https://fixturedownload.com/download/nba-2024-UTC.csv</t>
        </is>
      </c>
    </row>
    <row r="142">
      <c r="A142" t="n">
        <v>141</v>
      </c>
      <c r="B142" t="n">
        <v>3</v>
      </c>
      <c r="C142" t="inlineStr">
        <is>
          <t>10/11/2024 20:00</t>
        </is>
      </c>
      <c r="D142" t="inlineStr">
        <is>
          <t>Little Caesars Arena</t>
        </is>
      </c>
      <c r="E142" t="inlineStr">
        <is>
          <t>Detroit Pistons</t>
        </is>
      </c>
      <c r="F142" t="inlineStr">
        <is>
          <t>Houston Rockets</t>
        </is>
      </c>
      <c r="G142" t="n">
        <v>99</v>
      </c>
      <c r="H142" t="n">
        <v>101</v>
      </c>
      <c r="I142" t="inlineStr">
        <is>
          <t>Houston Rockets</t>
        </is>
      </c>
      <c r="J142" t="inlineStr">
        <is>
          <t>Detroit Pistons</t>
        </is>
      </c>
      <c r="K142" t="inlineStr">
        <is>
          <t>Yes</t>
        </is>
      </c>
      <c r="L142" t="inlineStr"/>
      <c r="M142" t="inlineStr">
        <is>
          <t>https://fixturedownload.com/download/nba-2024-UTC.csv</t>
        </is>
      </c>
    </row>
    <row r="143">
      <c r="A143" t="n">
        <v>142</v>
      </c>
      <c r="B143" t="n">
        <v>3</v>
      </c>
      <c r="C143" t="inlineStr">
        <is>
          <t>10/11/2024 20:30</t>
        </is>
      </c>
      <c r="D143" t="inlineStr">
        <is>
          <t>Fiserv Forum</t>
        </is>
      </c>
      <c r="E143" t="inlineStr">
        <is>
          <t>Milwaukee Bucks</t>
        </is>
      </c>
      <c r="F143" t="inlineStr">
        <is>
          <t>Boston Celtics</t>
        </is>
      </c>
      <c r="G143" t="n">
        <v>107</v>
      </c>
      <c r="H143" t="n">
        <v>113</v>
      </c>
      <c r="I143" t="inlineStr">
        <is>
          <t>Boston Celtics</t>
        </is>
      </c>
      <c r="J143" t="inlineStr">
        <is>
          <t>Milwaukee Bucks</t>
        </is>
      </c>
      <c r="K143" t="inlineStr">
        <is>
          <t>Yes</t>
        </is>
      </c>
      <c r="L143" t="inlineStr"/>
      <c r="M143" t="inlineStr">
        <is>
          <t>https://fixturedownload.com/download/nba-2024-UTC.csv</t>
        </is>
      </c>
    </row>
    <row r="144">
      <c r="A144" t="n">
        <v>143</v>
      </c>
      <c r="B144" t="n">
        <v>3</v>
      </c>
      <c r="C144" t="inlineStr">
        <is>
          <t>10/11/2024 22:00</t>
        </is>
      </c>
      <c r="D144" t="inlineStr">
        <is>
          <t>Gainbridge Fieldhouse</t>
        </is>
      </c>
      <c r="E144" t="inlineStr">
        <is>
          <t>Indiana Pacers</t>
        </is>
      </c>
      <c r="F144" t="inlineStr">
        <is>
          <t>New York Knicks</t>
        </is>
      </c>
      <c r="G144" t="n">
        <v>132</v>
      </c>
      <c r="H144" t="n">
        <v>121</v>
      </c>
      <c r="I144" t="inlineStr">
        <is>
          <t>Indiana Pacers</t>
        </is>
      </c>
      <c r="J144" t="inlineStr">
        <is>
          <t>New York Knicks</t>
        </is>
      </c>
      <c r="K144" t="inlineStr">
        <is>
          <t>Yes</t>
        </is>
      </c>
      <c r="L144" t="inlineStr"/>
      <c r="M144" t="inlineStr">
        <is>
          <t>https://fixturedownload.com/download/nba-2024-UTC.csv</t>
        </is>
      </c>
    </row>
    <row r="145">
      <c r="A145" t="n">
        <v>144</v>
      </c>
      <c r="B145" t="n">
        <v>3</v>
      </c>
      <c r="C145" t="inlineStr">
        <is>
          <t>10/11/2024 23:00</t>
        </is>
      </c>
      <c r="D145" t="inlineStr">
        <is>
          <t>Kia Center</t>
        </is>
      </c>
      <c r="E145" t="inlineStr">
        <is>
          <t>Orlando Magic</t>
        </is>
      </c>
      <c r="F145" t="inlineStr">
        <is>
          <t>Washington Wizards</t>
        </is>
      </c>
      <c r="G145" t="n">
        <v>121</v>
      </c>
      <c r="H145" t="n">
        <v>94</v>
      </c>
      <c r="I145" t="inlineStr">
        <is>
          <t>Orlando Magic</t>
        </is>
      </c>
      <c r="J145" t="inlineStr">
        <is>
          <t>Washington Wizards</t>
        </is>
      </c>
      <c r="K145" t="inlineStr">
        <is>
          <t>Yes</t>
        </is>
      </c>
      <c r="L145" t="inlineStr"/>
      <c r="M145" t="inlineStr">
        <is>
          <t>https://fixturedownload.com/download/nba-2024-UTC.csv</t>
        </is>
      </c>
    </row>
    <row r="146">
      <c r="A146" t="n">
        <v>145</v>
      </c>
      <c r="B146" t="n">
        <v>3</v>
      </c>
      <c r="C146" t="inlineStr">
        <is>
          <t>11/11/2024 00:00</t>
        </is>
      </c>
      <c r="D146" t="inlineStr">
        <is>
          <t>Wells Fargo Center</t>
        </is>
      </c>
      <c r="E146" t="inlineStr">
        <is>
          <t>Philadelphia 76ers</t>
        </is>
      </c>
      <c r="F146" t="inlineStr">
        <is>
          <t>Charlotte Hornets</t>
        </is>
      </c>
      <c r="G146" t="n">
        <v>107</v>
      </c>
      <c r="H146" t="n">
        <v>105</v>
      </c>
      <c r="I146" t="inlineStr">
        <is>
          <t>Philadelphia 76ers</t>
        </is>
      </c>
      <c r="J146" t="inlineStr">
        <is>
          <t>Charlotte Hornets</t>
        </is>
      </c>
      <c r="K146" t="inlineStr">
        <is>
          <t>Yes</t>
        </is>
      </c>
      <c r="L146" t="inlineStr"/>
      <c r="M146" t="inlineStr">
        <is>
          <t>https://fixturedownload.com/download/nba-2024-UTC.csv</t>
        </is>
      </c>
    </row>
    <row r="147">
      <c r="A147" t="n">
        <v>146</v>
      </c>
      <c r="B147" t="n">
        <v>3</v>
      </c>
      <c r="C147" t="inlineStr">
        <is>
          <t>11/11/2024 00:00</t>
        </is>
      </c>
      <c r="D147" t="inlineStr">
        <is>
          <t>Target Center</t>
        </is>
      </c>
      <c r="E147" t="inlineStr">
        <is>
          <t>Minnesota Timberwolves</t>
        </is>
      </c>
      <c r="F147" t="inlineStr">
        <is>
          <t>Miami Heat</t>
        </is>
      </c>
      <c r="G147" t="n">
        <v>94</v>
      </c>
      <c r="H147" t="n">
        <v>95</v>
      </c>
      <c r="I147" t="inlineStr">
        <is>
          <t>Miami Heat</t>
        </is>
      </c>
      <c r="J147" t="inlineStr">
        <is>
          <t>Minnesota Timberwolves</t>
        </is>
      </c>
      <c r="K147" t="inlineStr">
        <is>
          <t>Yes</t>
        </is>
      </c>
      <c r="L147" t="inlineStr"/>
      <c r="M147" t="inlineStr">
        <is>
          <t>https://fixturedownload.com/download/nba-2024-UTC.csv</t>
        </is>
      </c>
    </row>
    <row r="148">
      <c r="A148" t="n">
        <v>147</v>
      </c>
      <c r="B148" t="n">
        <v>3</v>
      </c>
      <c r="C148" t="inlineStr">
        <is>
          <t>11/11/2024 00:00</t>
        </is>
      </c>
      <c r="D148" t="inlineStr">
        <is>
          <t>Paycom Center</t>
        </is>
      </c>
      <c r="E148" t="inlineStr">
        <is>
          <t>Oklahoma City Thunder</t>
        </is>
      </c>
      <c r="F148" t="inlineStr">
        <is>
          <t>Golden State Warriors</t>
        </is>
      </c>
      <c r="G148" t="n">
        <v>116</v>
      </c>
      <c r="H148" t="n">
        <v>127</v>
      </c>
      <c r="I148" t="inlineStr">
        <is>
          <t>Golden State Warriors</t>
        </is>
      </c>
      <c r="J148" t="inlineStr">
        <is>
          <t>Oklahoma City Thunder</t>
        </is>
      </c>
      <c r="K148" t="inlineStr">
        <is>
          <t>Yes</t>
        </is>
      </c>
      <c r="L148" t="inlineStr"/>
      <c r="M148" t="inlineStr">
        <is>
          <t>https://fixturedownload.com/download/nba-2024-UTC.csv</t>
        </is>
      </c>
    </row>
    <row r="149">
      <c r="A149" t="n">
        <v>148</v>
      </c>
      <c r="B149" t="n">
        <v>3</v>
      </c>
      <c r="C149" t="inlineStr">
        <is>
          <t>11/11/2024 01:00</t>
        </is>
      </c>
      <c r="D149" t="inlineStr">
        <is>
          <t>Ball Arena</t>
        </is>
      </c>
      <c r="E149" t="inlineStr">
        <is>
          <t>Denver Nuggets</t>
        </is>
      </c>
      <c r="F149" t="inlineStr">
        <is>
          <t>Dallas Mavericks</t>
        </is>
      </c>
      <c r="G149" t="n">
        <v>122</v>
      </c>
      <c r="H149" t="n">
        <v>120</v>
      </c>
      <c r="I149" t="inlineStr">
        <is>
          <t>Denver Nuggets</t>
        </is>
      </c>
      <c r="J149" t="inlineStr">
        <is>
          <t>Dallas Mavericks</t>
        </is>
      </c>
      <c r="K149" t="inlineStr">
        <is>
          <t>Yes</t>
        </is>
      </c>
      <c r="L149" t="inlineStr"/>
      <c r="M149" t="inlineStr">
        <is>
          <t>https://fixturedownload.com/download/nba-2024-UTC.csv</t>
        </is>
      </c>
    </row>
    <row r="150">
      <c r="A150" t="n">
        <v>149</v>
      </c>
      <c r="B150" t="n">
        <v>3</v>
      </c>
      <c r="C150" t="inlineStr">
        <is>
          <t>11/11/2024 01:00</t>
        </is>
      </c>
      <c r="D150" t="inlineStr">
        <is>
          <t>PHX Arena</t>
        </is>
      </c>
      <c r="E150" t="inlineStr">
        <is>
          <t>Phoenix Suns</t>
        </is>
      </c>
      <c r="F150" t="inlineStr">
        <is>
          <t>Sacramento Kings</t>
        </is>
      </c>
      <c r="G150" t="n">
        <v>118</v>
      </c>
      <c r="H150" t="n">
        <v>127</v>
      </c>
      <c r="I150" t="inlineStr">
        <is>
          <t>Sacramento Kings</t>
        </is>
      </c>
      <c r="J150" t="inlineStr">
        <is>
          <t>Phoenix Suns</t>
        </is>
      </c>
      <c r="K150" t="inlineStr">
        <is>
          <t>Yes</t>
        </is>
      </c>
      <c r="L150" t="inlineStr"/>
      <c r="M150" t="inlineStr">
        <is>
          <t>https://fixturedownload.com/download/nba-2024-UTC.csv</t>
        </is>
      </c>
    </row>
    <row r="151">
      <c r="A151" t="n">
        <v>150</v>
      </c>
      <c r="B151" t="n">
        <v>3</v>
      </c>
      <c r="C151" t="inlineStr">
        <is>
          <t>11/11/2024 02:00</t>
        </is>
      </c>
      <c r="D151" t="inlineStr">
        <is>
          <t>Moda Center</t>
        </is>
      </c>
      <c r="E151" t="inlineStr">
        <is>
          <t>Portland Trail Blazers</t>
        </is>
      </c>
      <c r="F151" t="inlineStr">
        <is>
          <t>Memphis Grizzlies</t>
        </is>
      </c>
      <c r="G151" t="n">
        <v>89</v>
      </c>
      <c r="H151" t="n">
        <v>134</v>
      </c>
      <c r="I151" t="inlineStr">
        <is>
          <t>Memphis Grizzlies</t>
        </is>
      </c>
      <c r="J151" t="inlineStr">
        <is>
          <t>Portland Trail Blazers</t>
        </is>
      </c>
      <c r="K151" t="inlineStr">
        <is>
          <t>Yes</t>
        </is>
      </c>
      <c r="L151" t="inlineStr"/>
      <c r="M151" t="inlineStr">
        <is>
          <t>https://fixturedownload.com/download/nba-2024-UTC.csv</t>
        </is>
      </c>
    </row>
    <row r="152">
      <c r="A152" t="n">
        <v>151</v>
      </c>
      <c r="B152" t="n">
        <v>3</v>
      </c>
      <c r="C152" t="inlineStr">
        <is>
          <t>11/11/2024 02:30</t>
        </is>
      </c>
      <c r="D152" t="inlineStr">
        <is>
          <t>Crypto.com Arena</t>
        </is>
      </c>
      <c r="E152" t="inlineStr">
        <is>
          <t>Los Angeles Lakers</t>
        </is>
      </c>
      <c r="F152" t="inlineStr">
        <is>
          <t>Toronto Raptors</t>
        </is>
      </c>
      <c r="G152" t="n">
        <v>123</v>
      </c>
      <c r="H152" t="n">
        <v>103</v>
      </c>
      <c r="I152" t="inlineStr">
        <is>
          <t>Los Angeles Lakers</t>
        </is>
      </c>
      <c r="J152" t="inlineStr">
        <is>
          <t>Toronto Raptors</t>
        </is>
      </c>
      <c r="K152" t="inlineStr">
        <is>
          <t>Yes</t>
        </is>
      </c>
      <c r="L152" t="inlineStr"/>
      <c r="M152" t="inlineStr">
        <is>
          <t>https://fixturedownload.com/download/nba-2024-UTC.csv</t>
        </is>
      </c>
    </row>
    <row r="153">
      <c r="A153" t="n">
        <v>152</v>
      </c>
      <c r="B153" t="n">
        <v>3</v>
      </c>
      <c r="C153" t="inlineStr">
        <is>
          <t>12/11/2024 01:00</t>
        </is>
      </c>
      <c r="D153" t="inlineStr">
        <is>
          <t>United Center</t>
        </is>
      </c>
      <c r="E153" t="inlineStr">
        <is>
          <t>Chicago Bulls</t>
        </is>
      </c>
      <c r="F153" t="inlineStr">
        <is>
          <t>Cleveland Cavaliers</t>
        </is>
      </c>
      <c r="G153" t="n">
        <v>113</v>
      </c>
      <c r="H153" t="n">
        <v>119</v>
      </c>
      <c r="I153" t="inlineStr">
        <is>
          <t>Cleveland Cavaliers</t>
        </is>
      </c>
      <c r="J153" t="inlineStr">
        <is>
          <t>Chicago Bulls</t>
        </is>
      </c>
      <c r="K153" t="inlineStr">
        <is>
          <t>Yes</t>
        </is>
      </c>
      <c r="L153" t="inlineStr"/>
      <c r="M153" t="inlineStr">
        <is>
          <t>https://fixturedownload.com/download/nba-2024-UTC.csv</t>
        </is>
      </c>
    </row>
    <row r="154">
      <c r="A154" t="n">
        <v>153</v>
      </c>
      <c r="B154" t="n">
        <v>3</v>
      </c>
      <c r="C154" t="inlineStr">
        <is>
          <t>12/11/2024 01:00</t>
        </is>
      </c>
      <c r="D154" t="inlineStr">
        <is>
          <t>Toyota Center</t>
        </is>
      </c>
      <c r="E154" t="inlineStr">
        <is>
          <t>Houston Rockets</t>
        </is>
      </c>
      <c r="F154" t="inlineStr">
        <is>
          <t>Washington Wizards</t>
        </is>
      </c>
      <c r="G154" t="n">
        <v>107</v>
      </c>
      <c r="H154" t="n">
        <v>92</v>
      </c>
      <c r="I154" t="inlineStr">
        <is>
          <t>Houston Rockets</t>
        </is>
      </c>
      <c r="J154" t="inlineStr">
        <is>
          <t>Washington Wizards</t>
        </is>
      </c>
      <c r="K154" t="inlineStr">
        <is>
          <t>Yes</t>
        </is>
      </c>
      <c r="L154" t="inlineStr"/>
      <c r="M154" t="inlineStr">
        <is>
          <t>https://fixturedownload.com/download/nba-2024-UTC.csv</t>
        </is>
      </c>
    </row>
    <row r="155">
      <c r="A155" t="n">
        <v>154</v>
      </c>
      <c r="B155" t="n">
        <v>3</v>
      </c>
      <c r="C155" t="inlineStr">
        <is>
          <t>12/11/2024 01:00</t>
        </is>
      </c>
      <c r="D155" t="inlineStr">
        <is>
          <t>Smoothie King Center</t>
        </is>
      </c>
      <c r="E155" t="inlineStr">
        <is>
          <t>New Orleans Pelicans</t>
        </is>
      </c>
      <c r="F155" t="inlineStr">
        <is>
          <t>Brooklyn Nets</t>
        </is>
      </c>
      <c r="G155" t="n">
        <v>105</v>
      </c>
      <c r="H155" t="n">
        <v>107</v>
      </c>
      <c r="I155" t="inlineStr">
        <is>
          <t>Brooklyn Nets</t>
        </is>
      </c>
      <c r="J155" t="inlineStr">
        <is>
          <t>New Orleans Pelicans</t>
        </is>
      </c>
      <c r="K155" t="inlineStr">
        <is>
          <t>Yes</t>
        </is>
      </c>
      <c r="L155" t="inlineStr"/>
      <c r="M155" t="inlineStr">
        <is>
          <t>https://fixturedownload.com/download/nba-2024-UTC.csv</t>
        </is>
      </c>
    </row>
    <row r="156">
      <c r="A156" t="n">
        <v>155</v>
      </c>
      <c r="B156" t="n">
        <v>3</v>
      </c>
      <c r="C156" t="inlineStr">
        <is>
          <t>12/11/2024 01:00</t>
        </is>
      </c>
      <c r="D156" t="inlineStr">
        <is>
          <t>Paycom Center</t>
        </is>
      </c>
      <c r="E156" t="inlineStr">
        <is>
          <t>Oklahoma City Thunder</t>
        </is>
      </c>
      <c r="F156" t="inlineStr">
        <is>
          <t>LA Clippers</t>
        </is>
      </c>
      <c r="G156" t="n">
        <v>134</v>
      </c>
      <c r="H156" t="n">
        <v>128</v>
      </c>
      <c r="I156" t="inlineStr">
        <is>
          <t>Oklahoma City Thunder</t>
        </is>
      </c>
      <c r="J156" t="inlineStr">
        <is>
          <t>LA Clippers</t>
        </is>
      </c>
      <c r="K156" t="inlineStr">
        <is>
          <t>Yes</t>
        </is>
      </c>
      <c r="L156" t="inlineStr"/>
      <c r="M156" t="inlineStr">
        <is>
          <t>https://fixturedownload.com/download/nba-2024-UTC.csv</t>
        </is>
      </c>
    </row>
    <row r="157">
      <c r="A157" t="n">
        <v>156</v>
      </c>
      <c r="B157" t="n">
        <v>3</v>
      </c>
      <c r="C157" t="inlineStr">
        <is>
          <t>12/11/2024 01:00</t>
        </is>
      </c>
      <c r="D157" t="inlineStr">
        <is>
          <t>Frost Bank Center</t>
        </is>
      </c>
      <c r="E157" t="inlineStr">
        <is>
          <t>San Antonio Spurs</t>
        </is>
      </c>
      <c r="F157" t="inlineStr">
        <is>
          <t>Sacramento Kings</t>
        </is>
      </c>
      <c r="G157" t="n">
        <v>116</v>
      </c>
      <c r="H157" t="n">
        <v>96</v>
      </c>
      <c r="I157" t="inlineStr">
        <is>
          <t>San Antonio Spurs</t>
        </is>
      </c>
      <c r="J157" t="inlineStr">
        <is>
          <t>Sacramento Kings</t>
        </is>
      </c>
      <c r="K157" t="inlineStr">
        <is>
          <t>Yes</t>
        </is>
      </c>
      <c r="L157" t="inlineStr"/>
      <c r="M157" t="inlineStr">
        <is>
          <t>https://fixturedownload.com/download/nba-2024-UTC.csv</t>
        </is>
      </c>
    </row>
    <row r="158">
      <c r="A158" t="n">
        <v>157</v>
      </c>
      <c r="B158" t="n">
        <v>3</v>
      </c>
      <c r="C158" t="inlineStr">
        <is>
          <t>13/11/2024 00:00</t>
        </is>
      </c>
      <c r="D158" t="inlineStr">
        <is>
          <t>TD Garden</t>
        </is>
      </c>
      <c r="E158" t="inlineStr">
        <is>
          <t>Boston Celtics</t>
        </is>
      </c>
      <c r="F158" t="inlineStr">
        <is>
          <t>Atlanta Hawks</t>
        </is>
      </c>
      <c r="G158" t="n">
        <v>116</v>
      </c>
      <c r="H158" t="n">
        <v>117</v>
      </c>
      <c r="I158" t="inlineStr">
        <is>
          <t>Atlanta Hawks</t>
        </is>
      </c>
      <c r="J158" t="inlineStr">
        <is>
          <t>Boston Celtics</t>
        </is>
      </c>
      <c r="K158" t="inlineStr">
        <is>
          <t>Yes</t>
        </is>
      </c>
      <c r="L158" t="inlineStr"/>
      <c r="M158" t="inlineStr">
        <is>
          <t>https://fixturedownload.com/download/nba-2024-UTC.csv</t>
        </is>
      </c>
    </row>
    <row r="159">
      <c r="A159" t="n">
        <v>158</v>
      </c>
      <c r="B159" t="n">
        <v>3</v>
      </c>
      <c r="C159" t="inlineStr">
        <is>
          <t>13/11/2024 00:00</t>
        </is>
      </c>
      <c r="D159" t="inlineStr">
        <is>
          <t>Little Caesars Arena</t>
        </is>
      </c>
      <c r="E159" t="inlineStr">
        <is>
          <t>Detroit Pistons</t>
        </is>
      </c>
      <c r="F159" t="inlineStr">
        <is>
          <t>Miami Heat</t>
        </is>
      </c>
      <c r="G159" t="n">
        <v>123</v>
      </c>
      <c r="H159" t="n">
        <v>121</v>
      </c>
      <c r="I159" t="inlineStr">
        <is>
          <t>Detroit Pistons</t>
        </is>
      </c>
      <c r="J159" t="inlineStr">
        <is>
          <t>Miami Heat</t>
        </is>
      </c>
      <c r="K159" t="inlineStr">
        <is>
          <t>Yes</t>
        </is>
      </c>
      <c r="L159" t="inlineStr"/>
      <c r="M159" t="inlineStr">
        <is>
          <t>https://fixturedownload.com/download/nba-2024-UTC.csv</t>
        </is>
      </c>
    </row>
    <row r="160">
      <c r="A160" t="n">
        <v>159</v>
      </c>
      <c r="B160" t="n">
        <v>3</v>
      </c>
      <c r="C160" t="inlineStr">
        <is>
          <t>13/11/2024 00:00</t>
        </is>
      </c>
      <c r="D160" t="inlineStr">
        <is>
          <t>Kia Center</t>
        </is>
      </c>
      <c r="E160" t="inlineStr">
        <is>
          <t>Orlando Magic</t>
        </is>
      </c>
      <c r="F160" t="inlineStr">
        <is>
          <t>Charlotte Hornets</t>
        </is>
      </c>
      <c r="G160" t="n">
        <v>114</v>
      </c>
      <c r="H160" t="n">
        <v>89</v>
      </c>
      <c r="I160" t="inlineStr">
        <is>
          <t>Orlando Magic</t>
        </is>
      </c>
      <c r="J160" t="inlineStr">
        <is>
          <t>Charlotte Hornets</t>
        </is>
      </c>
      <c r="K160" t="inlineStr">
        <is>
          <t>Yes</t>
        </is>
      </c>
      <c r="L160" t="inlineStr"/>
      <c r="M160" t="inlineStr">
        <is>
          <t>https://fixturedownload.com/download/nba-2024-UTC.csv</t>
        </is>
      </c>
    </row>
    <row r="161">
      <c r="A161" t="n">
        <v>160</v>
      </c>
      <c r="B161" t="n">
        <v>3</v>
      </c>
      <c r="C161" t="inlineStr">
        <is>
          <t>13/11/2024 00:30</t>
        </is>
      </c>
      <c r="D161" t="inlineStr">
        <is>
          <t>Wells Fargo Center</t>
        </is>
      </c>
      <c r="E161" t="inlineStr">
        <is>
          <t>Philadelphia 76ers</t>
        </is>
      </c>
      <c r="F161" t="inlineStr">
        <is>
          <t>New York Knicks</t>
        </is>
      </c>
      <c r="G161" t="n">
        <v>99</v>
      </c>
      <c r="H161" t="n">
        <v>111</v>
      </c>
      <c r="I161" t="inlineStr">
        <is>
          <t>New York Knicks</t>
        </is>
      </c>
      <c r="J161" t="inlineStr">
        <is>
          <t>Philadelphia 76ers</t>
        </is>
      </c>
      <c r="K161" t="inlineStr">
        <is>
          <t>Yes</t>
        </is>
      </c>
      <c r="L161" t="inlineStr"/>
      <c r="M161" t="inlineStr">
        <is>
          <t>https://fixturedownload.com/download/nba-2024-UTC.csv</t>
        </is>
      </c>
    </row>
    <row r="162">
      <c r="A162" t="n">
        <v>161</v>
      </c>
      <c r="B162" t="n">
        <v>3</v>
      </c>
      <c r="C162" t="inlineStr">
        <is>
          <t>13/11/2024 01:00</t>
        </is>
      </c>
      <c r="D162" t="inlineStr">
        <is>
          <t>Fiserv Forum</t>
        </is>
      </c>
      <c r="E162" t="inlineStr">
        <is>
          <t>Milwaukee Bucks</t>
        </is>
      </c>
      <c r="F162" t="inlineStr">
        <is>
          <t>Toronto Raptors</t>
        </is>
      </c>
      <c r="G162" t="n">
        <v>99</v>
      </c>
      <c r="H162" t="n">
        <v>85</v>
      </c>
      <c r="I162" t="inlineStr">
        <is>
          <t>Milwaukee Bucks</t>
        </is>
      </c>
      <c r="J162" t="inlineStr">
        <is>
          <t>Toronto Raptors</t>
        </is>
      </c>
      <c r="K162" t="inlineStr">
        <is>
          <t>Yes</t>
        </is>
      </c>
      <c r="L162" t="inlineStr"/>
      <c r="M162" t="inlineStr">
        <is>
          <t>https://fixturedownload.com/download/nba-2024-UTC.csv</t>
        </is>
      </c>
    </row>
    <row r="163">
      <c r="A163" t="n">
        <v>162</v>
      </c>
      <c r="B163" t="n">
        <v>3</v>
      </c>
      <c r="C163" t="inlineStr">
        <is>
          <t>13/11/2024 02:00</t>
        </is>
      </c>
      <c r="D163" t="inlineStr">
        <is>
          <t>Delta Center</t>
        </is>
      </c>
      <c r="E163" t="inlineStr">
        <is>
          <t>Utah Jazz</t>
        </is>
      </c>
      <c r="F163" t="inlineStr">
        <is>
          <t>Phoenix Suns</t>
        </is>
      </c>
      <c r="G163" t="n">
        <v>112</v>
      </c>
      <c r="H163" t="n">
        <v>120</v>
      </c>
      <c r="I163" t="inlineStr">
        <is>
          <t>Phoenix Suns</t>
        </is>
      </c>
      <c r="J163" t="inlineStr">
        <is>
          <t>Utah Jazz</t>
        </is>
      </c>
      <c r="K163" t="inlineStr">
        <is>
          <t>Yes</t>
        </is>
      </c>
      <c r="L163" t="inlineStr"/>
      <c r="M163" t="inlineStr">
        <is>
          <t>https://fixturedownload.com/download/nba-2024-UTC.csv</t>
        </is>
      </c>
    </row>
    <row r="164">
      <c r="A164" t="n">
        <v>163</v>
      </c>
      <c r="B164" t="n">
        <v>3</v>
      </c>
      <c r="C164" t="inlineStr">
        <is>
          <t>13/11/2024 03:00</t>
        </is>
      </c>
      <c r="D164" t="inlineStr">
        <is>
          <t>Chase Center</t>
        </is>
      </c>
      <c r="E164" t="inlineStr">
        <is>
          <t>Golden State Warriors</t>
        </is>
      </c>
      <c r="F164" t="inlineStr">
        <is>
          <t>Dallas Mavericks</t>
        </is>
      </c>
      <c r="G164" t="n">
        <v>120</v>
      </c>
      <c r="H164" t="n">
        <v>117</v>
      </c>
      <c r="I164" t="inlineStr">
        <is>
          <t>Golden State Warriors</t>
        </is>
      </c>
      <c r="J164" t="inlineStr">
        <is>
          <t>Dallas Mavericks</t>
        </is>
      </c>
      <c r="K164" t="inlineStr">
        <is>
          <t>Yes</t>
        </is>
      </c>
      <c r="L164" t="inlineStr"/>
      <c r="M164" t="inlineStr">
        <is>
          <t>https://fixturedownload.com/download/nba-2024-UTC.csv</t>
        </is>
      </c>
    </row>
    <row r="165">
      <c r="A165" t="n">
        <v>164</v>
      </c>
      <c r="B165" t="n">
        <v>3</v>
      </c>
      <c r="C165" t="inlineStr">
        <is>
          <t>13/11/2024 03:00</t>
        </is>
      </c>
      <c r="D165" t="inlineStr">
        <is>
          <t>Moda Center</t>
        </is>
      </c>
      <c r="E165" t="inlineStr">
        <is>
          <t>Portland Trail Blazers</t>
        </is>
      </c>
      <c r="F165" t="inlineStr">
        <is>
          <t>Minnesota Timberwolves</t>
        </is>
      </c>
      <c r="G165" t="n">
        <v>122</v>
      </c>
      <c r="H165" t="n">
        <v>108</v>
      </c>
      <c r="I165" t="inlineStr">
        <is>
          <t>Portland Trail Blazers</t>
        </is>
      </c>
      <c r="J165" t="inlineStr">
        <is>
          <t>Minnesota Timberwolves</t>
        </is>
      </c>
      <c r="K165" t="inlineStr">
        <is>
          <t>Yes</t>
        </is>
      </c>
      <c r="L165" t="inlineStr"/>
      <c r="M165" t="inlineStr">
        <is>
          <t>https://fixturedownload.com/download/nba-2024-UTC.csv</t>
        </is>
      </c>
    </row>
    <row r="166">
      <c r="A166" t="n">
        <v>165</v>
      </c>
      <c r="B166" t="n">
        <v>4</v>
      </c>
      <c r="C166" t="inlineStr">
        <is>
          <t>14/11/2024 00:00</t>
        </is>
      </c>
      <c r="D166" t="inlineStr">
        <is>
          <t>Kia Center</t>
        </is>
      </c>
      <c r="E166" t="inlineStr">
        <is>
          <t>Orlando Magic</t>
        </is>
      </c>
      <c r="F166" t="inlineStr">
        <is>
          <t>Indiana Pacers</t>
        </is>
      </c>
      <c r="G166" t="n">
        <v>94</v>
      </c>
      <c r="H166" t="n">
        <v>90</v>
      </c>
      <c r="I166" t="inlineStr">
        <is>
          <t>Orlando Magic</t>
        </is>
      </c>
      <c r="J166" t="inlineStr">
        <is>
          <t>Indiana Pacers</t>
        </is>
      </c>
      <c r="K166" t="inlineStr">
        <is>
          <t>Yes</t>
        </is>
      </c>
      <c r="L166" t="inlineStr"/>
      <c r="M166" t="inlineStr">
        <is>
          <t>https://fixturedownload.com/download/nba-2024-UTC.csv</t>
        </is>
      </c>
    </row>
    <row r="167">
      <c r="A167" t="n">
        <v>166</v>
      </c>
      <c r="B167" t="n">
        <v>4</v>
      </c>
      <c r="C167" t="inlineStr">
        <is>
          <t>14/11/2024 00:30</t>
        </is>
      </c>
      <c r="D167" t="inlineStr">
        <is>
          <t>Barclays Center</t>
        </is>
      </c>
      <c r="E167" t="inlineStr">
        <is>
          <t>Brooklyn Nets</t>
        </is>
      </c>
      <c r="F167" t="inlineStr">
        <is>
          <t>Boston Celtics</t>
        </is>
      </c>
      <c r="G167" t="n">
        <v>114</v>
      </c>
      <c r="H167" t="n">
        <v>139</v>
      </c>
      <c r="I167" t="inlineStr">
        <is>
          <t>Boston Celtics</t>
        </is>
      </c>
      <c r="J167" t="inlineStr">
        <is>
          <t>Brooklyn Nets</t>
        </is>
      </c>
      <c r="K167" t="inlineStr">
        <is>
          <t>Yes</t>
        </is>
      </c>
      <c r="L167" t="inlineStr"/>
      <c r="M167" t="inlineStr">
        <is>
          <t>https://fixturedownload.com/download/nba-2024-UTC.csv</t>
        </is>
      </c>
    </row>
    <row r="168">
      <c r="A168" t="n">
        <v>167</v>
      </c>
      <c r="B168" t="n">
        <v>4</v>
      </c>
      <c r="C168" t="inlineStr">
        <is>
          <t>14/11/2024 00:30</t>
        </is>
      </c>
      <c r="D168" t="inlineStr">
        <is>
          <t>Madison Square Garden</t>
        </is>
      </c>
      <c r="E168" t="inlineStr">
        <is>
          <t>New York Knicks</t>
        </is>
      </c>
      <c r="F168" t="inlineStr">
        <is>
          <t>Chicago Bulls</t>
        </is>
      </c>
      <c r="G168" t="n">
        <v>123</v>
      </c>
      <c r="H168" t="n">
        <v>124</v>
      </c>
      <c r="I168" t="inlineStr">
        <is>
          <t>Chicago Bulls</t>
        </is>
      </c>
      <c r="J168" t="inlineStr">
        <is>
          <t>New York Knicks</t>
        </is>
      </c>
      <c r="K168" t="inlineStr">
        <is>
          <t>Yes</t>
        </is>
      </c>
      <c r="L168" t="inlineStr"/>
      <c r="M168" t="inlineStr">
        <is>
          <t>https://fixturedownload.com/download/nba-2024-UTC.csv</t>
        </is>
      </c>
    </row>
    <row r="169">
      <c r="A169" t="n">
        <v>168</v>
      </c>
      <c r="B169" t="n">
        <v>4</v>
      </c>
      <c r="C169" t="inlineStr">
        <is>
          <t>14/11/2024 00:30</t>
        </is>
      </c>
      <c r="D169" t="inlineStr">
        <is>
          <t>Wells Fargo Center</t>
        </is>
      </c>
      <c r="E169" t="inlineStr">
        <is>
          <t>Philadelphia 76ers</t>
        </is>
      </c>
      <c r="F169" t="inlineStr">
        <is>
          <t>Cleveland Cavaliers</t>
        </is>
      </c>
      <c r="G169" t="n">
        <v>106</v>
      </c>
      <c r="H169" t="n">
        <v>114</v>
      </c>
      <c r="I169" t="inlineStr">
        <is>
          <t>Cleveland Cavaliers</t>
        </is>
      </c>
      <c r="J169" t="inlineStr">
        <is>
          <t>Philadelphia 76ers</t>
        </is>
      </c>
      <c r="K169" t="inlineStr">
        <is>
          <t>Yes</t>
        </is>
      </c>
      <c r="L169" t="inlineStr"/>
      <c r="M169" t="inlineStr">
        <is>
          <t>https://fixturedownload.com/download/nba-2024-UTC.csv</t>
        </is>
      </c>
    </row>
    <row r="170">
      <c r="A170" t="n">
        <v>169</v>
      </c>
      <c r="B170" t="n">
        <v>4</v>
      </c>
      <c r="C170" t="inlineStr">
        <is>
          <t>14/11/2024 00:30</t>
        </is>
      </c>
      <c r="D170" t="inlineStr">
        <is>
          <t>Paycom Center</t>
        </is>
      </c>
      <c r="E170" t="inlineStr">
        <is>
          <t>Oklahoma City Thunder</t>
        </is>
      </c>
      <c r="F170" t="inlineStr">
        <is>
          <t>New Orleans Pelicans</t>
        </is>
      </c>
      <c r="G170" t="n">
        <v>106</v>
      </c>
      <c r="H170" t="n">
        <v>88</v>
      </c>
      <c r="I170" t="inlineStr">
        <is>
          <t>Oklahoma City Thunder</t>
        </is>
      </c>
      <c r="J170" t="inlineStr">
        <is>
          <t>New Orleans Pelicans</t>
        </is>
      </c>
      <c r="K170" t="inlineStr">
        <is>
          <t>Yes</t>
        </is>
      </c>
      <c r="L170" t="inlineStr"/>
      <c r="M170" t="inlineStr">
        <is>
          <t>https://fixturedownload.com/download/nba-2024-UTC.csv</t>
        </is>
      </c>
    </row>
    <row r="171">
      <c r="A171" t="n">
        <v>170</v>
      </c>
      <c r="B171" t="n">
        <v>4</v>
      </c>
      <c r="C171" t="inlineStr">
        <is>
          <t>14/11/2024 01:00</t>
        </is>
      </c>
      <c r="D171" t="inlineStr">
        <is>
          <t>Toyota Center</t>
        </is>
      </c>
      <c r="E171" t="inlineStr">
        <is>
          <t>Houston Rockets</t>
        </is>
      </c>
      <c r="F171" t="inlineStr">
        <is>
          <t>LA Clippers</t>
        </is>
      </c>
      <c r="G171" t="n">
        <v>111</v>
      </c>
      <c r="H171" t="n">
        <v>103</v>
      </c>
      <c r="I171" t="inlineStr">
        <is>
          <t>Houston Rockets</t>
        </is>
      </c>
      <c r="J171" t="inlineStr">
        <is>
          <t>LA Clippers</t>
        </is>
      </c>
      <c r="K171" t="inlineStr">
        <is>
          <t>Yes</t>
        </is>
      </c>
      <c r="L171" t="inlineStr"/>
      <c r="M171" t="inlineStr">
        <is>
          <t>https://fixturedownload.com/download/nba-2024-UTC.csv</t>
        </is>
      </c>
    </row>
    <row r="172">
      <c r="A172" t="n">
        <v>171</v>
      </c>
      <c r="B172" t="n">
        <v>4</v>
      </c>
      <c r="C172" t="inlineStr">
        <is>
          <t>14/11/2024 01:00</t>
        </is>
      </c>
      <c r="D172" t="inlineStr">
        <is>
          <t>Fiserv Forum</t>
        </is>
      </c>
      <c r="E172" t="inlineStr">
        <is>
          <t>Milwaukee Bucks</t>
        </is>
      </c>
      <c r="F172" t="inlineStr">
        <is>
          <t>Detroit Pistons</t>
        </is>
      </c>
      <c r="G172" t="n">
        <v>127</v>
      </c>
      <c r="H172" t="n">
        <v>120</v>
      </c>
      <c r="I172" t="inlineStr">
        <is>
          <t>Milwaukee Bucks</t>
        </is>
      </c>
      <c r="J172" t="inlineStr">
        <is>
          <t>Detroit Pistons</t>
        </is>
      </c>
      <c r="K172" t="inlineStr">
        <is>
          <t>Yes</t>
        </is>
      </c>
      <c r="L172" t="inlineStr"/>
      <c r="M172" t="inlineStr">
        <is>
          <t>https://fixturedownload.com/download/nba-2024-UTC.csv</t>
        </is>
      </c>
    </row>
    <row r="173">
      <c r="A173" t="n">
        <v>172</v>
      </c>
      <c r="B173" t="n">
        <v>4</v>
      </c>
      <c r="C173" t="inlineStr">
        <is>
          <t>14/11/2024 01:00</t>
        </is>
      </c>
      <c r="D173" t="inlineStr">
        <is>
          <t>Frost Bank Center</t>
        </is>
      </c>
      <c r="E173" t="inlineStr">
        <is>
          <t>San Antonio Spurs</t>
        </is>
      </c>
      <c r="F173" t="inlineStr">
        <is>
          <t>Washington Wizards</t>
        </is>
      </c>
      <c r="G173" t="n">
        <v>139</v>
      </c>
      <c r="H173" t="n">
        <v>130</v>
      </c>
      <c r="I173" t="inlineStr">
        <is>
          <t>San Antonio Spurs</t>
        </is>
      </c>
      <c r="J173" t="inlineStr">
        <is>
          <t>Washington Wizards</t>
        </is>
      </c>
      <c r="K173" t="inlineStr">
        <is>
          <t>Yes</t>
        </is>
      </c>
      <c r="L173" t="inlineStr"/>
      <c r="M173" t="inlineStr">
        <is>
          <t>https://fixturedownload.com/download/nba-2024-UTC.csv</t>
        </is>
      </c>
    </row>
    <row r="174">
      <c r="A174" t="n">
        <v>173</v>
      </c>
      <c r="B174" t="n">
        <v>4</v>
      </c>
      <c r="C174" t="inlineStr">
        <is>
          <t>14/11/2024 03:00</t>
        </is>
      </c>
      <c r="D174" t="inlineStr">
        <is>
          <t>Crypto.com Arena</t>
        </is>
      </c>
      <c r="E174" t="inlineStr">
        <is>
          <t>Los Angeles Lakers</t>
        </is>
      </c>
      <c r="F174" t="inlineStr">
        <is>
          <t>Memphis Grizzlies</t>
        </is>
      </c>
      <c r="G174" t="n">
        <v>128</v>
      </c>
      <c r="H174" t="n">
        <v>123</v>
      </c>
      <c r="I174" t="inlineStr">
        <is>
          <t>Los Angeles Lakers</t>
        </is>
      </c>
      <c r="J174" t="inlineStr">
        <is>
          <t>Memphis Grizzlies</t>
        </is>
      </c>
      <c r="K174" t="inlineStr">
        <is>
          <t>Yes</t>
        </is>
      </c>
      <c r="L174" t="inlineStr"/>
      <c r="M174" t="inlineStr">
        <is>
          <t>https://fixturedownload.com/download/nba-2024-UTC.csv</t>
        </is>
      </c>
    </row>
    <row r="175">
      <c r="A175" t="n">
        <v>174</v>
      </c>
      <c r="B175" t="n">
        <v>4</v>
      </c>
      <c r="C175" t="inlineStr">
        <is>
          <t>14/11/2024 03:00</t>
        </is>
      </c>
      <c r="D175" t="inlineStr">
        <is>
          <t>Moda Center</t>
        </is>
      </c>
      <c r="E175" t="inlineStr">
        <is>
          <t>Portland Trail Blazers</t>
        </is>
      </c>
      <c r="F175" t="inlineStr">
        <is>
          <t>Minnesota Timberwolves</t>
        </is>
      </c>
      <c r="G175" t="n">
        <v>106</v>
      </c>
      <c r="H175" t="n">
        <v>98</v>
      </c>
      <c r="I175" t="inlineStr">
        <is>
          <t>Portland Trail Blazers</t>
        </is>
      </c>
      <c r="J175" t="inlineStr">
        <is>
          <t>Minnesota Timberwolves</t>
        </is>
      </c>
      <c r="K175" t="inlineStr">
        <is>
          <t>Yes</t>
        </is>
      </c>
      <c r="L175" t="inlineStr"/>
      <c r="M175" t="inlineStr">
        <is>
          <t>https://fixturedownload.com/download/nba-2024-UTC.csv</t>
        </is>
      </c>
    </row>
    <row r="176">
      <c r="A176" t="n">
        <v>175</v>
      </c>
      <c r="B176" t="n">
        <v>4</v>
      </c>
      <c r="C176" t="inlineStr">
        <is>
          <t>14/11/2024 03:00</t>
        </is>
      </c>
      <c r="D176" t="inlineStr">
        <is>
          <t>Golden 1 Center</t>
        </is>
      </c>
      <c r="E176" t="inlineStr">
        <is>
          <t>Sacramento Kings</t>
        </is>
      </c>
      <c r="F176" t="inlineStr">
        <is>
          <t>Phoenix Suns</t>
        </is>
      </c>
      <c r="G176" t="n">
        <v>127</v>
      </c>
      <c r="H176" t="n">
        <v>104</v>
      </c>
      <c r="I176" t="inlineStr">
        <is>
          <t>Sacramento Kings</t>
        </is>
      </c>
      <c r="J176" t="inlineStr">
        <is>
          <t>Phoenix Suns</t>
        </is>
      </c>
      <c r="K176" t="inlineStr">
        <is>
          <t>Yes</t>
        </is>
      </c>
      <c r="L176" t="inlineStr"/>
      <c r="M176" t="inlineStr">
        <is>
          <t>https://fixturedownload.com/download/nba-2024-UTC.csv</t>
        </is>
      </c>
    </row>
    <row r="177">
      <c r="A177" t="n">
        <v>176</v>
      </c>
      <c r="B177" t="n">
        <v>4</v>
      </c>
      <c r="C177" t="inlineStr">
        <is>
          <t>15/11/2024 02:00</t>
        </is>
      </c>
      <c r="D177" t="inlineStr">
        <is>
          <t>Delta Center</t>
        </is>
      </c>
      <c r="E177" t="inlineStr">
        <is>
          <t>Utah Jazz</t>
        </is>
      </c>
      <c r="F177" t="inlineStr">
        <is>
          <t>Dallas Mavericks</t>
        </is>
      </c>
      <c r="G177" t="n">
        <v>115</v>
      </c>
      <c r="H177" t="n">
        <v>113</v>
      </c>
      <c r="I177" t="inlineStr">
        <is>
          <t>Utah Jazz</t>
        </is>
      </c>
      <c r="J177" t="inlineStr">
        <is>
          <t>Dallas Mavericks</t>
        </is>
      </c>
      <c r="K177" t="inlineStr">
        <is>
          <t>Yes</t>
        </is>
      </c>
      <c r="L177" t="inlineStr"/>
      <c r="M177" t="inlineStr">
        <is>
          <t>https://fixturedownload.com/download/nba-2024-UTC.csv</t>
        </is>
      </c>
    </row>
    <row r="178">
      <c r="A178" t="n">
        <v>177</v>
      </c>
      <c r="B178" t="n">
        <v>4</v>
      </c>
      <c r="C178" t="inlineStr">
        <is>
          <t>16/11/2024 00:00</t>
        </is>
      </c>
      <c r="D178" t="inlineStr">
        <is>
          <t>Gainbridge Fieldhouse</t>
        </is>
      </c>
      <c r="E178" t="inlineStr">
        <is>
          <t>Indiana Pacers</t>
        </is>
      </c>
      <c r="F178" t="inlineStr">
        <is>
          <t>Miami Heat</t>
        </is>
      </c>
      <c r="G178" t="n">
        <v>111</v>
      </c>
      <c r="H178" t="n">
        <v>124</v>
      </c>
      <c r="I178" t="inlineStr">
        <is>
          <t>Miami Heat</t>
        </is>
      </c>
      <c r="J178" t="inlineStr">
        <is>
          <t>Indiana Pacers</t>
        </is>
      </c>
      <c r="K178" t="inlineStr">
        <is>
          <t>Yes</t>
        </is>
      </c>
      <c r="L178" t="inlineStr"/>
      <c r="M178" t="inlineStr">
        <is>
          <t>https://fixturedownload.com/download/nba-2024-UTC.csv</t>
        </is>
      </c>
    </row>
    <row r="179">
      <c r="A179" t="n">
        <v>178</v>
      </c>
      <c r="B179" t="n">
        <v>4</v>
      </c>
      <c r="C179" t="inlineStr">
        <is>
          <t>16/11/2024 00:00</t>
        </is>
      </c>
      <c r="D179" t="inlineStr">
        <is>
          <t>Kia Center</t>
        </is>
      </c>
      <c r="E179" t="inlineStr">
        <is>
          <t>Orlando Magic</t>
        </is>
      </c>
      <c r="F179" t="inlineStr">
        <is>
          <t>Philadelphia 76ers</t>
        </is>
      </c>
      <c r="G179" t="n">
        <v>98</v>
      </c>
      <c r="H179" t="n">
        <v>86</v>
      </c>
      <c r="I179" t="inlineStr">
        <is>
          <t>Orlando Magic</t>
        </is>
      </c>
      <c r="J179" t="inlineStr">
        <is>
          <t>Philadelphia 76ers</t>
        </is>
      </c>
      <c r="K179" t="inlineStr">
        <is>
          <t>Yes</t>
        </is>
      </c>
      <c r="L179" t="inlineStr"/>
      <c r="M179" t="inlineStr">
        <is>
          <t>https://fixturedownload.com/download/nba-2024-UTC.csv</t>
        </is>
      </c>
    </row>
    <row r="180">
      <c r="A180" t="n">
        <v>179</v>
      </c>
      <c r="B180" t="n">
        <v>4</v>
      </c>
      <c r="C180" t="inlineStr">
        <is>
          <t>16/11/2024 00:00</t>
        </is>
      </c>
      <c r="D180" t="inlineStr">
        <is>
          <t>Scotiabank Arena</t>
        </is>
      </c>
      <c r="E180" t="inlineStr">
        <is>
          <t>Toronto Raptors</t>
        </is>
      </c>
      <c r="F180" t="inlineStr">
        <is>
          <t>Detroit Pistons</t>
        </is>
      </c>
      <c r="G180" t="n">
        <v>95</v>
      </c>
      <c r="H180" t="n">
        <v>99</v>
      </c>
      <c r="I180" t="inlineStr">
        <is>
          <t>Detroit Pistons</t>
        </is>
      </c>
      <c r="J180" t="inlineStr">
        <is>
          <t>Toronto Raptors</t>
        </is>
      </c>
      <c r="K180" t="inlineStr">
        <is>
          <t>Yes</t>
        </is>
      </c>
      <c r="L180" t="inlineStr"/>
      <c r="M180" t="inlineStr">
        <is>
          <t>https://fixturedownload.com/download/nba-2024-UTC.csv</t>
        </is>
      </c>
    </row>
    <row r="181">
      <c r="A181" t="n">
        <v>180</v>
      </c>
      <c r="B181" t="n">
        <v>4</v>
      </c>
      <c r="C181" t="inlineStr">
        <is>
          <t>16/11/2024 00:30</t>
        </is>
      </c>
      <c r="D181" t="inlineStr">
        <is>
          <t>State Farm Arena</t>
        </is>
      </c>
      <c r="E181" t="inlineStr">
        <is>
          <t>Atlanta Hawks</t>
        </is>
      </c>
      <c r="F181" t="inlineStr">
        <is>
          <t>Washington Wizards</t>
        </is>
      </c>
      <c r="G181" t="n">
        <v>129</v>
      </c>
      <c r="H181" t="n">
        <v>117</v>
      </c>
      <c r="I181" t="inlineStr">
        <is>
          <t>Atlanta Hawks</t>
        </is>
      </c>
      <c r="J181" t="inlineStr">
        <is>
          <t>Washington Wizards</t>
        </is>
      </c>
      <c r="K181" t="inlineStr">
        <is>
          <t>Yes</t>
        </is>
      </c>
      <c r="L181" t="inlineStr"/>
      <c r="M181" t="inlineStr">
        <is>
          <t>https://fixturedownload.com/download/nba-2024-UTC.csv</t>
        </is>
      </c>
    </row>
    <row r="182">
      <c r="A182" t="n">
        <v>181</v>
      </c>
      <c r="B182" t="n">
        <v>4</v>
      </c>
      <c r="C182" t="inlineStr">
        <is>
          <t>16/11/2024 00:30</t>
        </is>
      </c>
      <c r="D182" t="inlineStr">
        <is>
          <t>Rocket Arena</t>
        </is>
      </c>
      <c r="E182" t="inlineStr">
        <is>
          <t>Cleveland Cavaliers</t>
        </is>
      </c>
      <c r="F182" t="inlineStr">
        <is>
          <t>Chicago Bulls</t>
        </is>
      </c>
      <c r="G182" t="n">
        <v>144</v>
      </c>
      <c r="H182" t="n">
        <v>126</v>
      </c>
      <c r="I182" t="inlineStr">
        <is>
          <t>Cleveland Cavaliers</t>
        </is>
      </c>
      <c r="J182" t="inlineStr">
        <is>
          <t>Chicago Bulls</t>
        </is>
      </c>
      <c r="K182" t="inlineStr">
        <is>
          <t>Yes</t>
        </is>
      </c>
      <c r="L182" t="inlineStr"/>
      <c r="M182" t="inlineStr">
        <is>
          <t>https://fixturedownload.com/download/nba-2024-UTC.csv</t>
        </is>
      </c>
    </row>
    <row r="183">
      <c r="A183" t="n">
        <v>182</v>
      </c>
      <c r="B183" t="n">
        <v>4</v>
      </c>
      <c r="C183" t="inlineStr">
        <is>
          <t>16/11/2024 00:30</t>
        </is>
      </c>
      <c r="D183" t="inlineStr">
        <is>
          <t>Madison Square Garden</t>
        </is>
      </c>
      <c r="E183" t="inlineStr">
        <is>
          <t>New York Knicks</t>
        </is>
      </c>
      <c r="F183" t="inlineStr">
        <is>
          <t>Brooklyn Nets</t>
        </is>
      </c>
      <c r="G183" t="n">
        <v>124</v>
      </c>
      <c r="H183" t="n">
        <v>122</v>
      </c>
      <c r="I183" t="inlineStr">
        <is>
          <t>New York Knicks</t>
        </is>
      </c>
      <c r="J183" t="inlineStr">
        <is>
          <t>Brooklyn Nets</t>
        </is>
      </c>
      <c r="K183" t="inlineStr">
        <is>
          <t>Yes</t>
        </is>
      </c>
      <c r="L183" t="inlineStr"/>
      <c r="M183" t="inlineStr">
        <is>
          <t>https://fixturedownload.com/download/nba-2024-UTC.csv</t>
        </is>
      </c>
    </row>
    <row r="184">
      <c r="A184" t="n">
        <v>183</v>
      </c>
      <c r="B184" t="n">
        <v>4</v>
      </c>
      <c r="C184" t="inlineStr">
        <is>
          <t>16/11/2024 00:30</t>
        </is>
      </c>
      <c r="D184" t="inlineStr">
        <is>
          <t>Frost Bank Center</t>
        </is>
      </c>
      <c r="E184" t="inlineStr">
        <is>
          <t>San Antonio Spurs</t>
        </is>
      </c>
      <c r="F184" t="inlineStr">
        <is>
          <t>Los Angeles Lakers</t>
        </is>
      </c>
      <c r="G184" t="n">
        <v>115</v>
      </c>
      <c r="H184" t="n">
        <v>120</v>
      </c>
      <c r="I184" t="inlineStr">
        <is>
          <t>Los Angeles Lakers</t>
        </is>
      </c>
      <c r="J184" t="inlineStr">
        <is>
          <t>San Antonio Spurs</t>
        </is>
      </c>
      <c r="K184" t="inlineStr">
        <is>
          <t>Yes</t>
        </is>
      </c>
      <c r="L184" t="inlineStr"/>
      <c r="M184" t="inlineStr">
        <is>
          <t>https://fixturedownload.com/download/nba-2024-UTC.csv</t>
        </is>
      </c>
    </row>
    <row r="185">
      <c r="A185" t="n">
        <v>184</v>
      </c>
      <c r="B185" t="n">
        <v>4</v>
      </c>
      <c r="C185" t="inlineStr">
        <is>
          <t>16/11/2024 01:00</t>
        </is>
      </c>
      <c r="D185" t="inlineStr">
        <is>
          <t>Toyota Center</t>
        </is>
      </c>
      <c r="E185" t="inlineStr">
        <is>
          <t>Houston Rockets</t>
        </is>
      </c>
      <c r="F185" t="inlineStr">
        <is>
          <t>LA Clippers</t>
        </is>
      </c>
      <c r="G185" t="n">
        <v>125</v>
      </c>
      <c r="H185" t="n">
        <v>104</v>
      </c>
      <c r="I185" t="inlineStr">
        <is>
          <t>Houston Rockets</t>
        </is>
      </c>
      <c r="J185" t="inlineStr">
        <is>
          <t>LA Clippers</t>
        </is>
      </c>
      <c r="K185" t="inlineStr">
        <is>
          <t>Yes</t>
        </is>
      </c>
      <c r="L185" t="inlineStr"/>
      <c r="M185" t="inlineStr">
        <is>
          <t>https://fixturedownload.com/download/nba-2024-UTC.csv</t>
        </is>
      </c>
    </row>
    <row r="186">
      <c r="A186" t="n">
        <v>185</v>
      </c>
      <c r="B186" t="n">
        <v>4</v>
      </c>
      <c r="C186" t="inlineStr">
        <is>
          <t>16/11/2024 01:00</t>
        </is>
      </c>
      <c r="D186" t="inlineStr">
        <is>
          <t>Smoothie King Center</t>
        </is>
      </c>
      <c r="E186" t="inlineStr">
        <is>
          <t>New Orleans Pelicans</t>
        </is>
      </c>
      <c r="F186" t="inlineStr">
        <is>
          <t>Denver Nuggets</t>
        </is>
      </c>
      <c r="G186" t="n">
        <v>101</v>
      </c>
      <c r="H186" t="n">
        <v>94</v>
      </c>
      <c r="I186" t="inlineStr">
        <is>
          <t>New Orleans Pelicans</t>
        </is>
      </c>
      <c r="J186" t="inlineStr">
        <is>
          <t>Denver Nuggets</t>
        </is>
      </c>
      <c r="K186" t="inlineStr">
        <is>
          <t>Yes</t>
        </is>
      </c>
      <c r="L186" t="inlineStr"/>
      <c r="M186" t="inlineStr">
        <is>
          <t>https://fixturedownload.com/download/nba-2024-UTC.csv</t>
        </is>
      </c>
    </row>
    <row r="187">
      <c r="A187" t="n">
        <v>186</v>
      </c>
      <c r="B187" t="n">
        <v>4</v>
      </c>
      <c r="C187" t="inlineStr">
        <is>
          <t>16/11/2024 01:00</t>
        </is>
      </c>
      <c r="D187" t="inlineStr">
        <is>
          <t>Paycom Center</t>
        </is>
      </c>
      <c r="E187" t="inlineStr">
        <is>
          <t>Oklahoma City Thunder</t>
        </is>
      </c>
      <c r="F187" t="inlineStr">
        <is>
          <t>Phoenix Suns</t>
        </is>
      </c>
      <c r="G187" t="n">
        <v>99</v>
      </c>
      <c r="H187" t="n">
        <v>83</v>
      </c>
      <c r="I187" t="inlineStr">
        <is>
          <t>Oklahoma City Thunder</t>
        </is>
      </c>
      <c r="J187" t="inlineStr">
        <is>
          <t>Phoenix Suns</t>
        </is>
      </c>
      <c r="K187" t="inlineStr">
        <is>
          <t>Yes</t>
        </is>
      </c>
      <c r="L187" t="inlineStr"/>
      <c r="M187" t="inlineStr">
        <is>
          <t>https://fixturedownload.com/download/nba-2024-UTC.csv</t>
        </is>
      </c>
    </row>
    <row r="188">
      <c r="A188" t="n">
        <v>187</v>
      </c>
      <c r="B188" t="n">
        <v>4</v>
      </c>
      <c r="C188" t="inlineStr">
        <is>
          <t>16/11/2024 03:00</t>
        </is>
      </c>
      <c r="D188" t="inlineStr">
        <is>
          <t>Chase Center</t>
        </is>
      </c>
      <c r="E188" t="inlineStr">
        <is>
          <t>Golden State Warriors</t>
        </is>
      </c>
      <c r="F188" t="inlineStr">
        <is>
          <t>Memphis Grizzlies</t>
        </is>
      </c>
      <c r="G188" t="n">
        <v>123</v>
      </c>
      <c r="H188" t="n">
        <v>118</v>
      </c>
      <c r="I188" t="inlineStr">
        <is>
          <t>Golden State Warriors</t>
        </is>
      </c>
      <c r="J188" t="inlineStr">
        <is>
          <t>Memphis Grizzlies</t>
        </is>
      </c>
      <c r="K188" t="inlineStr">
        <is>
          <t>Yes</t>
        </is>
      </c>
      <c r="L188" t="inlineStr"/>
      <c r="M188" t="inlineStr">
        <is>
          <t>https://fixturedownload.com/download/nba-2024-UTC.csv</t>
        </is>
      </c>
    </row>
    <row r="189">
      <c r="A189" t="n">
        <v>188</v>
      </c>
      <c r="B189" t="n">
        <v>4</v>
      </c>
      <c r="C189" t="inlineStr">
        <is>
          <t>16/11/2024 03:00</t>
        </is>
      </c>
      <c r="D189" t="inlineStr">
        <is>
          <t>Golden 1 Center</t>
        </is>
      </c>
      <c r="E189" t="inlineStr">
        <is>
          <t>Sacramento Kings</t>
        </is>
      </c>
      <c r="F189" t="inlineStr">
        <is>
          <t>Minnesota Timberwolves</t>
        </is>
      </c>
      <c r="G189" t="n">
        <v>126</v>
      </c>
      <c r="H189" t="n">
        <v>130</v>
      </c>
      <c r="I189" t="inlineStr">
        <is>
          <t>Minnesota Timberwolves</t>
        </is>
      </c>
      <c r="J189" t="inlineStr">
        <is>
          <t>Sacramento Kings</t>
        </is>
      </c>
      <c r="K189" t="inlineStr">
        <is>
          <t>Yes</t>
        </is>
      </c>
      <c r="L189" t="inlineStr"/>
      <c r="M189" t="inlineStr">
        <is>
          <t>https://fixturedownload.com/download/nba-2024-UTC.csv</t>
        </is>
      </c>
    </row>
    <row r="190">
      <c r="A190" t="n">
        <v>189</v>
      </c>
      <c r="B190" t="n">
        <v>4</v>
      </c>
      <c r="C190" t="inlineStr">
        <is>
          <t>16/11/2024 20:00</t>
        </is>
      </c>
      <c r="D190" t="inlineStr">
        <is>
          <t>Spectrum Center</t>
        </is>
      </c>
      <c r="E190" t="inlineStr">
        <is>
          <t>Charlotte Hornets</t>
        </is>
      </c>
      <c r="F190" t="inlineStr">
        <is>
          <t>Milwaukee Bucks</t>
        </is>
      </c>
      <c r="G190" t="n">
        <v>115</v>
      </c>
      <c r="H190" t="n">
        <v>114</v>
      </c>
      <c r="I190" t="inlineStr">
        <is>
          <t>Charlotte Hornets</t>
        </is>
      </c>
      <c r="J190" t="inlineStr">
        <is>
          <t>Milwaukee Bucks</t>
        </is>
      </c>
      <c r="K190" t="inlineStr">
        <is>
          <t>Yes</t>
        </is>
      </c>
      <c r="L190" t="inlineStr"/>
      <c r="M190" t="inlineStr">
        <is>
          <t>https://fixturedownload.com/download/nba-2024-UTC.csv</t>
        </is>
      </c>
    </row>
    <row r="191">
      <c r="A191" t="n">
        <v>190</v>
      </c>
      <c r="B191" t="n">
        <v>4</v>
      </c>
      <c r="C191" t="inlineStr">
        <is>
          <t>17/11/2024 01:00</t>
        </is>
      </c>
      <c r="D191" t="inlineStr">
        <is>
          <t>TD Garden</t>
        </is>
      </c>
      <c r="E191" t="inlineStr">
        <is>
          <t>Boston Celtics</t>
        </is>
      </c>
      <c r="F191" t="inlineStr">
        <is>
          <t>Toronto Raptors</t>
        </is>
      </c>
      <c r="G191" t="n">
        <v>126</v>
      </c>
      <c r="H191" t="n">
        <v>123</v>
      </c>
      <c r="I191" t="inlineStr">
        <is>
          <t>Boston Celtics</t>
        </is>
      </c>
      <c r="J191" t="inlineStr">
        <is>
          <t>Toronto Raptors</t>
        </is>
      </c>
      <c r="K191" t="inlineStr">
        <is>
          <t>Yes</t>
        </is>
      </c>
      <c r="L191" t="inlineStr"/>
      <c r="M191" t="inlineStr">
        <is>
          <t>https://fixturedownload.com/download/nba-2024-UTC.csv</t>
        </is>
      </c>
    </row>
    <row r="192">
      <c r="A192" t="n">
        <v>191</v>
      </c>
      <c r="B192" t="n">
        <v>4</v>
      </c>
      <c r="C192" t="inlineStr">
        <is>
          <t>17/11/2024 01:00</t>
        </is>
      </c>
      <c r="D192" t="inlineStr">
        <is>
          <t>Smoothie King Center</t>
        </is>
      </c>
      <c r="E192" t="inlineStr">
        <is>
          <t>New Orleans Pelicans</t>
        </is>
      </c>
      <c r="F192" t="inlineStr">
        <is>
          <t>Los Angeles Lakers</t>
        </is>
      </c>
      <c r="G192" t="n">
        <v>99</v>
      </c>
      <c r="H192" t="n">
        <v>104</v>
      </c>
      <c r="I192" t="inlineStr">
        <is>
          <t>Los Angeles Lakers</t>
        </is>
      </c>
      <c r="J192" t="inlineStr">
        <is>
          <t>New Orleans Pelicans</t>
        </is>
      </c>
      <c r="K192" t="inlineStr">
        <is>
          <t>Yes</t>
        </is>
      </c>
      <c r="L192" t="inlineStr"/>
      <c r="M192" t="inlineStr">
        <is>
          <t>https://fixturedownload.com/download/nba-2024-UTC.csv</t>
        </is>
      </c>
    </row>
    <row r="193">
      <c r="A193" t="n">
        <v>192</v>
      </c>
      <c r="B193" t="n">
        <v>4</v>
      </c>
      <c r="C193" t="inlineStr">
        <is>
          <t>17/11/2024 01:30</t>
        </is>
      </c>
      <c r="D193" t="inlineStr">
        <is>
          <t>American Airlines Center</t>
        </is>
      </c>
      <c r="E193" t="inlineStr">
        <is>
          <t>Dallas Mavericks</t>
        </is>
      </c>
      <c r="F193" t="inlineStr">
        <is>
          <t>San Antonio Spurs</t>
        </is>
      </c>
      <c r="G193" t="n">
        <v>110</v>
      </c>
      <c r="H193" t="n">
        <v>93</v>
      </c>
      <c r="I193" t="inlineStr">
        <is>
          <t>Dallas Mavericks</t>
        </is>
      </c>
      <c r="J193" t="inlineStr">
        <is>
          <t>San Antonio Spurs</t>
        </is>
      </c>
      <c r="K193" t="inlineStr">
        <is>
          <t>Yes</t>
        </is>
      </c>
      <c r="L193" t="inlineStr"/>
      <c r="M193" t="inlineStr">
        <is>
          <t>https://fixturedownload.com/download/nba-2024-UTC.csv</t>
        </is>
      </c>
    </row>
    <row r="194">
      <c r="A194" t="n">
        <v>193</v>
      </c>
      <c r="B194" t="n">
        <v>4</v>
      </c>
      <c r="C194" t="inlineStr">
        <is>
          <t>17/11/2024 03:00</t>
        </is>
      </c>
      <c r="D194" t="inlineStr">
        <is>
          <t>Golden 1 Center</t>
        </is>
      </c>
      <c r="E194" t="inlineStr">
        <is>
          <t>Sacramento Kings</t>
        </is>
      </c>
      <c r="F194" t="inlineStr">
        <is>
          <t>Utah Jazz</t>
        </is>
      </c>
      <c r="G194" t="n">
        <v>121</v>
      </c>
      <c r="H194" t="n">
        <v>117</v>
      </c>
      <c r="I194" t="inlineStr">
        <is>
          <t>Sacramento Kings</t>
        </is>
      </c>
      <c r="J194" t="inlineStr">
        <is>
          <t>Utah Jazz</t>
        </is>
      </c>
      <c r="K194" t="inlineStr">
        <is>
          <t>Yes</t>
        </is>
      </c>
      <c r="L194" t="inlineStr"/>
      <c r="M194" t="inlineStr">
        <is>
          <t>https://fixturedownload.com/download/nba-2024-UTC.csv</t>
        </is>
      </c>
    </row>
    <row r="195">
      <c r="A195" t="n">
        <v>194</v>
      </c>
      <c r="B195" t="n">
        <v>4</v>
      </c>
      <c r="C195" t="inlineStr">
        <is>
          <t>17/11/2024 20:30</t>
        </is>
      </c>
      <c r="D195" t="inlineStr">
        <is>
          <t>Target Center</t>
        </is>
      </c>
      <c r="E195" t="inlineStr">
        <is>
          <t>Minnesota Timberwolves</t>
        </is>
      </c>
      <c r="F195" t="inlineStr">
        <is>
          <t>Phoenix Suns</t>
        </is>
      </c>
      <c r="G195" t="n">
        <v>120</v>
      </c>
      <c r="H195" t="n">
        <v>117</v>
      </c>
      <c r="I195" t="inlineStr">
        <is>
          <t>Minnesota Timberwolves</t>
        </is>
      </c>
      <c r="J195" t="inlineStr">
        <is>
          <t>Phoenix Suns</t>
        </is>
      </c>
      <c r="K195" t="inlineStr">
        <is>
          <t>Yes</t>
        </is>
      </c>
      <c r="L195" t="inlineStr"/>
      <c r="M195" t="inlineStr">
        <is>
          <t>https://fixturedownload.com/download/nba-2024-UTC.csv</t>
        </is>
      </c>
    </row>
    <row r="196">
      <c r="A196" t="n">
        <v>195</v>
      </c>
      <c r="B196" t="n">
        <v>4</v>
      </c>
      <c r="C196" t="inlineStr">
        <is>
          <t>17/11/2024 22:00</t>
        </is>
      </c>
      <c r="D196" t="inlineStr">
        <is>
          <t>Gainbridge Fieldhouse</t>
        </is>
      </c>
      <c r="E196" t="inlineStr">
        <is>
          <t>Indiana Pacers</t>
        </is>
      </c>
      <c r="F196" t="inlineStr">
        <is>
          <t>Miami Heat</t>
        </is>
      </c>
      <c r="G196" t="n">
        <v>119</v>
      </c>
      <c r="H196" t="n">
        <v>110</v>
      </c>
      <c r="I196" t="inlineStr">
        <is>
          <t>Indiana Pacers</t>
        </is>
      </c>
      <c r="J196" t="inlineStr">
        <is>
          <t>Miami Heat</t>
        </is>
      </c>
      <c r="K196" t="inlineStr">
        <is>
          <t>Yes</t>
        </is>
      </c>
      <c r="L196" t="inlineStr"/>
      <c r="M196" t="inlineStr">
        <is>
          <t>https://fixturedownload.com/download/nba-2024-UTC.csv</t>
        </is>
      </c>
    </row>
    <row r="197">
      <c r="A197" t="n">
        <v>196</v>
      </c>
      <c r="B197" t="n">
        <v>4</v>
      </c>
      <c r="C197" t="inlineStr">
        <is>
          <t>17/11/2024 23:00</t>
        </is>
      </c>
      <c r="D197" t="inlineStr">
        <is>
          <t>Rocket Arena</t>
        </is>
      </c>
      <c r="E197" t="inlineStr">
        <is>
          <t>Cleveland Cavaliers</t>
        </is>
      </c>
      <c r="F197" t="inlineStr">
        <is>
          <t>Charlotte Hornets</t>
        </is>
      </c>
      <c r="G197" t="n">
        <v>128</v>
      </c>
      <c r="H197" t="n">
        <v>114</v>
      </c>
      <c r="I197" t="inlineStr">
        <is>
          <t>Cleveland Cavaliers</t>
        </is>
      </c>
      <c r="J197" t="inlineStr">
        <is>
          <t>Charlotte Hornets</t>
        </is>
      </c>
      <c r="K197" t="inlineStr">
        <is>
          <t>Yes</t>
        </is>
      </c>
      <c r="L197" t="inlineStr"/>
      <c r="M197" t="inlineStr">
        <is>
          <t>https://fixturedownload.com/download/nba-2024-UTC.csv</t>
        </is>
      </c>
    </row>
    <row r="198">
      <c r="A198" t="n">
        <v>197</v>
      </c>
      <c r="B198" t="n">
        <v>4</v>
      </c>
      <c r="C198" t="inlineStr">
        <is>
          <t>17/11/2024 23:00</t>
        </is>
      </c>
      <c r="D198" t="inlineStr">
        <is>
          <t>Capital One Arena</t>
        </is>
      </c>
      <c r="E198" t="inlineStr">
        <is>
          <t>Washington Wizards</t>
        </is>
      </c>
      <c r="F198" t="inlineStr">
        <is>
          <t>Detroit Pistons</t>
        </is>
      </c>
      <c r="G198" t="n">
        <v>104</v>
      </c>
      <c r="H198" t="n">
        <v>124</v>
      </c>
      <c r="I198" t="inlineStr">
        <is>
          <t>Detroit Pistons</t>
        </is>
      </c>
      <c r="J198" t="inlineStr">
        <is>
          <t>Washington Wizards</t>
        </is>
      </c>
      <c r="K198" t="inlineStr">
        <is>
          <t>Yes</t>
        </is>
      </c>
      <c r="L198" t="inlineStr"/>
      <c r="M198" t="inlineStr">
        <is>
          <t>https://fixturedownload.com/download/nba-2024-UTC.csv</t>
        </is>
      </c>
    </row>
    <row r="199">
      <c r="A199" t="n">
        <v>198</v>
      </c>
      <c r="B199" t="n">
        <v>4</v>
      </c>
      <c r="C199" t="inlineStr">
        <is>
          <t>17/11/2024 23:00</t>
        </is>
      </c>
      <c r="D199" t="inlineStr">
        <is>
          <t>FedExForum</t>
        </is>
      </c>
      <c r="E199" t="inlineStr">
        <is>
          <t>Memphis Grizzlies</t>
        </is>
      </c>
      <c r="F199" t="inlineStr">
        <is>
          <t>Denver Nuggets</t>
        </is>
      </c>
      <c r="G199" t="n">
        <v>105</v>
      </c>
      <c r="H199" t="n">
        <v>90</v>
      </c>
      <c r="I199" t="inlineStr">
        <is>
          <t>Memphis Grizzlies</t>
        </is>
      </c>
      <c r="J199" t="inlineStr">
        <is>
          <t>Denver Nuggets</t>
        </is>
      </c>
      <c r="K199" t="inlineStr">
        <is>
          <t>Yes</t>
        </is>
      </c>
      <c r="L199" t="inlineStr"/>
      <c r="M199" t="inlineStr">
        <is>
          <t>https://fixturedownload.com/download/nba-2024-UTC.csv</t>
        </is>
      </c>
    </row>
    <row r="200">
      <c r="A200" t="n">
        <v>199</v>
      </c>
      <c r="B200" t="n">
        <v>4</v>
      </c>
      <c r="C200" t="inlineStr">
        <is>
          <t>17/11/2024 23:00</t>
        </is>
      </c>
      <c r="D200" t="inlineStr">
        <is>
          <t>Moda Center</t>
        </is>
      </c>
      <c r="E200" t="inlineStr">
        <is>
          <t>Portland Trail Blazers</t>
        </is>
      </c>
      <c r="F200" t="inlineStr">
        <is>
          <t>Atlanta Hawks</t>
        </is>
      </c>
      <c r="G200" t="n">
        <v>114</v>
      </c>
      <c r="H200" t="n">
        <v>110</v>
      </c>
      <c r="I200" t="inlineStr">
        <is>
          <t>Portland Trail Blazers</t>
        </is>
      </c>
      <c r="J200" t="inlineStr">
        <is>
          <t>Atlanta Hawks</t>
        </is>
      </c>
      <c r="K200" t="inlineStr">
        <is>
          <t>Yes</t>
        </is>
      </c>
      <c r="L200" t="inlineStr"/>
      <c r="M200" t="inlineStr">
        <is>
          <t>https://fixturedownload.com/download/nba-2024-UTC.csv</t>
        </is>
      </c>
    </row>
    <row r="201">
      <c r="A201" t="n">
        <v>200</v>
      </c>
      <c r="B201" t="n">
        <v>4</v>
      </c>
      <c r="C201" t="inlineStr">
        <is>
          <t>18/11/2024 00:00</t>
        </is>
      </c>
      <c r="D201" t="inlineStr">
        <is>
          <t>Madison Square Garden</t>
        </is>
      </c>
      <c r="E201" t="inlineStr">
        <is>
          <t>New York Knicks</t>
        </is>
      </c>
      <c r="F201" t="inlineStr">
        <is>
          <t>Brooklyn Nets</t>
        </is>
      </c>
      <c r="G201" t="n">
        <v>114</v>
      </c>
      <c r="H201" t="n">
        <v>104</v>
      </c>
      <c r="I201" t="inlineStr">
        <is>
          <t>New York Knicks</t>
        </is>
      </c>
      <c r="J201" t="inlineStr">
        <is>
          <t>Brooklyn Nets</t>
        </is>
      </c>
      <c r="K201" t="inlineStr">
        <is>
          <t>Yes</t>
        </is>
      </c>
      <c r="L201" t="inlineStr"/>
      <c r="M201" t="inlineStr">
        <is>
          <t>https://fixturedownload.com/download/nba-2024-UTC.csv</t>
        </is>
      </c>
    </row>
    <row r="202">
      <c r="A202" t="n">
        <v>201</v>
      </c>
      <c r="B202" t="n">
        <v>4</v>
      </c>
      <c r="C202" t="inlineStr">
        <is>
          <t>18/11/2024 00:00</t>
        </is>
      </c>
      <c r="D202" t="inlineStr">
        <is>
          <t>United Center</t>
        </is>
      </c>
      <c r="E202" t="inlineStr">
        <is>
          <t>Chicago Bulls</t>
        </is>
      </c>
      <c r="F202" t="inlineStr">
        <is>
          <t>Houston Rockets</t>
        </is>
      </c>
      <c r="G202" t="n">
        <v>107</v>
      </c>
      <c r="H202" t="n">
        <v>143</v>
      </c>
      <c r="I202" t="inlineStr">
        <is>
          <t>Houston Rockets</t>
        </is>
      </c>
      <c r="J202" t="inlineStr">
        <is>
          <t>Chicago Bulls</t>
        </is>
      </c>
      <c r="K202" t="inlineStr">
        <is>
          <t>Yes</t>
        </is>
      </c>
      <c r="L202" t="inlineStr"/>
      <c r="M202" t="inlineStr">
        <is>
          <t>https://fixturedownload.com/download/nba-2024-UTC.csv</t>
        </is>
      </c>
    </row>
    <row r="203">
      <c r="A203" t="n">
        <v>202</v>
      </c>
      <c r="B203" t="n">
        <v>4</v>
      </c>
      <c r="C203" t="inlineStr">
        <is>
          <t>18/11/2024 00:00</t>
        </is>
      </c>
      <c r="D203" t="inlineStr">
        <is>
          <t>Paycom Center</t>
        </is>
      </c>
      <c r="E203" t="inlineStr">
        <is>
          <t>Oklahoma City Thunder</t>
        </is>
      </c>
      <c r="F203" t="inlineStr">
        <is>
          <t>Dallas Mavericks</t>
        </is>
      </c>
      <c r="G203" t="n">
        <v>119</v>
      </c>
      <c r="H203" t="n">
        <v>121</v>
      </c>
      <c r="I203" t="inlineStr">
        <is>
          <t>Dallas Mavericks</t>
        </is>
      </c>
      <c r="J203" t="inlineStr">
        <is>
          <t>Oklahoma City Thunder</t>
        </is>
      </c>
      <c r="K203" t="inlineStr">
        <is>
          <t>Yes</t>
        </is>
      </c>
      <c r="L203" t="inlineStr"/>
      <c r="M203" t="inlineStr">
        <is>
          <t>https://fixturedownload.com/download/nba-2024-UTC.csv</t>
        </is>
      </c>
    </row>
    <row r="204">
      <c r="A204" t="n">
        <v>203</v>
      </c>
      <c r="B204" t="n">
        <v>4</v>
      </c>
      <c r="C204" t="inlineStr">
        <is>
          <t>18/11/2024 02:00</t>
        </is>
      </c>
      <c r="D204" t="inlineStr">
        <is>
          <t>Intuit Dome</t>
        </is>
      </c>
      <c r="E204" t="inlineStr">
        <is>
          <t>LA Clippers</t>
        </is>
      </c>
      <c r="F204" t="inlineStr">
        <is>
          <t>Utah Jazz</t>
        </is>
      </c>
      <c r="G204" t="n">
        <v>116</v>
      </c>
      <c r="H204" t="n">
        <v>105</v>
      </c>
      <c r="I204" t="inlineStr">
        <is>
          <t>LA Clippers</t>
        </is>
      </c>
      <c r="J204" t="inlineStr">
        <is>
          <t>Utah Jazz</t>
        </is>
      </c>
      <c r="K204" t="inlineStr">
        <is>
          <t>Yes</t>
        </is>
      </c>
      <c r="L204" t="inlineStr"/>
      <c r="M204" t="inlineStr">
        <is>
          <t>https://fixturedownload.com/download/nba-2024-UTC.csv</t>
        </is>
      </c>
    </row>
    <row r="205">
      <c r="A205" t="n">
        <v>204</v>
      </c>
      <c r="B205" t="n">
        <v>4</v>
      </c>
      <c r="C205" t="inlineStr">
        <is>
          <t>19/11/2024 00:00</t>
        </is>
      </c>
      <c r="D205" t="inlineStr">
        <is>
          <t>Little Caesars Arena</t>
        </is>
      </c>
      <c r="E205" t="inlineStr">
        <is>
          <t>Detroit Pistons</t>
        </is>
      </c>
      <c r="F205" t="inlineStr">
        <is>
          <t>Chicago Bulls</t>
        </is>
      </c>
      <c r="G205" t="n">
        <v>112</v>
      </c>
      <c r="H205" t="n">
        <v>122</v>
      </c>
      <c r="I205" t="inlineStr">
        <is>
          <t>Chicago Bulls</t>
        </is>
      </c>
      <c r="J205" t="inlineStr">
        <is>
          <t>Detroit Pistons</t>
        </is>
      </c>
      <c r="K205" t="inlineStr">
        <is>
          <t>Yes</t>
        </is>
      </c>
      <c r="L205" t="inlineStr"/>
      <c r="M205" t="inlineStr">
        <is>
          <t>https://fixturedownload.com/download/nba-2024-UTC.csv</t>
        </is>
      </c>
    </row>
    <row r="206">
      <c r="A206" t="n">
        <v>205</v>
      </c>
      <c r="B206" t="n">
        <v>4</v>
      </c>
      <c r="C206" t="inlineStr">
        <is>
          <t>19/11/2024 00:30</t>
        </is>
      </c>
      <c r="D206" t="inlineStr">
        <is>
          <t>Kaseya Center</t>
        </is>
      </c>
      <c r="E206" t="inlineStr">
        <is>
          <t>Miami Heat</t>
        </is>
      </c>
      <c r="F206" t="inlineStr">
        <is>
          <t>Philadelphia 76ers</t>
        </is>
      </c>
      <c r="G206" t="n">
        <v>106</v>
      </c>
      <c r="H206" t="n">
        <v>89</v>
      </c>
      <c r="I206" t="inlineStr">
        <is>
          <t>Miami Heat</t>
        </is>
      </c>
      <c r="J206" t="inlineStr">
        <is>
          <t>Philadelphia 76ers</t>
        </is>
      </c>
      <c r="K206" t="inlineStr">
        <is>
          <t>Yes</t>
        </is>
      </c>
      <c r="L206" t="inlineStr"/>
      <c r="M206" t="inlineStr">
        <is>
          <t>https://fixturedownload.com/download/nba-2024-UTC.csv</t>
        </is>
      </c>
    </row>
    <row r="207">
      <c r="A207" t="n">
        <v>206</v>
      </c>
      <c r="B207" t="n">
        <v>4</v>
      </c>
      <c r="C207" t="inlineStr">
        <is>
          <t>19/11/2024 00:30</t>
        </is>
      </c>
      <c r="D207" t="inlineStr">
        <is>
          <t>Madison Square Garden</t>
        </is>
      </c>
      <c r="E207" t="inlineStr">
        <is>
          <t>New York Knicks</t>
        </is>
      </c>
      <c r="F207" t="inlineStr">
        <is>
          <t>Washington Wizards</t>
        </is>
      </c>
      <c r="G207" t="n">
        <v>134</v>
      </c>
      <c r="H207" t="n">
        <v>106</v>
      </c>
      <c r="I207" t="inlineStr">
        <is>
          <t>New York Knicks</t>
        </is>
      </c>
      <c r="J207" t="inlineStr">
        <is>
          <t>Washington Wizards</t>
        </is>
      </c>
      <c r="K207" t="inlineStr">
        <is>
          <t>Yes</t>
        </is>
      </c>
      <c r="L207" t="inlineStr"/>
      <c r="M207" t="inlineStr">
        <is>
          <t>https://fixturedownload.com/download/nba-2024-UTC.csv</t>
        </is>
      </c>
    </row>
    <row r="208">
      <c r="A208" t="n">
        <v>207</v>
      </c>
      <c r="B208" t="n">
        <v>4</v>
      </c>
      <c r="C208" t="inlineStr">
        <is>
          <t>19/11/2024 00:30</t>
        </is>
      </c>
      <c r="D208" t="inlineStr">
        <is>
          <t>Scotiabank Arena</t>
        </is>
      </c>
      <c r="E208" t="inlineStr">
        <is>
          <t>Toronto Raptors</t>
        </is>
      </c>
      <c r="F208" t="inlineStr">
        <is>
          <t>Indiana Pacers</t>
        </is>
      </c>
      <c r="G208" t="n">
        <v>130</v>
      </c>
      <c r="H208" t="n">
        <v>119</v>
      </c>
      <c r="I208" t="inlineStr">
        <is>
          <t>Toronto Raptors</t>
        </is>
      </c>
      <c r="J208" t="inlineStr">
        <is>
          <t>Indiana Pacers</t>
        </is>
      </c>
      <c r="K208" t="inlineStr">
        <is>
          <t>Yes</t>
        </is>
      </c>
      <c r="L208" t="inlineStr"/>
      <c r="M208" t="inlineStr">
        <is>
          <t>https://fixturedownload.com/download/nba-2024-UTC.csv</t>
        </is>
      </c>
    </row>
    <row r="209">
      <c r="A209" t="n">
        <v>208</v>
      </c>
      <c r="B209" t="n">
        <v>4</v>
      </c>
      <c r="C209" t="inlineStr">
        <is>
          <t>19/11/2024 01:00</t>
        </is>
      </c>
      <c r="D209" t="inlineStr">
        <is>
          <t>Fiserv Forum</t>
        </is>
      </c>
      <c r="E209" t="inlineStr">
        <is>
          <t>Milwaukee Bucks</t>
        </is>
      </c>
      <c r="F209" t="inlineStr">
        <is>
          <t>Houston Rockets</t>
        </is>
      </c>
      <c r="G209" t="n">
        <v>101</v>
      </c>
      <c r="H209" t="n">
        <v>100</v>
      </c>
      <c r="I209" t="inlineStr">
        <is>
          <t>Milwaukee Bucks</t>
        </is>
      </c>
      <c r="J209" t="inlineStr">
        <is>
          <t>Houston Rockets</t>
        </is>
      </c>
      <c r="K209" t="inlineStr">
        <is>
          <t>Yes</t>
        </is>
      </c>
      <c r="L209" t="inlineStr"/>
      <c r="M209" t="inlineStr">
        <is>
          <t>https://fixturedownload.com/download/nba-2024-UTC.csv</t>
        </is>
      </c>
    </row>
    <row r="210">
      <c r="A210" t="n">
        <v>209</v>
      </c>
      <c r="B210" t="n">
        <v>4</v>
      </c>
      <c r="C210" t="inlineStr">
        <is>
          <t>19/11/2024 02:00</t>
        </is>
      </c>
      <c r="D210" t="inlineStr">
        <is>
          <t>PHX Arena</t>
        </is>
      </c>
      <c r="E210" t="inlineStr">
        <is>
          <t>Phoenix Suns</t>
        </is>
      </c>
      <c r="F210" t="inlineStr">
        <is>
          <t>Orlando Magic</t>
        </is>
      </c>
      <c r="G210" t="n">
        <v>99</v>
      </c>
      <c r="H210" t="n">
        <v>109</v>
      </c>
      <c r="I210" t="inlineStr">
        <is>
          <t>Orlando Magic</t>
        </is>
      </c>
      <c r="J210" t="inlineStr">
        <is>
          <t>Phoenix Suns</t>
        </is>
      </c>
      <c r="K210" t="inlineStr">
        <is>
          <t>Yes</t>
        </is>
      </c>
      <c r="L210" t="inlineStr"/>
      <c r="M210" t="inlineStr">
        <is>
          <t>https://fixturedownload.com/download/nba-2024-UTC.csv</t>
        </is>
      </c>
    </row>
    <row r="211">
      <c r="A211" t="n">
        <v>210</v>
      </c>
      <c r="B211" t="n">
        <v>4</v>
      </c>
      <c r="C211" t="inlineStr">
        <is>
          <t>19/11/2024 03:00</t>
        </is>
      </c>
      <c r="D211" t="inlineStr">
        <is>
          <t>Golden 1 Center</t>
        </is>
      </c>
      <c r="E211" t="inlineStr">
        <is>
          <t>Sacramento Kings</t>
        </is>
      </c>
      <c r="F211" t="inlineStr">
        <is>
          <t>Atlanta Hawks</t>
        </is>
      </c>
      <c r="G211" t="n">
        <v>108</v>
      </c>
      <c r="H211" t="n">
        <v>109</v>
      </c>
      <c r="I211" t="inlineStr">
        <is>
          <t>Atlanta Hawks</t>
        </is>
      </c>
      <c r="J211" t="inlineStr">
        <is>
          <t>Sacramento Kings</t>
        </is>
      </c>
      <c r="K211" t="inlineStr">
        <is>
          <t>Yes</t>
        </is>
      </c>
      <c r="L211" t="inlineStr"/>
      <c r="M211" t="inlineStr">
        <is>
          <t>https://fixturedownload.com/download/nba-2024-UTC.csv</t>
        </is>
      </c>
    </row>
    <row r="212">
      <c r="A212" t="n">
        <v>211</v>
      </c>
      <c r="B212" t="n">
        <v>4</v>
      </c>
      <c r="C212" t="inlineStr">
        <is>
          <t>19/11/2024 03:30</t>
        </is>
      </c>
      <c r="D212" t="inlineStr">
        <is>
          <t>Intuit Dome</t>
        </is>
      </c>
      <c r="E212" t="inlineStr">
        <is>
          <t>LA Clippers</t>
        </is>
      </c>
      <c r="F212" t="inlineStr">
        <is>
          <t>Golden State Warriors</t>
        </is>
      </c>
      <c r="G212" t="n">
        <v>102</v>
      </c>
      <c r="H212" t="n">
        <v>99</v>
      </c>
      <c r="I212" t="inlineStr">
        <is>
          <t>LA Clippers</t>
        </is>
      </c>
      <c r="J212" t="inlineStr">
        <is>
          <t>Golden State Warriors</t>
        </is>
      </c>
      <c r="K212" t="inlineStr">
        <is>
          <t>Yes</t>
        </is>
      </c>
      <c r="L212" t="inlineStr"/>
      <c r="M212" t="inlineStr">
        <is>
          <t>https://fixturedownload.com/download/nba-2024-UTC.csv</t>
        </is>
      </c>
    </row>
    <row r="213">
      <c r="A213" t="n">
        <v>212</v>
      </c>
      <c r="B213" t="n">
        <v>4</v>
      </c>
      <c r="C213" t="inlineStr">
        <is>
          <t>20/11/2024 00:00</t>
        </is>
      </c>
      <c r="D213" t="inlineStr">
        <is>
          <t>TD Garden</t>
        </is>
      </c>
      <c r="E213" t="inlineStr">
        <is>
          <t>Boston Celtics</t>
        </is>
      </c>
      <c r="F213" t="inlineStr">
        <is>
          <t>Cleveland Cavaliers</t>
        </is>
      </c>
      <c r="G213" t="n">
        <v>120</v>
      </c>
      <c r="H213" t="n">
        <v>117</v>
      </c>
      <c r="I213" t="inlineStr">
        <is>
          <t>Boston Celtics</t>
        </is>
      </c>
      <c r="J213" t="inlineStr">
        <is>
          <t>Cleveland Cavaliers</t>
        </is>
      </c>
      <c r="K213" t="inlineStr">
        <is>
          <t>Yes</t>
        </is>
      </c>
      <c r="L213" t="inlineStr"/>
      <c r="M213" t="inlineStr">
        <is>
          <t>https://fixturedownload.com/download/nba-2024-UTC.csv</t>
        </is>
      </c>
    </row>
    <row r="214">
      <c r="A214" t="n">
        <v>213</v>
      </c>
      <c r="B214" t="n">
        <v>4</v>
      </c>
      <c r="C214" t="inlineStr">
        <is>
          <t>20/11/2024 00:30</t>
        </is>
      </c>
      <c r="D214" t="inlineStr">
        <is>
          <t>Barclays Center</t>
        </is>
      </c>
      <c r="E214" t="inlineStr">
        <is>
          <t>Brooklyn Nets</t>
        </is>
      </c>
      <c r="F214" t="inlineStr">
        <is>
          <t>Charlotte Hornets</t>
        </is>
      </c>
      <c r="G214" t="n">
        <v>116</v>
      </c>
      <c r="H214" t="n">
        <v>115</v>
      </c>
      <c r="I214" t="inlineStr">
        <is>
          <t>Brooklyn Nets</t>
        </is>
      </c>
      <c r="J214" t="inlineStr">
        <is>
          <t>Charlotte Hornets</t>
        </is>
      </c>
      <c r="K214" t="inlineStr">
        <is>
          <t>Yes</t>
        </is>
      </c>
      <c r="L214" t="inlineStr"/>
      <c r="M214" t="inlineStr">
        <is>
          <t>https://fixturedownload.com/download/nba-2024-UTC.csv</t>
        </is>
      </c>
    </row>
    <row r="215">
      <c r="A215" t="n">
        <v>214</v>
      </c>
      <c r="B215" t="n">
        <v>4</v>
      </c>
      <c r="C215" t="inlineStr">
        <is>
          <t>20/11/2024 01:00</t>
        </is>
      </c>
      <c r="D215" t="inlineStr">
        <is>
          <t>FedExForum</t>
        </is>
      </c>
      <c r="E215" t="inlineStr">
        <is>
          <t>Memphis Grizzlies</t>
        </is>
      </c>
      <c r="F215" t="inlineStr">
        <is>
          <t>Denver Nuggets</t>
        </is>
      </c>
      <c r="G215" t="n">
        <v>110</v>
      </c>
      <c r="H215" t="n">
        <v>122</v>
      </c>
      <c r="I215" t="inlineStr">
        <is>
          <t>Denver Nuggets</t>
        </is>
      </c>
      <c r="J215" t="inlineStr">
        <is>
          <t>Memphis Grizzlies</t>
        </is>
      </c>
      <c r="K215" t="inlineStr">
        <is>
          <t>Yes</t>
        </is>
      </c>
      <c r="L215" t="inlineStr"/>
      <c r="M215" t="inlineStr">
        <is>
          <t>https://fixturedownload.com/download/nba-2024-UTC.csv</t>
        </is>
      </c>
    </row>
    <row r="216">
      <c r="A216" t="n">
        <v>215</v>
      </c>
      <c r="B216" t="n">
        <v>4</v>
      </c>
      <c r="C216" t="inlineStr">
        <is>
          <t>20/11/2024 01:30</t>
        </is>
      </c>
      <c r="D216" t="inlineStr">
        <is>
          <t>American Airlines Center</t>
        </is>
      </c>
      <c r="E216" t="inlineStr">
        <is>
          <t>Dallas Mavericks</t>
        </is>
      </c>
      <c r="F216" t="inlineStr">
        <is>
          <t>New Orleans Pelicans</t>
        </is>
      </c>
      <c r="G216" t="n">
        <v>132</v>
      </c>
      <c r="H216" t="n">
        <v>91</v>
      </c>
      <c r="I216" t="inlineStr">
        <is>
          <t>Dallas Mavericks</t>
        </is>
      </c>
      <c r="J216" t="inlineStr">
        <is>
          <t>New Orleans Pelicans</t>
        </is>
      </c>
      <c r="K216" t="inlineStr">
        <is>
          <t>Yes</t>
        </is>
      </c>
      <c r="L216" t="inlineStr"/>
      <c r="M216" t="inlineStr">
        <is>
          <t>https://fixturedownload.com/download/nba-2024-UTC.csv</t>
        </is>
      </c>
    </row>
    <row r="217">
      <c r="A217" t="n">
        <v>216</v>
      </c>
      <c r="B217" t="n">
        <v>4</v>
      </c>
      <c r="C217" t="inlineStr">
        <is>
          <t>20/11/2024 02:30</t>
        </is>
      </c>
      <c r="D217" t="inlineStr">
        <is>
          <t>Frost Bank Center</t>
        </is>
      </c>
      <c r="E217" t="inlineStr">
        <is>
          <t>San Antonio Spurs</t>
        </is>
      </c>
      <c r="F217" t="inlineStr">
        <is>
          <t>Oklahoma City Thunder</t>
        </is>
      </c>
      <c r="G217" t="n">
        <v>110</v>
      </c>
      <c r="H217" t="n">
        <v>104</v>
      </c>
      <c r="I217" t="inlineStr">
        <is>
          <t>San Antonio Spurs</t>
        </is>
      </c>
      <c r="J217" t="inlineStr">
        <is>
          <t>Oklahoma City Thunder</t>
        </is>
      </c>
      <c r="K217" t="inlineStr">
        <is>
          <t>Yes</t>
        </is>
      </c>
      <c r="L217" t="inlineStr"/>
      <c r="M217" t="inlineStr">
        <is>
          <t>https://fixturedownload.com/download/nba-2024-UTC.csv</t>
        </is>
      </c>
    </row>
    <row r="218">
      <c r="A218" t="n">
        <v>217</v>
      </c>
      <c r="B218" t="n">
        <v>4</v>
      </c>
      <c r="C218" t="inlineStr">
        <is>
          <t>20/11/2024 03:30</t>
        </is>
      </c>
      <c r="D218" t="inlineStr">
        <is>
          <t>Crypto.com Arena</t>
        </is>
      </c>
      <c r="E218" t="inlineStr">
        <is>
          <t>Los Angeles Lakers</t>
        </is>
      </c>
      <c r="F218" t="inlineStr">
        <is>
          <t>Utah Jazz</t>
        </is>
      </c>
      <c r="G218" t="n">
        <v>124</v>
      </c>
      <c r="H218" t="n">
        <v>118</v>
      </c>
      <c r="I218" t="inlineStr">
        <is>
          <t>Los Angeles Lakers</t>
        </is>
      </c>
      <c r="J218" t="inlineStr">
        <is>
          <t>Utah Jazz</t>
        </is>
      </c>
      <c r="K218" t="inlineStr">
        <is>
          <t>Yes</t>
        </is>
      </c>
      <c r="L218" t="inlineStr"/>
      <c r="M218" t="inlineStr">
        <is>
          <t>https://fixturedownload.com/download/nba-2024-UTC.csv</t>
        </is>
      </c>
    </row>
    <row r="219">
      <c r="A219" t="n">
        <v>218</v>
      </c>
      <c r="B219" t="n">
        <v>5</v>
      </c>
      <c r="C219" t="inlineStr">
        <is>
          <t>21/11/2024 00:30</t>
        </is>
      </c>
      <c r="D219" t="inlineStr">
        <is>
          <t>Rocket Arena</t>
        </is>
      </c>
      <c r="E219" t="inlineStr">
        <is>
          <t>Cleveland Cavaliers</t>
        </is>
      </c>
      <c r="F219" t="inlineStr">
        <is>
          <t>New Orleans Pelicans</t>
        </is>
      </c>
      <c r="G219" t="n">
        <v>128</v>
      </c>
      <c r="H219" t="n">
        <v>100</v>
      </c>
      <c r="I219" t="inlineStr">
        <is>
          <t>Cleveland Cavaliers</t>
        </is>
      </c>
      <c r="J219" t="inlineStr">
        <is>
          <t>New Orleans Pelicans</t>
        </is>
      </c>
      <c r="K219" t="inlineStr">
        <is>
          <t>Yes</t>
        </is>
      </c>
      <c r="L219" t="inlineStr"/>
      <c r="M219" t="inlineStr">
        <is>
          <t>https://fixturedownload.com/download/nba-2024-UTC.csv</t>
        </is>
      </c>
    </row>
    <row r="220">
      <c r="A220" t="n">
        <v>219</v>
      </c>
      <c r="B220" t="n">
        <v>5</v>
      </c>
      <c r="C220" t="inlineStr">
        <is>
          <t>21/11/2024 00:30</t>
        </is>
      </c>
      <c r="D220" t="inlineStr">
        <is>
          <t>Fiserv Forum</t>
        </is>
      </c>
      <c r="E220" t="inlineStr">
        <is>
          <t>Milwaukee Bucks</t>
        </is>
      </c>
      <c r="F220" t="inlineStr">
        <is>
          <t>Chicago Bulls</t>
        </is>
      </c>
      <c r="G220" t="n">
        <v>122</v>
      </c>
      <c r="H220" t="n">
        <v>106</v>
      </c>
      <c r="I220" t="inlineStr">
        <is>
          <t>Milwaukee Bucks</t>
        </is>
      </c>
      <c r="J220" t="inlineStr">
        <is>
          <t>Chicago Bulls</t>
        </is>
      </c>
      <c r="K220" t="inlineStr">
        <is>
          <t>Yes</t>
        </is>
      </c>
      <c r="L220" t="inlineStr"/>
      <c r="M220" t="inlineStr">
        <is>
          <t>https://fixturedownload.com/download/nba-2024-UTC.csv</t>
        </is>
      </c>
    </row>
    <row r="221">
      <c r="A221" t="n">
        <v>220</v>
      </c>
      <c r="B221" t="n">
        <v>5</v>
      </c>
      <c r="C221" t="inlineStr">
        <is>
          <t>21/11/2024 01:00</t>
        </is>
      </c>
      <c r="D221" t="inlineStr">
        <is>
          <t>Toyota Center</t>
        </is>
      </c>
      <c r="E221" t="inlineStr">
        <is>
          <t>Houston Rockets</t>
        </is>
      </c>
      <c r="F221" t="inlineStr">
        <is>
          <t>Indiana Pacers</t>
        </is>
      </c>
      <c r="G221" t="n">
        <v>130</v>
      </c>
      <c r="H221" t="n">
        <v>113</v>
      </c>
      <c r="I221" t="inlineStr">
        <is>
          <t>Houston Rockets</t>
        </is>
      </c>
      <c r="J221" t="inlineStr">
        <is>
          <t>Indiana Pacers</t>
        </is>
      </c>
      <c r="K221" t="inlineStr">
        <is>
          <t>Yes</t>
        </is>
      </c>
      <c r="L221" t="inlineStr"/>
      <c r="M221" t="inlineStr">
        <is>
          <t>https://fixturedownload.com/download/nba-2024-UTC.csv</t>
        </is>
      </c>
    </row>
    <row r="222">
      <c r="A222" t="n">
        <v>221</v>
      </c>
      <c r="B222" t="n">
        <v>5</v>
      </c>
      <c r="C222" t="inlineStr">
        <is>
          <t>21/11/2024 01:00</t>
        </is>
      </c>
      <c r="D222" t="inlineStr">
        <is>
          <t>FedExForum</t>
        </is>
      </c>
      <c r="E222" t="inlineStr">
        <is>
          <t>Memphis Grizzlies</t>
        </is>
      </c>
      <c r="F222" t="inlineStr">
        <is>
          <t>Philadelphia 76ers</t>
        </is>
      </c>
      <c r="G222" t="n">
        <v>117</v>
      </c>
      <c r="H222" t="n">
        <v>111</v>
      </c>
      <c r="I222" t="inlineStr">
        <is>
          <t>Memphis Grizzlies</t>
        </is>
      </c>
      <c r="J222" t="inlineStr">
        <is>
          <t>Philadelphia 76ers</t>
        </is>
      </c>
      <c r="K222" t="inlineStr">
        <is>
          <t>Yes</t>
        </is>
      </c>
      <c r="L222" t="inlineStr"/>
      <c r="M222" t="inlineStr">
        <is>
          <t>https://fixturedownload.com/download/nba-2024-UTC.csv</t>
        </is>
      </c>
    </row>
    <row r="223">
      <c r="A223" t="n">
        <v>222</v>
      </c>
      <c r="B223" t="n">
        <v>5</v>
      </c>
      <c r="C223" t="inlineStr">
        <is>
          <t>21/11/2024 01:00</t>
        </is>
      </c>
      <c r="D223" t="inlineStr">
        <is>
          <t>Paycom Center</t>
        </is>
      </c>
      <c r="E223" t="inlineStr">
        <is>
          <t>Oklahoma City Thunder</t>
        </is>
      </c>
      <c r="F223" t="inlineStr">
        <is>
          <t>Portland Trail Blazers</t>
        </is>
      </c>
      <c r="G223" t="n">
        <v>109</v>
      </c>
      <c r="H223" t="n">
        <v>99</v>
      </c>
      <c r="I223" t="inlineStr">
        <is>
          <t>Oklahoma City Thunder</t>
        </is>
      </c>
      <c r="J223" t="inlineStr">
        <is>
          <t>Portland Trail Blazers</t>
        </is>
      </c>
      <c r="K223" t="inlineStr">
        <is>
          <t>Yes</t>
        </is>
      </c>
      <c r="L223" t="inlineStr"/>
      <c r="M223" t="inlineStr">
        <is>
          <t>https://fixturedownload.com/download/nba-2024-UTC.csv</t>
        </is>
      </c>
    </row>
    <row r="224">
      <c r="A224" t="n">
        <v>223</v>
      </c>
      <c r="B224" t="n">
        <v>5</v>
      </c>
      <c r="C224" t="inlineStr">
        <is>
          <t>21/11/2024 03:00</t>
        </is>
      </c>
      <c r="D224" t="inlineStr">
        <is>
          <t>PHX Arena</t>
        </is>
      </c>
      <c r="E224" t="inlineStr">
        <is>
          <t>Phoenix Suns</t>
        </is>
      </c>
      <c r="F224" t="inlineStr">
        <is>
          <t>New York Knicks</t>
        </is>
      </c>
      <c r="G224" t="n">
        <v>122</v>
      </c>
      <c r="H224" t="n">
        <v>138</v>
      </c>
      <c r="I224" t="inlineStr">
        <is>
          <t>New York Knicks</t>
        </is>
      </c>
      <c r="J224" t="inlineStr">
        <is>
          <t>Phoenix Suns</t>
        </is>
      </c>
      <c r="K224" t="inlineStr">
        <is>
          <t>Yes</t>
        </is>
      </c>
      <c r="L224" t="inlineStr"/>
      <c r="M224" t="inlineStr">
        <is>
          <t>https://fixturedownload.com/download/nba-2024-UTC.csv</t>
        </is>
      </c>
    </row>
    <row r="225">
      <c r="A225" t="n">
        <v>224</v>
      </c>
      <c r="B225" t="n">
        <v>5</v>
      </c>
      <c r="C225" t="inlineStr">
        <is>
          <t>21/11/2024 03:00</t>
        </is>
      </c>
      <c r="D225" t="inlineStr">
        <is>
          <t>Chase Center</t>
        </is>
      </c>
      <c r="E225" t="inlineStr">
        <is>
          <t>Golden State Warriors</t>
        </is>
      </c>
      <c r="F225" t="inlineStr">
        <is>
          <t>Atlanta Hawks</t>
        </is>
      </c>
      <c r="G225" t="n">
        <v>120</v>
      </c>
      <c r="H225" t="n">
        <v>97</v>
      </c>
      <c r="I225" t="inlineStr">
        <is>
          <t>Golden State Warriors</t>
        </is>
      </c>
      <c r="J225" t="inlineStr">
        <is>
          <t>Atlanta Hawks</t>
        </is>
      </c>
      <c r="K225" t="inlineStr">
        <is>
          <t>Yes</t>
        </is>
      </c>
      <c r="L225" t="inlineStr"/>
      <c r="M225" t="inlineStr">
        <is>
          <t>https://fixturedownload.com/download/nba-2024-UTC.csv</t>
        </is>
      </c>
    </row>
    <row r="226">
      <c r="A226" t="n">
        <v>225</v>
      </c>
      <c r="B226" t="n">
        <v>5</v>
      </c>
      <c r="C226" t="inlineStr">
        <is>
          <t>21/11/2024 03:30</t>
        </is>
      </c>
      <c r="D226" t="inlineStr">
        <is>
          <t>Intuit Dome</t>
        </is>
      </c>
      <c r="E226" t="inlineStr">
        <is>
          <t>LA Clippers</t>
        </is>
      </c>
      <c r="F226" t="inlineStr">
        <is>
          <t>Orlando Magic</t>
        </is>
      </c>
      <c r="G226" t="n">
        <v>104</v>
      </c>
      <c r="H226" t="n">
        <v>93</v>
      </c>
      <c r="I226" t="inlineStr">
        <is>
          <t>LA Clippers</t>
        </is>
      </c>
      <c r="J226" t="inlineStr">
        <is>
          <t>Orlando Magic</t>
        </is>
      </c>
      <c r="K226" t="inlineStr">
        <is>
          <t>Yes</t>
        </is>
      </c>
      <c r="L226" t="inlineStr"/>
      <c r="M226" t="inlineStr">
        <is>
          <t>https://fixturedownload.com/download/nba-2024-UTC.csv</t>
        </is>
      </c>
    </row>
    <row r="227">
      <c r="A227" t="n">
        <v>226</v>
      </c>
      <c r="B227" t="n">
        <v>5</v>
      </c>
      <c r="C227" t="inlineStr">
        <is>
          <t>22/11/2024 00:00</t>
        </is>
      </c>
      <c r="D227" t="inlineStr">
        <is>
          <t>Spectrum Center</t>
        </is>
      </c>
      <c r="E227" t="inlineStr">
        <is>
          <t>Charlotte Hornets</t>
        </is>
      </c>
      <c r="F227" t="inlineStr">
        <is>
          <t>Detroit Pistons</t>
        </is>
      </c>
      <c r="G227" t="n">
        <v>123</v>
      </c>
      <c r="H227" t="n">
        <v>121</v>
      </c>
      <c r="I227" t="inlineStr">
        <is>
          <t>Charlotte Hornets</t>
        </is>
      </c>
      <c r="J227" t="inlineStr">
        <is>
          <t>Detroit Pistons</t>
        </is>
      </c>
      <c r="K227" t="inlineStr">
        <is>
          <t>Yes</t>
        </is>
      </c>
      <c r="L227" t="inlineStr"/>
      <c r="M227" t="inlineStr">
        <is>
          <t>https://fixturedownload.com/download/nba-2024-UTC.csv</t>
        </is>
      </c>
    </row>
    <row r="228">
      <c r="A228" t="n">
        <v>227</v>
      </c>
      <c r="B228" t="n">
        <v>5</v>
      </c>
      <c r="C228" t="inlineStr">
        <is>
          <t>22/11/2024 00:30</t>
        </is>
      </c>
      <c r="D228" t="inlineStr">
        <is>
          <t>Scotiabank Arena</t>
        </is>
      </c>
      <c r="E228" t="inlineStr">
        <is>
          <t>Toronto Raptors</t>
        </is>
      </c>
      <c r="F228" t="inlineStr">
        <is>
          <t>Minnesota Timberwolves</t>
        </is>
      </c>
      <c r="G228" t="n">
        <v>110</v>
      </c>
      <c r="H228" t="n">
        <v>105</v>
      </c>
      <c r="I228" t="inlineStr">
        <is>
          <t>Toronto Raptors</t>
        </is>
      </c>
      <c r="J228" t="inlineStr">
        <is>
          <t>Minnesota Timberwolves</t>
        </is>
      </c>
      <c r="K228" t="inlineStr">
        <is>
          <t>Yes</t>
        </is>
      </c>
      <c r="L228" t="inlineStr"/>
      <c r="M228" t="inlineStr">
        <is>
          <t>https://fixturedownload.com/download/nba-2024-UTC.csv</t>
        </is>
      </c>
    </row>
    <row r="229">
      <c r="A229" t="n">
        <v>228</v>
      </c>
      <c r="B229" t="n">
        <v>5</v>
      </c>
      <c r="C229" t="inlineStr">
        <is>
          <t>22/11/2024 01:00</t>
        </is>
      </c>
      <c r="D229" t="inlineStr">
        <is>
          <t>Frost Bank Center</t>
        </is>
      </c>
      <c r="E229" t="inlineStr">
        <is>
          <t>San Antonio Spurs</t>
        </is>
      </c>
      <c r="F229" t="inlineStr">
        <is>
          <t>Utah Jazz</t>
        </is>
      </c>
      <c r="G229" t="n">
        <v>126</v>
      </c>
      <c r="H229" t="n">
        <v>118</v>
      </c>
      <c r="I229" t="inlineStr">
        <is>
          <t>San Antonio Spurs</t>
        </is>
      </c>
      <c r="J229" t="inlineStr">
        <is>
          <t>Utah Jazz</t>
        </is>
      </c>
      <c r="K229" t="inlineStr">
        <is>
          <t>Yes</t>
        </is>
      </c>
      <c r="L229" t="inlineStr"/>
      <c r="M229" t="inlineStr">
        <is>
          <t>https://fixturedownload.com/download/nba-2024-UTC.csv</t>
        </is>
      </c>
    </row>
    <row r="230">
      <c r="A230" t="n">
        <v>229</v>
      </c>
      <c r="B230" t="n">
        <v>5</v>
      </c>
      <c r="C230" t="inlineStr">
        <is>
          <t>22/11/2024 03:30</t>
        </is>
      </c>
      <c r="D230" t="inlineStr">
        <is>
          <t>Crypto.com Arena</t>
        </is>
      </c>
      <c r="E230" t="inlineStr">
        <is>
          <t>Los Angeles Lakers</t>
        </is>
      </c>
      <c r="F230" t="inlineStr">
        <is>
          <t>Orlando Magic</t>
        </is>
      </c>
      <c r="G230" t="n">
        <v>118</v>
      </c>
      <c r="H230" t="n">
        <v>119</v>
      </c>
      <c r="I230" t="inlineStr">
        <is>
          <t>Orlando Magic</t>
        </is>
      </c>
      <c r="J230" t="inlineStr">
        <is>
          <t>Los Angeles Lakers</t>
        </is>
      </c>
      <c r="K230" t="inlineStr">
        <is>
          <t>Yes</t>
        </is>
      </c>
      <c r="L230" t="inlineStr"/>
      <c r="M230" t="inlineStr">
        <is>
          <t>https://fixturedownload.com/download/nba-2024-UTC.csv</t>
        </is>
      </c>
    </row>
    <row r="231">
      <c r="A231" t="n">
        <v>230</v>
      </c>
      <c r="B231" t="n">
        <v>5</v>
      </c>
      <c r="C231" t="inlineStr">
        <is>
          <t>23/11/2024 00:00</t>
        </is>
      </c>
      <c r="D231" t="inlineStr">
        <is>
          <t>Wells Fargo Center</t>
        </is>
      </c>
      <c r="E231" t="inlineStr">
        <is>
          <t>Philadelphia 76ers</t>
        </is>
      </c>
      <c r="F231" t="inlineStr">
        <is>
          <t>Brooklyn Nets</t>
        </is>
      </c>
      <c r="G231" t="n">
        <v>113</v>
      </c>
      <c r="H231" t="n">
        <v>98</v>
      </c>
      <c r="I231" t="inlineStr">
        <is>
          <t>Philadelphia 76ers</t>
        </is>
      </c>
      <c r="J231" t="inlineStr">
        <is>
          <t>Brooklyn Nets</t>
        </is>
      </c>
      <c r="K231" t="inlineStr">
        <is>
          <t>Yes</t>
        </is>
      </c>
      <c r="L231" t="inlineStr"/>
      <c r="M231" t="inlineStr">
        <is>
          <t>https://fixturedownload.com/download/nba-2024-UTC.csv</t>
        </is>
      </c>
    </row>
    <row r="232">
      <c r="A232" t="n">
        <v>231</v>
      </c>
      <c r="B232" t="n">
        <v>5</v>
      </c>
      <c r="C232" t="inlineStr">
        <is>
          <t>23/11/2024 00:00</t>
        </is>
      </c>
      <c r="D232" t="inlineStr">
        <is>
          <t>Capital One Arena</t>
        </is>
      </c>
      <c r="E232" t="inlineStr">
        <is>
          <t>Washington Wizards</t>
        </is>
      </c>
      <c r="F232" t="inlineStr">
        <is>
          <t>Boston Celtics</t>
        </is>
      </c>
      <c r="G232" t="n">
        <v>96</v>
      </c>
      <c r="H232" t="n">
        <v>108</v>
      </c>
      <c r="I232" t="inlineStr">
        <is>
          <t>Boston Celtics</t>
        </is>
      </c>
      <c r="J232" t="inlineStr">
        <is>
          <t>Washington Wizards</t>
        </is>
      </c>
      <c r="K232" t="inlineStr">
        <is>
          <t>Yes</t>
        </is>
      </c>
      <c r="L232" t="inlineStr"/>
      <c r="M232" t="inlineStr">
        <is>
          <t>https://fixturedownload.com/download/nba-2024-UTC.csv</t>
        </is>
      </c>
    </row>
    <row r="233">
      <c r="A233" t="n">
        <v>235</v>
      </c>
      <c r="B233" t="n">
        <v>5</v>
      </c>
      <c r="C233" t="inlineStr">
        <is>
          <t>23/11/2024 00:30</t>
        </is>
      </c>
      <c r="D233" t="inlineStr">
        <is>
          <t>Smoothie King Center</t>
        </is>
      </c>
      <c r="E233" t="inlineStr">
        <is>
          <t>New Orleans Pelicans</t>
        </is>
      </c>
      <c r="F233" t="inlineStr">
        <is>
          <t>Golden State Warriors</t>
        </is>
      </c>
      <c r="G233" t="n">
        <v>108</v>
      </c>
      <c r="H233" t="n">
        <v>112</v>
      </c>
      <c r="I233" t="inlineStr">
        <is>
          <t>Golden State Warriors</t>
        </is>
      </c>
      <c r="J233" t="inlineStr">
        <is>
          <t>New Orleans Pelicans</t>
        </is>
      </c>
      <c r="K233" t="inlineStr">
        <is>
          <t>Yes</t>
        </is>
      </c>
      <c r="L233" t="inlineStr"/>
      <c r="M233" t="inlineStr">
        <is>
          <t>https://fixturedownload.com/download/nba-2024-UTC.csv</t>
        </is>
      </c>
    </row>
    <row r="234">
      <c r="A234" t="n">
        <v>232</v>
      </c>
      <c r="B234" t="n">
        <v>5</v>
      </c>
      <c r="C234" t="inlineStr">
        <is>
          <t>23/11/2024 01:00</t>
        </is>
      </c>
      <c r="D234" t="inlineStr">
        <is>
          <t>Fiserv Forum</t>
        </is>
      </c>
      <c r="E234" t="inlineStr">
        <is>
          <t>Milwaukee Bucks</t>
        </is>
      </c>
      <c r="F234" t="inlineStr">
        <is>
          <t>Indiana Pacers</t>
        </is>
      </c>
      <c r="G234" t="n">
        <v>129</v>
      </c>
      <c r="H234" t="n">
        <v>117</v>
      </c>
      <c r="I234" t="inlineStr">
        <is>
          <t>Milwaukee Bucks</t>
        </is>
      </c>
      <c r="J234" t="inlineStr">
        <is>
          <t>Indiana Pacers</t>
        </is>
      </c>
      <c r="K234" t="inlineStr">
        <is>
          <t>Yes</t>
        </is>
      </c>
      <c r="L234" t="inlineStr"/>
      <c r="M234" t="inlineStr">
        <is>
          <t>https://fixturedownload.com/download/nba-2024-UTC.csv</t>
        </is>
      </c>
    </row>
    <row r="235">
      <c r="A235" t="n">
        <v>233</v>
      </c>
      <c r="B235" t="n">
        <v>5</v>
      </c>
      <c r="C235" t="inlineStr">
        <is>
          <t>23/11/2024 01:00</t>
        </is>
      </c>
      <c r="D235" t="inlineStr">
        <is>
          <t>United Center</t>
        </is>
      </c>
      <c r="E235" t="inlineStr">
        <is>
          <t>Chicago Bulls</t>
        </is>
      </c>
      <c r="F235" t="inlineStr">
        <is>
          <t>Atlanta Hawks</t>
        </is>
      </c>
      <c r="G235" t="n">
        <v>136</v>
      </c>
      <c r="H235" t="n">
        <v>122</v>
      </c>
      <c r="I235" t="inlineStr">
        <is>
          <t>Chicago Bulls</t>
        </is>
      </c>
      <c r="J235" t="inlineStr">
        <is>
          <t>Atlanta Hawks</t>
        </is>
      </c>
      <c r="K235" t="inlineStr">
        <is>
          <t>Yes</t>
        </is>
      </c>
      <c r="L235" t="inlineStr"/>
      <c r="M235" t="inlineStr">
        <is>
          <t>https://fixturedownload.com/download/nba-2024-UTC.csv</t>
        </is>
      </c>
    </row>
    <row r="236">
      <c r="A236" t="n">
        <v>234</v>
      </c>
      <c r="B236" t="n">
        <v>5</v>
      </c>
      <c r="C236" t="inlineStr">
        <is>
          <t>23/11/2024 01:00</t>
        </is>
      </c>
      <c r="D236" t="inlineStr">
        <is>
          <t>Toyota Center</t>
        </is>
      </c>
      <c r="E236" t="inlineStr">
        <is>
          <t>Houston Rockets</t>
        </is>
      </c>
      <c r="F236" t="inlineStr">
        <is>
          <t>Portland Trail Blazers</t>
        </is>
      </c>
      <c r="G236" t="n">
        <v>116</v>
      </c>
      <c r="H236" t="n">
        <v>88</v>
      </c>
      <c r="I236" t="inlineStr">
        <is>
          <t>Houston Rockets</t>
        </is>
      </c>
      <c r="J236" t="inlineStr">
        <is>
          <t>Portland Trail Blazers</t>
        </is>
      </c>
      <c r="K236" t="inlineStr">
        <is>
          <t>Yes</t>
        </is>
      </c>
      <c r="L236" t="inlineStr"/>
      <c r="M236" t="inlineStr">
        <is>
          <t>https://fixturedownload.com/download/nba-2024-UTC.csv</t>
        </is>
      </c>
    </row>
    <row r="237">
      <c r="A237" t="n">
        <v>236</v>
      </c>
      <c r="B237" t="n">
        <v>5</v>
      </c>
      <c r="C237" t="inlineStr">
        <is>
          <t>23/11/2024 03:00</t>
        </is>
      </c>
      <c r="D237" t="inlineStr">
        <is>
          <t>Ball Arena</t>
        </is>
      </c>
      <c r="E237" t="inlineStr">
        <is>
          <t>Denver Nuggets</t>
        </is>
      </c>
      <c r="F237" t="inlineStr">
        <is>
          <t>Dallas Mavericks</t>
        </is>
      </c>
      <c r="G237" t="n">
        <v>120</v>
      </c>
      <c r="H237" t="n">
        <v>123</v>
      </c>
      <c r="I237" t="inlineStr">
        <is>
          <t>Dallas Mavericks</t>
        </is>
      </c>
      <c r="J237" t="inlineStr">
        <is>
          <t>Denver Nuggets</t>
        </is>
      </c>
      <c r="K237" t="inlineStr">
        <is>
          <t>Yes</t>
        </is>
      </c>
      <c r="L237" t="inlineStr"/>
      <c r="M237" t="inlineStr">
        <is>
          <t>https://fixturedownload.com/download/nba-2024-UTC.csv</t>
        </is>
      </c>
    </row>
    <row r="238">
      <c r="A238" t="n">
        <v>237</v>
      </c>
      <c r="B238" t="n">
        <v>5</v>
      </c>
      <c r="C238" t="inlineStr">
        <is>
          <t>23/11/2024 03:30</t>
        </is>
      </c>
      <c r="D238" t="inlineStr">
        <is>
          <t>Intuit Dome</t>
        </is>
      </c>
      <c r="E238" t="inlineStr">
        <is>
          <t>LA Clippers</t>
        </is>
      </c>
      <c r="F238" t="inlineStr">
        <is>
          <t>Sacramento Kings</t>
        </is>
      </c>
      <c r="G238" t="n">
        <v>104</v>
      </c>
      <c r="H238" t="n">
        <v>88</v>
      </c>
      <c r="I238" t="inlineStr">
        <is>
          <t>LA Clippers</t>
        </is>
      </c>
      <c r="J238" t="inlineStr">
        <is>
          <t>Sacramento Kings</t>
        </is>
      </c>
      <c r="K238" t="inlineStr">
        <is>
          <t>Yes</t>
        </is>
      </c>
      <c r="L238" t="inlineStr"/>
      <c r="M238" t="inlineStr">
        <is>
          <t>https://fixturedownload.com/download/nba-2024-UTC.csv</t>
        </is>
      </c>
    </row>
    <row r="239">
      <c r="A239" t="n">
        <v>238</v>
      </c>
      <c r="B239" t="n">
        <v>5</v>
      </c>
      <c r="C239" t="inlineStr">
        <is>
          <t>23/11/2024 22:00</t>
        </is>
      </c>
      <c r="D239" t="inlineStr">
        <is>
          <t>Delta Center</t>
        </is>
      </c>
      <c r="E239" t="inlineStr">
        <is>
          <t>Utah Jazz</t>
        </is>
      </c>
      <c r="F239" t="inlineStr">
        <is>
          <t>New York Knicks</t>
        </is>
      </c>
      <c r="G239" t="n">
        <v>121</v>
      </c>
      <c r="H239" t="n">
        <v>106</v>
      </c>
      <c r="I239" t="inlineStr">
        <is>
          <t>Utah Jazz</t>
        </is>
      </c>
      <c r="J239" t="inlineStr">
        <is>
          <t>New York Knicks</t>
        </is>
      </c>
      <c r="K239" t="inlineStr">
        <is>
          <t>Yes</t>
        </is>
      </c>
      <c r="L239" t="inlineStr"/>
      <c r="M239" t="inlineStr">
        <is>
          <t>https://fixturedownload.com/download/nba-2024-UTC.csv</t>
        </is>
      </c>
    </row>
    <row r="240">
      <c r="A240" t="n">
        <v>239</v>
      </c>
      <c r="B240" t="n">
        <v>5</v>
      </c>
      <c r="C240" t="inlineStr">
        <is>
          <t>24/11/2024 00:00</t>
        </is>
      </c>
      <c r="D240" t="inlineStr">
        <is>
          <t>Kia Center</t>
        </is>
      </c>
      <c r="E240" t="inlineStr">
        <is>
          <t>Orlando Magic</t>
        </is>
      </c>
      <c r="F240" t="inlineStr">
        <is>
          <t>Detroit Pistons</t>
        </is>
      </c>
      <c r="G240" t="n">
        <v>111</v>
      </c>
      <c r="H240" t="n">
        <v>100</v>
      </c>
      <c r="I240" t="inlineStr">
        <is>
          <t>Orlando Magic</t>
        </is>
      </c>
      <c r="J240" t="inlineStr">
        <is>
          <t>Detroit Pistons</t>
        </is>
      </c>
      <c r="K240" t="inlineStr">
        <is>
          <t>Yes</t>
        </is>
      </c>
      <c r="L240" t="inlineStr"/>
      <c r="M240" t="inlineStr">
        <is>
          <t>https://fixturedownload.com/download/nba-2024-UTC.csv</t>
        </is>
      </c>
    </row>
    <row r="241">
      <c r="A241" t="n">
        <v>240</v>
      </c>
      <c r="B241" t="n">
        <v>5</v>
      </c>
      <c r="C241" t="inlineStr">
        <is>
          <t>24/11/2024 01:00</t>
        </is>
      </c>
      <c r="D241" t="inlineStr">
        <is>
          <t>United Center</t>
        </is>
      </c>
      <c r="E241" t="inlineStr">
        <is>
          <t>Chicago Bulls</t>
        </is>
      </c>
      <c r="F241" t="inlineStr">
        <is>
          <t>Memphis Grizzlies</t>
        </is>
      </c>
      <c r="G241" t="n">
        <v>131</v>
      </c>
      <c r="H241" t="n">
        <v>142</v>
      </c>
      <c r="I241" t="inlineStr">
        <is>
          <t>Memphis Grizzlies</t>
        </is>
      </c>
      <c r="J241" t="inlineStr">
        <is>
          <t>Chicago Bulls</t>
        </is>
      </c>
      <c r="K241" t="inlineStr">
        <is>
          <t>Yes</t>
        </is>
      </c>
      <c r="L241" t="inlineStr"/>
      <c r="M241" t="inlineStr">
        <is>
          <t>https://fixturedownload.com/download/nba-2024-UTC.csv</t>
        </is>
      </c>
    </row>
    <row r="242">
      <c r="A242" t="n">
        <v>241</v>
      </c>
      <c r="B242" t="n">
        <v>5</v>
      </c>
      <c r="C242" t="inlineStr">
        <is>
          <t>24/11/2024 01:00</t>
        </is>
      </c>
      <c r="D242" t="inlineStr">
        <is>
          <t>Toyota Center</t>
        </is>
      </c>
      <c r="E242" t="inlineStr">
        <is>
          <t>Houston Rockets</t>
        </is>
      </c>
      <c r="F242" t="inlineStr">
        <is>
          <t>Portland Trail Blazers</t>
        </is>
      </c>
      <c r="G242" t="n">
        <v>98</v>
      </c>
      <c r="H242" t="n">
        <v>104</v>
      </c>
      <c r="I242" t="inlineStr">
        <is>
          <t>Portland Trail Blazers</t>
        </is>
      </c>
      <c r="J242" t="inlineStr">
        <is>
          <t>Houston Rockets</t>
        </is>
      </c>
      <c r="K242" t="inlineStr">
        <is>
          <t>Yes</t>
        </is>
      </c>
      <c r="L242" t="inlineStr"/>
      <c r="M242" t="inlineStr">
        <is>
          <t>https://fixturedownload.com/download/nba-2024-UTC.csv</t>
        </is>
      </c>
    </row>
    <row r="243">
      <c r="A243" t="n">
        <v>242</v>
      </c>
      <c r="B243" t="n">
        <v>5</v>
      </c>
      <c r="C243" t="inlineStr">
        <is>
          <t>24/11/2024 01:00</t>
        </is>
      </c>
      <c r="D243" t="inlineStr">
        <is>
          <t>Fiserv Forum</t>
        </is>
      </c>
      <c r="E243" t="inlineStr">
        <is>
          <t>Milwaukee Bucks</t>
        </is>
      </c>
      <c r="F243" t="inlineStr">
        <is>
          <t>Charlotte Hornets</t>
        </is>
      </c>
      <c r="G243" t="n">
        <v>125</v>
      </c>
      <c r="H243" t="n">
        <v>119</v>
      </c>
      <c r="I243" t="inlineStr">
        <is>
          <t>Milwaukee Bucks</t>
        </is>
      </c>
      <c r="J243" t="inlineStr">
        <is>
          <t>Charlotte Hornets</t>
        </is>
      </c>
      <c r="K243" t="inlineStr">
        <is>
          <t>Yes</t>
        </is>
      </c>
      <c r="L243" t="inlineStr"/>
      <c r="M243" t="inlineStr">
        <is>
          <t>https://fixturedownload.com/download/nba-2024-UTC.csv</t>
        </is>
      </c>
    </row>
    <row r="244">
      <c r="A244" t="n">
        <v>243</v>
      </c>
      <c r="B244" t="n">
        <v>5</v>
      </c>
      <c r="C244" t="inlineStr">
        <is>
          <t>24/11/2024 01:30</t>
        </is>
      </c>
      <c r="D244" t="inlineStr">
        <is>
          <t>Frost Bank Center</t>
        </is>
      </c>
      <c r="E244" t="inlineStr">
        <is>
          <t>San Antonio Spurs</t>
        </is>
      </c>
      <c r="F244" t="inlineStr">
        <is>
          <t>Golden State Warriors</t>
        </is>
      </c>
      <c r="G244" t="n">
        <v>104</v>
      </c>
      <c r="H244" t="n">
        <v>94</v>
      </c>
      <c r="I244" t="inlineStr">
        <is>
          <t>San Antonio Spurs</t>
        </is>
      </c>
      <c r="J244" t="inlineStr">
        <is>
          <t>Golden State Warriors</t>
        </is>
      </c>
      <c r="K244" t="inlineStr">
        <is>
          <t>Yes</t>
        </is>
      </c>
      <c r="L244" t="inlineStr"/>
      <c r="M244" t="inlineStr">
        <is>
          <t>https://fixturedownload.com/download/nba-2024-UTC.csv</t>
        </is>
      </c>
    </row>
    <row r="245">
      <c r="A245" t="n">
        <v>244</v>
      </c>
      <c r="B245" t="n">
        <v>5</v>
      </c>
      <c r="C245" t="inlineStr">
        <is>
          <t>24/11/2024 03:30</t>
        </is>
      </c>
      <c r="D245" t="inlineStr">
        <is>
          <t>Crypto.com Arena</t>
        </is>
      </c>
      <c r="E245" t="inlineStr">
        <is>
          <t>Los Angeles Lakers</t>
        </is>
      </c>
      <c r="F245" t="inlineStr">
        <is>
          <t>Denver Nuggets</t>
        </is>
      </c>
      <c r="G245" t="n">
        <v>102</v>
      </c>
      <c r="H245" t="n">
        <v>127</v>
      </c>
      <c r="I245" t="inlineStr">
        <is>
          <t>Denver Nuggets</t>
        </is>
      </c>
      <c r="J245" t="inlineStr">
        <is>
          <t>Los Angeles Lakers</t>
        </is>
      </c>
      <c r="K245" t="inlineStr">
        <is>
          <t>Yes</t>
        </is>
      </c>
      <c r="L245" t="inlineStr"/>
      <c r="M245" t="inlineStr">
        <is>
          <t>https://fixturedownload.com/download/nba-2024-UTC.csv</t>
        </is>
      </c>
    </row>
    <row r="246">
      <c r="A246" t="n">
        <v>245</v>
      </c>
      <c r="B246" t="n">
        <v>5</v>
      </c>
      <c r="C246" t="inlineStr">
        <is>
          <t>24/11/2024 20:30</t>
        </is>
      </c>
      <c r="D246" t="inlineStr">
        <is>
          <t>TD Garden</t>
        </is>
      </c>
      <c r="E246" t="inlineStr">
        <is>
          <t>Boston Celtics</t>
        </is>
      </c>
      <c r="F246" t="inlineStr">
        <is>
          <t>Minnesota Timberwolves</t>
        </is>
      </c>
      <c r="G246" t="n">
        <v>107</v>
      </c>
      <c r="H246" t="n">
        <v>105</v>
      </c>
      <c r="I246" t="inlineStr">
        <is>
          <t>Boston Celtics</t>
        </is>
      </c>
      <c r="J246" t="inlineStr">
        <is>
          <t>Minnesota Timberwolves</t>
        </is>
      </c>
      <c r="K246" t="inlineStr">
        <is>
          <t>Yes</t>
        </is>
      </c>
      <c r="L246" t="inlineStr"/>
      <c r="M246" t="inlineStr">
        <is>
          <t>https://fixturedownload.com/download/nba-2024-UTC.csv</t>
        </is>
      </c>
    </row>
    <row r="247">
      <c r="A247" t="n">
        <v>246</v>
      </c>
      <c r="B247" t="n">
        <v>5</v>
      </c>
      <c r="C247" t="inlineStr">
        <is>
          <t>24/11/2024 22:00</t>
        </is>
      </c>
      <c r="D247" t="inlineStr">
        <is>
          <t>Gainbridge Fieldhouse</t>
        </is>
      </c>
      <c r="E247" t="inlineStr">
        <is>
          <t>Indiana Pacers</t>
        </is>
      </c>
      <c r="F247" t="inlineStr">
        <is>
          <t>Washington Wizards</t>
        </is>
      </c>
      <c r="G247" t="n">
        <v>115</v>
      </c>
      <c r="H247" t="n">
        <v>103</v>
      </c>
      <c r="I247" t="inlineStr">
        <is>
          <t>Indiana Pacers</t>
        </is>
      </c>
      <c r="J247" t="inlineStr">
        <is>
          <t>Washington Wizards</t>
        </is>
      </c>
      <c r="K247" t="inlineStr">
        <is>
          <t>Yes</t>
        </is>
      </c>
      <c r="L247" t="inlineStr"/>
      <c r="M247" t="inlineStr">
        <is>
          <t>https://fixturedownload.com/download/nba-2024-UTC.csv</t>
        </is>
      </c>
    </row>
    <row r="248">
      <c r="A248" t="n">
        <v>247</v>
      </c>
      <c r="B248" t="n">
        <v>5</v>
      </c>
      <c r="C248" t="inlineStr">
        <is>
          <t>24/11/2024 23:00</t>
        </is>
      </c>
      <c r="D248" t="inlineStr">
        <is>
          <t>Kaseya Center</t>
        </is>
      </c>
      <c r="E248" t="inlineStr">
        <is>
          <t>Miami Heat</t>
        </is>
      </c>
      <c r="F248" t="inlineStr">
        <is>
          <t>Dallas Mavericks</t>
        </is>
      </c>
      <c r="G248" t="n">
        <v>123</v>
      </c>
      <c r="H248" t="n">
        <v>118</v>
      </c>
      <c r="I248" t="inlineStr">
        <is>
          <t>Miami Heat</t>
        </is>
      </c>
      <c r="J248" t="inlineStr">
        <is>
          <t>Dallas Mavericks</t>
        </is>
      </c>
      <c r="K248" t="inlineStr">
        <is>
          <t>Yes</t>
        </is>
      </c>
      <c r="L248" t="inlineStr"/>
      <c r="M248" t="inlineStr">
        <is>
          <t>https://fixturedownload.com/download/nba-2024-UTC.csv</t>
        </is>
      </c>
    </row>
    <row r="249">
      <c r="A249" t="n">
        <v>248</v>
      </c>
      <c r="B249" t="n">
        <v>5</v>
      </c>
      <c r="C249" t="inlineStr">
        <is>
          <t>24/11/2024 23:00</t>
        </is>
      </c>
      <c r="D249" t="inlineStr">
        <is>
          <t>Wells Fargo Center</t>
        </is>
      </c>
      <c r="E249" t="inlineStr">
        <is>
          <t>Philadelphia 76ers</t>
        </is>
      </c>
      <c r="F249" t="inlineStr">
        <is>
          <t>LA Clippers</t>
        </is>
      </c>
      <c r="G249" t="n">
        <v>99</v>
      </c>
      <c r="H249" t="n">
        <v>125</v>
      </c>
      <c r="I249" t="inlineStr">
        <is>
          <t>LA Clippers</t>
        </is>
      </c>
      <c r="J249" t="inlineStr">
        <is>
          <t>Philadelphia 76ers</t>
        </is>
      </c>
      <c r="K249" t="inlineStr">
        <is>
          <t>Yes</t>
        </is>
      </c>
      <c r="L249" t="inlineStr"/>
      <c r="M249" t="inlineStr">
        <is>
          <t>https://fixturedownload.com/download/nba-2024-UTC.csv</t>
        </is>
      </c>
    </row>
    <row r="250">
      <c r="A250" t="n">
        <v>249</v>
      </c>
      <c r="B250" t="n">
        <v>5</v>
      </c>
      <c r="C250" t="inlineStr">
        <is>
          <t>25/11/2024 00:30</t>
        </is>
      </c>
      <c r="D250" t="inlineStr">
        <is>
          <t>Rocket Arena</t>
        </is>
      </c>
      <c r="E250" t="inlineStr">
        <is>
          <t>Cleveland Cavaliers</t>
        </is>
      </c>
      <c r="F250" t="inlineStr">
        <is>
          <t>Toronto Raptors</t>
        </is>
      </c>
      <c r="G250" t="n">
        <v>122</v>
      </c>
      <c r="H250" t="n">
        <v>108</v>
      </c>
      <c r="I250" t="inlineStr">
        <is>
          <t>Cleveland Cavaliers</t>
        </is>
      </c>
      <c r="J250" t="inlineStr">
        <is>
          <t>Toronto Raptors</t>
        </is>
      </c>
      <c r="K250" t="inlineStr">
        <is>
          <t>Yes</t>
        </is>
      </c>
      <c r="L250" t="inlineStr"/>
      <c r="M250" t="inlineStr">
        <is>
          <t>https://fixturedownload.com/download/nba-2024-UTC.csv</t>
        </is>
      </c>
    </row>
    <row r="251">
      <c r="A251" t="n">
        <v>250</v>
      </c>
      <c r="B251" t="n">
        <v>5</v>
      </c>
      <c r="C251" t="inlineStr">
        <is>
          <t>25/11/2024 02:00</t>
        </is>
      </c>
      <c r="D251" t="inlineStr">
        <is>
          <t>Golden 1 Center</t>
        </is>
      </c>
      <c r="E251" t="inlineStr">
        <is>
          <t>Sacramento Kings</t>
        </is>
      </c>
      <c r="F251" t="inlineStr">
        <is>
          <t>Brooklyn Nets</t>
        </is>
      </c>
      <c r="G251" t="n">
        <v>103</v>
      </c>
      <c r="H251" t="n">
        <v>108</v>
      </c>
      <c r="I251" t="inlineStr">
        <is>
          <t>Brooklyn Nets</t>
        </is>
      </c>
      <c r="J251" t="inlineStr">
        <is>
          <t>Sacramento Kings</t>
        </is>
      </c>
      <c r="K251" t="inlineStr">
        <is>
          <t>Yes</t>
        </is>
      </c>
      <c r="L251" t="inlineStr"/>
      <c r="M251" t="inlineStr">
        <is>
          <t>https://fixturedownload.com/download/nba-2024-UTC.csv</t>
        </is>
      </c>
    </row>
    <row r="252">
      <c r="A252" t="n">
        <v>251</v>
      </c>
      <c r="B252" t="n">
        <v>5</v>
      </c>
      <c r="C252" t="inlineStr">
        <is>
          <t>26/11/2024 00:00</t>
        </is>
      </c>
      <c r="D252" t="inlineStr">
        <is>
          <t>Spectrum Center</t>
        </is>
      </c>
      <c r="E252" t="inlineStr">
        <is>
          <t>Charlotte Hornets</t>
        </is>
      </c>
      <c r="F252" t="inlineStr">
        <is>
          <t>Orlando Magic</t>
        </is>
      </c>
      <c r="G252" t="n">
        <v>84</v>
      </c>
      <c r="H252" t="n">
        <v>95</v>
      </c>
      <c r="I252" t="inlineStr">
        <is>
          <t>Orlando Magic</t>
        </is>
      </c>
      <c r="J252" t="inlineStr">
        <is>
          <t>Charlotte Hornets</t>
        </is>
      </c>
      <c r="K252" t="inlineStr">
        <is>
          <t>Yes</t>
        </is>
      </c>
      <c r="L252" t="inlineStr"/>
      <c r="M252" t="inlineStr">
        <is>
          <t>https://fixturedownload.com/download/nba-2024-UTC.csv</t>
        </is>
      </c>
    </row>
    <row r="253">
      <c r="A253" t="n">
        <v>252</v>
      </c>
      <c r="B253" t="n">
        <v>5</v>
      </c>
      <c r="C253" t="inlineStr">
        <is>
          <t>26/11/2024 00:00</t>
        </is>
      </c>
      <c r="D253" t="inlineStr">
        <is>
          <t>Little Caesars Arena</t>
        </is>
      </c>
      <c r="E253" t="inlineStr">
        <is>
          <t>Detroit Pistons</t>
        </is>
      </c>
      <c r="F253" t="inlineStr">
        <is>
          <t>Toronto Raptors</t>
        </is>
      </c>
      <c r="G253" t="n">
        <v>102</v>
      </c>
      <c r="H253" t="n">
        <v>100</v>
      </c>
      <c r="I253" t="inlineStr">
        <is>
          <t>Detroit Pistons</t>
        </is>
      </c>
      <c r="J253" t="inlineStr">
        <is>
          <t>Toronto Raptors</t>
        </is>
      </c>
      <c r="K253" t="inlineStr">
        <is>
          <t>Yes</t>
        </is>
      </c>
      <c r="L253" t="inlineStr"/>
      <c r="M253" t="inlineStr">
        <is>
          <t>https://fixturedownload.com/download/nba-2024-UTC.csv</t>
        </is>
      </c>
    </row>
    <row r="254">
      <c r="A254" t="n">
        <v>253</v>
      </c>
      <c r="B254" t="n">
        <v>5</v>
      </c>
      <c r="C254" t="inlineStr">
        <is>
          <t>26/11/2024 00:00</t>
        </is>
      </c>
      <c r="D254" t="inlineStr">
        <is>
          <t>Gainbridge Fieldhouse</t>
        </is>
      </c>
      <c r="E254" t="inlineStr">
        <is>
          <t>Indiana Pacers</t>
        </is>
      </c>
      <c r="F254" t="inlineStr">
        <is>
          <t>New Orleans Pelicans</t>
        </is>
      </c>
      <c r="G254" t="n">
        <v>114</v>
      </c>
      <c r="H254" t="n">
        <v>110</v>
      </c>
      <c r="I254" t="inlineStr">
        <is>
          <t>Indiana Pacers</t>
        </is>
      </c>
      <c r="J254" t="inlineStr">
        <is>
          <t>New Orleans Pelicans</t>
        </is>
      </c>
      <c r="K254" t="inlineStr">
        <is>
          <t>Yes</t>
        </is>
      </c>
      <c r="L254" t="inlineStr"/>
      <c r="M254" t="inlineStr">
        <is>
          <t>https://fixturedownload.com/download/nba-2024-UTC.csv</t>
        </is>
      </c>
    </row>
    <row r="255">
      <c r="A255" t="n">
        <v>254</v>
      </c>
      <c r="B255" t="n">
        <v>5</v>
      </c>
      <c r="C255" t="inlineStr">
        <is>
          <t>26/11/2024 00:30</t>
        </is>
      </c>
      <c r="D255" t="inlineStr">
        <is>
          <t>State Farm Arena</t>
        </is>
      </c>
      <c r="E255" t="inlineStr">
        <is>
          <t>Atlanta Hawks</t>
        </is>
      </c>
      <c r="F255" t="inlineStr">
        <is>
          <t>Dallas Mavericks</t>
        </is>
      </c>
      <c r="G255" t="n">
        <v>119</v>
      </c>
      <c r="H255" t="n">
        <v>129</v>
      </c>
      <c r="I255" t="inlineStr">
        <is>
          <t>Dallas Mavericks</t>
        </is>
      </c>
      <c r="J255" t="inlineStr">
        <is>
          <t>Atlanta Hawks</t>
        </is>
      </c>
      <c r="K255" t="inlineStr">
        <is>
          <t>Yes</t>
        </is>
      </c>
      <c r="L255" t="inlineStr"/>
      <c r="M255" t="inlineStr">
        <is>
          <t>https://fixturedownload.com/download/nba-2024-UTC.csv</t>
        </is>
      </c>
    </row>
    <row r="256">
      <c r="A256" t="n">
        <v>255</v>
      </c>
      <c r="B256" t="n">
        <v>5</v>
      </c>
      <c r="C256" t="inlineStr">
        <is>
          <t>26/11/2024 00:30</t>
        </is>
      </c>
      <c r="D256" t="inlineStr">
        <is>
          <t>TD Garden</t>
        </is>
      </c>
      <c r="E256" t="inlineStr">
        <is>
          <t>Boston Celtics</t>
        </is>
      </c>
      <c r="F256" t="inlineStr">
        <is>
          <t>LA Clippers</t>
        </is>
      </c>
      <c r="G256" t="n">
        <v>126</v>
      </c>
      <c r="H256" t="n">
        <v>94</v>
      </c>
      <c r="I256" t="inlineStr">
        <is>
          <t>Boston Celtics</t>
        </is>
      </c>
      <c r="J256" t="inlineStr">
        <is>
          <t>LA Clippers</t>
        </is>
      </c>
      <c r="K256" t="inlineStr">
        <is>
          <t>Yes</t>
        </is>
      </c>
      <c r="L256" t="inlineStr"/>
      <c r="M256" t="inlineStr">
        <is>
          <t>https://fixturedownload.com/download/nba-2024-UTC.csv</t>
        </is>
      </c>
    </row>
    <row r="257">
      <c r="A257" t="n">
        <v>256</v>
      </c>
      <c r="B257" t="n">
        <v>5</v>
      </c>
      <c r="C257" t="inlineStr">
        <is>
          <t>26/11/2024 01:00</t>
        </is>
      </c>
      <c r="D257" t="inlineStr">
        <is>
          <t>FedExForum</t>
        </is>
      </c>
      <c r="E257" t="inlineStr">
        <is>
          <t>Memphis Grizzlies</t>
        </is>
      </c>
      <c r="F257" t="inlineStr">
        <is>
          <t>Portland Trail Blazers</t>
        </is>
      </c>
      <c r="G257" t="n">
        <v>123</v>
      </c>
      <c r="H257" t="n">
        <v>98</v>
      </c>
      <c r="I257" t="inlineStr">
        <is>
          <t>Memphis Grizzlies</t>
        </is>
      </c>
      <c r="J257" t="inlineStr">
        <is>
          <t>Portland Trail Blazers</t>
        </is>
      </c>
      <c r="K257" t="inlineStr">
        <is>
          <t>Yes</t>
        </is>
      </c>
      <c r="L257" t="inlineStr"/>
      <c r="M257" t="inlineStr">
        <is>
          <t>https://fixturedownload.com/download/nba-2024-UTC.csv</t>
        </is>
      </c>
    </row>
    <row r="258">
      <c r="A258" t="n">
        <v>257</v>
      </c>
      <c r="B258" t="n">
        <v>5</v>
      </c>
      <c r="C258" t="inlineStr">
        <is>
          <t>26/11/2024 02:00</t>
        </is>
      </c>
      <c r="D258" t="inlineStr">
        <is>
          <t>Ball Arena</t>
        </is>
      </c>
      <c r="E258" t="inlineStr">
        <is>
          <t>Denver Nuggets</t>
        </is>
      </c>
      <c r="F258" t="inlineStr">
        <is>
          <t>New York Knicks</t>
        </is>
      </c>
      <c r="G258" t="n">
        <v>118</v>
      </c>
      <c r="H258" t="n">
        <v>145</v>
      </c>
      <c r="I258" t="inlineStr">
        <is>
          <t>New York Knicks</t>
        </is>
      </c>
      <c r="J258" t="inlineStr">
        <is>
          <t>Denver Nuggets</t>
        </is>
      </c>
      <c r="K258" t="inlineStr">
        <is>
          <t>Yes</t>
        </is>
      </c>
      <c r="L258" t="inlineStr"/>
      <c r="M258" t="inlineStr">
        <is>
          <t>https://fixturedownload.com/download/nba-2024-UTC.csv</t>
        </is>
      </c>
    </row>
    <row r="259">
      <c r="A259" t="n">
        <v>258</v>
      </c>
      <c r="B259" t="n">
        <v>5</v>
      </c>
      <c r="C259" t="inlineStr">
        <is>
          <t>26/11/2024 03:00</t>
        </is>
      </c>
      <c r="D259" t="inlineStr">
        <is>
          <t>Chase Center</t>
        </is>
      </c>
      <c r="E259" t="inlineStr">
        <is>
          <t>Golden State Warriors</t>
        </is>
      </c>
      <c r="F259" t="inlineStr">
        <is>
          <t>Brooklyn Nets</t>
        </is>
      </c>
      <c r="G259" t="n">
        <v>120</v>
      </c>
      <c r="H259" t="n">
        <v>128</v>
      </c>
      <c r="I259" t="inlineStr">
        <is>
          <t>Brooklyn Nets</t>
        </is>
      </c>
      <c r="J259" t="inlineStr">
        <is>
          <t>Golden State Warriors</t>
        </is>
      </c>
      <c r="K259" t="inlineStr">
        <is>
          <t>Yes</t>
        </is>
      </c>
      <c r="L259" t="inlineStr"/>
      <c r="M259" t="inlineStr">
        <is>
          <t>https://fixturedownload.com/download/nba-2024-UTC.csv</t>
        </is>
      </c>
    </row>
    <row r="260">
      <c r="A260" t="n">
        <v>259</v>
      </c>
      <c r="B260" t="n">
        <v>5</v>
      </c>
      <c r="C260" t="inlineStr">
        <is>
          <t>26/11/2024 03:00</t>
        </is>
      </c>
      <c r="D260" t="inlineStr">
        <is>
          <t>Golden 1 Center</t>
        </is>
      </c>
      <c r="E260" t="inlineStr">
        <is>
          <t>Sacramento Kings</t>
        </is>
      </c>
      <c r="F260" t="inlineStr">
        <is>
          <t>Oklahoma City Thunder</t>
        </is>
      </c>
      <c r="G260" t="n">
        <v>109</v>
      </c>
      <c r="H260" t="n">
        <v>130</v>
      </c>
      <c r="I260" t="inlineStr">
        <is>
          <t>Oklahoma City Thunder</t>
        </is>
      </c>
      <c r="J260" t="inlineStr">
        <is>
          <t>Sacramento Kings</t>
        </is>
      </c>
      <c r="K260" t="inlineStr">
        <is>
          <t>Yes</t>
        </is>
      </c>
      <c r="L260" t="inlineStr"/>
      <c r="M260" t="inlineStr">
        <is>
          <t>https://fixturedownload.com/download/nba-2024-UTC.csv</t>
        </is>
      </c>
    </row>
    <row r="261">
      <c r="A261" t="n">
        <v>260</v>
      </c>
      <c r="B261" t="n">
        <v>5</v>
      </c>
      <c r="C261" t="inlineStr">
        <is>
          <t>27/11/2024 00:00</t>
        </is>
      </c>
      <c r="D261" t="inlineStr">
        <is>
          <t>Capital One Arena</t>
        </is>
      </c>
      <c r="E261" t="inlineStr">
        <is>
          <t>Washington Wizards</t>
        </is>
      </c>
      <c r="F261" t="inlineStr">
        <is>
          <t>Chicago Bulls</t>
        </is>
      </c>
      <c r="G261" t="n">
        <v>108</v>
      </c>
      <c r="H261" t="n">
        <v>127</v>
      </c>
      <c r="I261" t="inlineStr">
        <is>
          <t>Chicago Bulls</t>
        </is>
      </c>
      <c r="J261" t="inlineStr">
        <is>
          <t>Washington Wizards</t>
        </is>
      </c>
      <c r="K261" t="inlineStr">
        <is>
          <t>Yes</t>
        </is>
      </c>
      <c r="L261" t="inlineStr"/>
      <c r="M261" t="inlineStr">
        <is>
          <t>https://fixturedownload.com/download/nba-2024-UTC.csv</t>
        </is>
      </c>
    </row>
    <row r="262">
      <c r="A262" t="n">
        <v>261</v>
      </c>
      <c r="B262" t="n">
        <v>5</v>
      </c>
      <c r="C262" t="inlineStr">
        <is>
          <t>27/11/2024 00:30</t>
        </is>
      </c>
      <c r="D262" t="inlineStr">
        <is>
          <t>Kaseya Center</t>
        </is>
      </c>
      <c r="E262" t="inlineStr">
        <is>
          <t>Miami Heat</t>
        </is>
      </c>
      <c r="F262" t="inlineStr">
        <is>
          <t>Milwaukee Bucks</t>
        </is>
      </c>
      <c r="G262" t="n">
        <v>103</v>
      </c>
      <c r="H262" t="n">
        <v>106</v>
      </c>
      <c r="I262" t="inlineStr">
        <is>
          <t>Milwaukee Bucks</t>
        </is>
      </c>
      <c r="J262" t="inlineStr">
        <is>
          <t>Miami Heat</t>
        </is>
      </c>
      <c r="K262" t="inlineStr">
        <is>
          <t>Yes</t>
        </is>
      </c>
      <c r="L262" t="inlineStr"/>
      <c r="M262" t="inlineStr">
        <is>
          <t>https://fixturedownload.com/download/nba-2024-UTC.csv</t>
        </is>
      </c>
    </row>
    <row r="263">
      <c r="A263" t="n">
        <v>262</v>
      </c>
      <c r="B263" t="n">
        <v>5</v>
      </c>
      <c r="C263" t="inlineStr">
        <is>
          <t>27/11/2024 01:00</t>
        </is>
      </c>
      <c r="D263" t="inlineStr">
        <is>
          <t>Target Center</t>
        </is>
      </c>
      <c r="E263" t="inlineStr">
        <is>
          <t>Minnesota Timberwolves</t>
        </is>
      </c>
      <c r="F263" t="inlineStr">
        <is>
          <t>Houston Rockets</t>
        </is>
      </c>
      <c r="G263" t="n">
        <v>111</v>
      </c>
      <c r="H263" t="n">
        <v>117</v>
      </c>
      <c r="I263" t="inlineStr">
        <is>
          <t>Houston Rockets</t>
        </is>
      </c>
      <c r="J263" t="inlineStr">
        <is>
          <t>Minnesota Timberwolves</t>
        </is>
      </c>
      <c r="K263" t="inlineStr">
        <is>
          <t>Yes</t>
        </is>
      </c>
      <c r="L263" t="inlineStr"/>
      <c r="M263" t="inlineStr">
        <is>
          <t>https://fixturedownload.com/download/nba-2024-UTC.csv</t>
        </is>
      </c>
    </row>
    <row r="264">
      <c r="A264" t="n">
        <v>263</v>
      </c>
      <c r="B264" t="n">
        <v>5</v>
      </c>
      <c r="C264" t="inlineStr">
        <is>
          <t>27/11/2024 02:00</t>
        </is>
      </c>
      <c r="D264" t="inlineStr">
        <is>
          <t>Delta Center</t>
        </is>
      </c>
      <c r="E264" t="inlineStr">
        <is>
          <t>Utah Jazz</t>
        </is>
      </c>
      <c r="F264" t="inlineStr">
        <is>
          <t>San Antonio Spurs</t>
        </is>
      </c>
      <c r="G264" t="n">
        <v>115</v>
      </c>
      <c r="H264" t="n">
        <v>128</v>
      </c>
      <c r="I264" t="inlineStr">
        <is>
          <t>San Antonio Spurs</t>
        </is>
      </c>
      <c r="J264" t="inlineStr">
        <is>
          <t>Utah Jazz</t>
        </is>
      </c>
      <c r="K264" t="inlineStr">
        <is>
          <t>Yes</t>
        </is>
      </c>
      <c r="L264" t="inlineStr"/>
      <c r="M264" t="inlineStr">
        <is>
          <t>https://fixturedownload.com/download/nba-2024-UTC.csv</t>
        </is>
      </c>
    </row>
    <row r="265">
      <c r="A265" t="n">
        <v>264</v>
      </c>
      <c r="B265" t="n">
        <v>5</v>
      </c>
      <c r="C265" t="inlineStr">
        <is>
          <t>27/11/2024 03:00</t>
        </is>
      </c>
      <c r="D265" t="inlineStr">
        <is>
          <t>PHX Arena</t>
        </is>
      </c>
      <c r="E265" t="inlineStr">
        <is>
          <t>Phoenix Suns</t>
        </is>
      </c>
      <c r="F265" t="inlineStr">
        <is>
          <t>Los Angeles Lakers</t>
        </is>
      </c>
      <c r="G265" t="n">
        <v>127</v>
      </c>
      <c r="H265" t="n">
        <v>100</v>
      </c>
      <c r="I265" t="inlineStr">
        <is>
          <t>Phoenix Suns</t>
        </is>
      </c>
      <c r="J265" t="inlineStr">
        <is>
          <t>Los Angeles Lakers</t>
        </is>
      </c>
      <c r="K265" t="inlineStr">
        <is>
          <t>Yes</t>
        </is>
      </c>
      <c r="L265" t="inlineStr"/>
      <c r="M265" t="inlineStr">
        <is>
          <t>https://fixturedownload.com/download/nba-2024-UTC.csv</t>
        </is>
      </c>
    </row>
    <row r="266">
      <c r="A266" t="n">
        <v>265</v>
      </c>
      <c r="B266" t="n">
        <v>6</v>
      </c>
      <c r="C266" t="inlineStr">
        <is>
          <t>28/11/2024 00:00</t>
        </is>
      </c>
      <c r="D266" t="inlineStr">
        <is>
          <t>Spectrum Center</t>
        </is>
      </c>
      <c r="E266" t="inlineStr">
        <is>
          <t>Charlotte Hornets</t>
        </is>
      </c>
      <c r="F266" t="inlineStr">
        <is>
          <t>Miami Heat</t>
        </is>
      </c>
      <c r="G266" t="n">
        <v>94</v>
      </c>
      <c r="H266" t="n">
        <v>98</v>
      </c>
      <c r="I266" t="inlineStr">
        <is>
          <t>Miami Heat</t>
        </is>
      </c>
      <c r="J266" t="inlineStr">
        <is>
          <t>Charlotte Hornets</t>
        </is>
      </c>
      <c r="K266" t="inlineStr">
        <is>
          <t>Yes</t>
        </is>
      </c>
      <c r="L266" t="inlineStr"/>
      <c r="M266" t="inlineStr">
        <is>
          <t>https://fixturedownload.com/download/nba-2024-UTC.csv</t>
        </is>
      </c>
    </row>
    <row r="267">
      <c r="A267" t="n">
        <v>266</v>
      </c>
      <c r="B267" t="n">
        <v>6</v>
      </c>
      <c r="C267" t="inlineStr">
        <is>
          <t>28/11/2024 00:00</t>
        </is>
      </c>
      <c r="D267" t="inlineStr">
        <is>
          <t>Rocket Arena</t>
        </is>
      </c>
      <c r="E267" t="inlineStr">
        <is>
          <t>Cleveland Cavaliers</t>
        </is>
      </c>
      <c r="F267" t="inlineStr">
        <is>
          <t>Atlanta Hawks</t>
        </is>
      </c>
      <c r="G267" t="n">
        <v>124</v>
      </c>
      <c r="H267" t="n">
        <v>135</v>
      </c>
      <c r="I267" t="inlineStr">
        <is>
          <t>Atlanta Hawks</t>
        </is>
      </c>
      <c r="J267" t="inlineStr">
        <is>
          <t>Cleveland Cavaliers</t>
        </is>
      </c>
      <c r="K267" t="inlineStr">
        <is>
          <t>Yes</t>
        </is>
      </c>
      <c r="L267" t="inlineStr"/>
      <c r="M267" t="inlineStr">
        <is>
          <t>https://fixturedownload.com/download/nba-2024-UTC.csv</t>
        </is>
      </c>
    </row>
    <row r="268">
      <c r="A268" t="n">
        <v>267</v>
      </c>
      <c r="B268" t="n">
        <v>6</v>
      </c>
      <c r="C268" t="inlineStr">
        <is>
          <t>28/11/2024 00:00</t>
        </is>
      </c>
      <c r="D268" t="inlineStr">
        <is>
          <t>Gainbridge Fieldhouse</t>
        </is>
      </c>
      <c r="E268" t="inlineStr">
        <is>
          <t>Indiana Pacers</t>
        </is>
      </c>
      <c r="F268" t="inlineStr">
        <is>
          <t>Portland Trail Blazers</t>
        </is>
      </c>
      <c r="G268" t="n">
        <v>121</v>
      </c>
      <c r="H268" t="n">
        <v>114</v>
      </c>
      <c r="I268" t="inlineStr">
        <is>
          <t>Indiana Pacers</t>
        </is>
      </c>
      <c r="J268" t="inlineStr">
        <is>
          <t>Portland Trail Blazers</t>
        </is>
      </c>
      <c r="K268" t="inlineStr">
        <is>
          <t>Yes</t>
        </is>
      </c>
      <c r="L268" t="inlineStr"/>
      <c r="M268" t="inlineStr">
        <is>
          <t>https://fixturedownload.com/download/nba-2024-UTC.csv</t>
        </is>
      </c>
    </row>
    <row r="269">
      <c r="A269" t="n">
        <v>268</v>
      </c>
      <c r="B269" t="n">
        <v>6</v>
      </c>
      <c r="C269" t="inlineStr">
        <is>
          <t>28/11/2024 00:00</t>
        </is>
      </c>
      <c r="D269" t="inlineStr">
        <is>
          <t>Kia Center</t>
        </is>
      </c>
      <c r="E269" t="inlineStr">
        <is>
          <t>Orlando Magic</t>
        </is>
      </c>
      <c r="F269" t="inlineStr">
        <is>
          <t>Chicago Bulls</t>
        </is>
      </c>
      <c r="G269" t="n">
        <v>133</v>
      </c>
      <c r="H269" t="n">
        <v>119</v>
      </c>
      <c r="I269" t="inlineStr">
        <is>
          <t>Orlando Magic</t>
        </is>
      </c>
      <c r="J269" t="inlineStr">
        <is>
          <t>Chicago Bulls</t>
        </is>
      </c>
      <c r="K269" t="inlineStr">
        <is>
          <t>Yes</t>
        </is>
      </c>
      <c r="L269" t="inlineStr"/>
      <c r="M269" t="inlineStr">
        <is>
          <t>https://fixturedownload.com/download/nba-2024-UTC.csv</t>
        </is>
      </c>
    </row>
    <row r="270">
      <c r="A270" t="n">
        <v>269</v>
      </c>
      <c r="B270" t="n">
        <v>6</v>
      </c>
      <c r="C270" t="inlineStr">
        <is>
          <t>28/11/2024 00:00</t>
        </is>
      </c>
      <c r="D270" t="inlineStr">
        <is>
          <t>Wells Fargo Center</t>
        </is>
      </c>
      <c r="E270" t="inlineStr">
        <is>
          <t>Philadelphia 76ers</t>
        </is>
      </c>
      <c r="F270" t="inlineStr">
        <is>
          <t>Houston Rockets</t>
        </is>
      </c>
      <c r="G270" t="n">
        <v>115</v>
      </c>
      <c r="H270" t="n">
        <v>122</v>
      </c>
      <c r="I270" t="inlineStr">
        <is>
          <t>Houston Rockets</t>
        </is>
      </c>
      <c r="J270" t="inlineStr">
        <is>
          <t>Philadelphia 76ers</t>
        </is>
      </c>
      <c r="K270" t="inlineStr">
        <is>
          <t>Yes</t>
        </is>
      </c>
      <c r="L270" t="inlineStr"/>
      <c r="M270" t="inlineStr">
        <is>
          <t>https://fixturedownload.com/download/nba-2024-UTC.csv</t>
        </is>
      </c>
    </row>
    <row r="271">
      <c r="A271" t="n">
        <v>270</v>
      </c>
      <c r="B271" t="n">
        <v>6</v>
      </c>
      <c r="C271" t="inlineStr">
        <is>
          <t>28/11/2024 00:00</t>
        </is>
      </c>
      <c r="D271" t="inlineStr">
        <is>
          <t>Capital One Arena</t>
        </is>
      </c>
      <c r="E271" t="inlineStr">
        <is>
          <t>Washington Wizards</t>
        </is>
      </c>
      <c r="F271" t="inlineStr">
        <is>
          <t>LA Clippers</t>
        </is>
      </c>
      <c r="G271" t="n">
        <v>96</v>
      </c>
      <c r="H271" t="n">
        <v>121</v>
      </c>
      <c r="I271" t="inlineStr">
        <is>
          <t>LA Clippers</t>
        </is>
      </c>
      <c r="J271" t="inlineStr">
        <is>
          <t>Washington Wizards</t>
        </is>
      </c>
      <c r="K271" t="inlineStr">
        <is>
          <t>Yes</t>
        </is>
      </c>
      <c r="L271" t="inlineStr"/>
      <c r="M271" t="inlineStr">
        <is>
          <t>https://fixturedownload.com/download/nba-2024-UTC.csv</t>
        </is>
      </c>
    </row>
    <row r="272">
      <c r="A272" t="n">
        <v>271</v>
      </c>
      <c r="B272" t="n">
        <v>6</v>
      </c>
      <c r="C272" t="inlineStr">
        <is>
          <t>28/11/2024 00:30</t>
        </is>
      </c>
      <c r="D272" t="inlineStr">
        <is>
          <t>American Airlines Center</t>
        </is>
      </c>
      <c r="E272" t="inlineStr">
        <is>
          <t>Dallas Mavericks</t>
        </is>
      </c>
      <c r="F272" t="inlineStr">
        <is>
          <t>New York Knicks</t>
        </is>
      </c>
      <c r="G272" t="n">
        <v>129</v>
      </c>
      <c r="H272" t="n">
        <v>114</v>
      </c>
      <c r="I272" t="inlineStr">
        <is>
          <t>Dallas Mavericks</t>
        </is>
      </c>
      <c r="J272" t="inlineStr">
        <is>
          <t>New York Knicks</t>
        </is>
      </c>
      <c r="K272" t="inlineStr">
        <is>
          <t>Yes</t>
        </is>
      </c>
      <c r="L272" t="inlineStr"/>
      <c r="M272" t="inlineStr">
        <is>
          <t>https://fixturedownload.com/download/nba-2024-UTC.csv</t>
        </is>
      </c>
    </row>
    <row r="273">
      <c r="A273" t="n">
        <v>272</v>
      </c>
      <c r="B273" t="n">
        <v>6</v>
      </c>
      <c r="C273" t="inlineStr">
        <is>
          <t>28/11/2024 01:00</t>
        </is>
      </c>
      <c r="D273" t="inlineStr">
        <is>
          <t>FedExForum</t>
        </is>
      </c>
      <c r="E273" t="inlineStr">
        <is>
          <t>Memphis Grizzlies</t>
        </is>
      </c>
      <c r="F273" t="inlineStr">
        <is>
          <t>Detroit Pistons</t>
        </is>
      </c>
      <c r="G273" t="n">
        <v>131</v>
      </c>
      <c r="H273" t="n">
        <v>111</v>
      </c>
      <c r="I273" t="inlineStr">
        <is>
          <t>Memphis Grizzlies</t>
        </is>
      </c>
      <c r="J273" t="inlineStr">
        <is>
          <t>Detroit Pistons</t>
        </is>
      </c>
      <c r="K273" t="inlineStr">
        <is>
          <t>Yes</t>
        </is>
      </c>
      <c r="L273" t="inlineStr"/>
      <c r="M273" t="inlineStr">
        <is>
          <t>https://fixturedownload.com/download/nba-2024-UTC.csv</t>
        </is>
      </c>
    </row>
    <row r="274">
      <c r="A274" t="n">
        <v>273</v>
      </c>
      <c r="B274" t="n">
        <v>6</v>
      </c>
      <c r="C274" t="inlineStr">
        <is>
          <t>28/11/2024 01:00</t>
        </is>
      </c>
      <c r="D274" t="inlineStr">
        <is>
          <t>Target Center</t>
        </is>
      </c>
      <c r="E274" t="inlineStr">
        <is>
          <t>Minnesota Timberwolves</t>
        </is>
      </c>
      <c r="F274" t="inlineStr">
        <is>
          <t>Sacramento Kings</t>
        </is>
      </c>
      <c r="G274" t="n">
        <v>104</v>
      </c>
      <c r="H274" t="n">
        <v>115</v>
      </c>
      <c r="I274" t="inlineStr">
        <is>
          <t>Sacramento Kings</t>
        </is>
      </c>
      <c r="J274" t="inlineStr">
        <is>
          <t>Minnesota Timberwolves</t>
        </is>
      </c>
      <c r="K274" t="inlineStr">
        <is>
          <t>Yes</t>
        </is>
      </c>
      <c r="L274" t="inlineStr"/>
      <c r="M274" t="inlineStr">
        <is>
          <t>https://fixturedownload.com/download/nba-2024-UTC.csv</t>
        </is>
      </c>
    </row>
    <row r="275">
      <c r="A275" t="n">
        <v>274</v>
      </c>
      <c r="B275" t="n">
        <v>6</v>
      </c>
      <c r="C275" t="inlineStr">
        <is>
          <t>28/11/2024 01:00</t>
        </is>
      </c>
      <c r="D275" t="inlineStr">
        <is>
          <t>Smoothie King Center</t>
        </is>
      </c>
      <c r="E275" t="inlineStr">
        <is>
          <t>New Orleans Pelicans</t>
        </is>
      </c>
      <c r="F275" t="inlineStr">
        <is>
          <t>Toronto Raptors</t>
        </is>
      </c>
      <c r="G275" t="n">
        <v>93</v>
      </c>
      <c r="H275" t="n">
        <v>119</v>
      </c>
      <c r="I275" t="inlineStr">
        <is>
          <t>Toronto Raptors</t>
        </is>
      </c>
      <c r="J275" t="inlineStr">
        <is>
          <t>New Orleans Pelicans</t>
        </is>
      </c>
      <c r="K275" t="inlineStr">
        <is>
          <t>Yes</t>
        </is>
      </c>
      <c r="L275" t="inlineStr"/>
      <c r="M275" t="inlineStr">
        <is>
          <t>https://fixturedownload.com/download/nba-2024-UTC.csv</t>
        </is>
      </c>
    </row>
    <row r="276">
      <c r="A276" t="n">
        <v>275</v>
      </c>
      <c r="B276" t="n">
        <v>6</v>
      </c>
      <c r="C276" t="inlineStr">
        <is>
          <t>28/11/2024 01:30</t>
        </is>
      </c>
      <c r="D276" t="inlineStr">
        <is>
          <t>Frost Bank Center</t>
        </is>
      </c>
      <c r="E276" t="inlineStr">
        <is>
          <t>San Antonio Spurs</t>
        </is>
      </c>
      <c r="F276" t="inlineStr">
        <is>
          <t>Los Angeles Lakers</t>
        </is>
      </c>
      <c r="G276" t="n">
        <v>101</v>
      </c>
      <c r="H276" t="n">
        <v>119</v>
      </c>
      <c r="I276" t="inlineStr">
        <is>
          <t>Los Angeles Lakers</t>
        </is>
      </c>
      <c r="J276" t="inlineStr">
        <is>
          <t>San Antonio Spurs</t>
        </is>
      </c>
      <c r="K276" t="inlineStr">
        <is>
          <t>Yes</t>
        </is>
      </c>
      <c r="L276" t="inlineStr"/>
      <c r="M276" t="inlineStr">
        <is>
          <t>https://fixturedownload.com/download/nba-2024-UTC.csv</t>
        </is>
      </c>
    </row>
    <row r="277">
      <c r="A277" t="n">
        <v>276</v>
      </c>
      <c r="B277" t="n">
        <v>6</v>
      </c>
      <c r="C277" t="inlineStr">
        <is>
          <t>28/11/2024 02:00</t>
        </is>
      </c>
      <c r="D277" t="inlineStr">
        <is>
          <t>PHX Arena</t>
        </is>
      </c>
      <c r="E277" t="inlineStr">
        <is>
          <t>Phoenix Suns</t>
        </is>
      </c>
      <c r="F277" t="inlineStr">
        <is>
          <t>Brooklyn Nets</t>
        </is>
      </c>
      <c r="G277" t="n">
        <v>117</v>
      </c>
      <c r="H277" t="n">
        <v>127</v>
      </c>
      <c r="I277" t="inlineStr">
        <is>
          <t>Brooklyn Nets</t>
        </is>
      </c>
      <c r="J277" t="inlineStr">
        <is>
          <t>Phoenix Suns</t>
        </is>
      </c>
      <c r="K277" t="inlineStr">
        <is>
          <t>Yes</t>
        </is>
      </c>
      <c r="L277" t="inlineStr"/>
      <c r="M277" t="inlineStr">
        <is>
          <t>https://fixturedownload.com/download/nba-2024-UTC.csv</t>
        </is>
      </c>
    </row>
    <row r="278">
      <c r="A278" t="n">
        <v>277</v>
      </c>
      <c r="B278" t="n">
        <v>6</v>
      </c>
      <c r="C278" t="inlineStr">
        <is>
          <t>28/11/2024 02:00</t>
        </is>
      </c>
      <c r="D278" t="inlineStr">
        <is>
          <t>Delta Center</t>
        </is>
      </c>
      <c r="E278" t="inlineStr">
        <is>
          <t>Utah Jazz</t>
        </is>
      </c>
      <c r="F278" t="inlineStr">
        <is>
          <t>Denver Nuggets</t>
        </is>
      </c>
      <c r="G278" t="n">
        <v>103</v>
      </c>
      <c r="H278" t="n">
        <v>122</v>
      </c>
      <c r="I278" t="inlineStr">
        <is>
          <t>Denver Nuggets</t>
        </is>
      </c>
      <c r="J278" t="inlineStr">
        <is>
          <t>Utah Jazz</t>
        </is>
      </c>
      <c r="K278" t="inlineStr">
        <is>
          <t>Yes</t>
        </is>
      </c>
      <c r="L278" t="inlineStr"/>
      <c r="M278" t="inlineStr">
        <is>
          <t>https://fixturedownload.com/download/nba-2024-UTC.csv</t>
        </is>
      </c>
    </row>
    <row r="279">
      <c r="A279" t="n">
        <v>278</v>
      </c>
      <c r="B279" t="n">
        <v>6</v>
      </c>
      <c r="C279" t="inlineStr">
        <is>
          <t>28/11/2024 03:00</t>
        </is>
      </c>
      <c r="D279" t="inlineStr">
        <is>
          <t>Chase Center</t>
        </is>
      </c>
      <c r="E279" t="inlineStr">
        <is>
          <t>Golden State Warriors</t>
        </is>
      </c>
      <c r="F279" t="inlineStr">
        <is>
          <t>Oklahoma City Thunder</t>
        </is>
      </c>
      <c r="G279" t="n">
        <v>101</v>
      </c>
      <c r="H279" t="n">
        <v>105</v>
      </c>
      <c r="I279" t="inlineStr">
        <is>
          <t>Oklahoma City Thunder</t>
        </is>
      </c>
      <c r="J279" t="inlineStr">
        <is>
          <t>Golden State Warriors</t>
        </is>
      </c>
      <c r="K279" t="inlineStr">
        <is>
          <t>Yes</t>
        </is>
      </c>
      <c r="L279" t="inlineStr"/>
      <c r="M279" t="inlineStr">
        <is>
          <t>https://fixturedownload.com/download/nba-2024-UTC.csv</t>
        </is>
      </c>
    </row>
    <row r="280">
      <c r="A280" t="n">
        <v>279</v>
      </c>
      <c r="B280" t="n">
        <v>6</v>
      </c>
      <c r="C280" t="inlineStr">
        <is>
          <t>29/11/2024 17:00</t>
        </is>
      </c>
      <c r="D280" t="inlineStr">
        <is>
          <t>Spectrum Center</t>
        </is>
      </c>
      <c r="E280" t="inlineStr">
        <is>
          <t>Charlotte Hornets</t>
        </is>
      </c>
      <c r="F280" t="inlineStr">
        <is>
          <t>New York Knicks</t>
        </is>
      </c>
      <c r="G280" t="n">
        <v>98</v>
      </c>
      <c r="H280" t="n">
        <v>99</v>
      </c>
      <c r="I280" t="inlineStr">
        <is>
          <t>New York Knicks</t>
        </is>
      </c>
      <c r="J280" t="inlineStr">
        <is>
          <t>Charlotte Hornets</t>
        </is>
      </c>
      <c r="K280" t="inlineStr">
        <is>
          <t>Yes</t>
        </is>
      </c>
      <c r="L280" t="inlineStr"/>
      <c r="M280" t="inlineStr">
        <is>
          <t>https://fixturedownload.com/download/nba-2024-UTC.csv</t>
        </is>
      </c>
    </row>
    <row r="281">
      <c r="A281" t="n">
        <v>280</v>
      </c>
      <c r="B281" t="n">
        <v>6</v>
      </c>
      <c r="C281" t="inlineStr">
        <is>
          <t>29/11/2024 19:30</t>
        </is>
      </c>
      <c r="D281" t="inlineStr">
        <is>
          <t>State Farm Arena</t>
        </is>
      </c>
      <c r="E281" t="inlineStr">
        <is>
          <t>Atlanta Hawks</t>
        </is>
      </c>
      <c r="F281" t="inlineStr">
        <is>
          <t>Cleveland Cavaliers</t>
        </is>
      </c>
      <c r="G281" t="n">
        <v>117</v>
      </c>
      <c r="H281" t="n">
        <v>101</v>
      </c>
      <c r="I281" t="inlineStr">
        <is>
          <t>Atlanta Hawks</t>
        </is>
      </c>
      <c r="J281" t="inlineStr">
        <is>
          <t>Cleveland Cavaliers</t>
        </is>
      </c>
      <c r="K281" t="inlineStr">
        <is>
          <t>Yes</t>
        </is>
      </c>
      <c r="L281" t="inlineStr"/>
      <c r="M281" t="inlineStr">
        <is>
          <t>https://fixturedownload.com/download/nba-2024-UTC.csv</t>
        </is>
      </c>
    </row>
    <row r="282">
      <c r="A282" t="n">
        <v>281</v>
      </c>
      <c r="B282" t="n">
        <v>6</v>
      </c>
      <c r="C282" t="inlineStr">
        <is>
          <t>29/11/2024 22:00</t>
        </is>
      </c>
      <c r="D282" t="inlineStr">
        <is>
          <t>FedExForum</t>
        </is>
      </c>
      <c r="E282" t="inlineStr">
        <is>
          <t>Memphis Grizzlies</t>
        </is>
      </c>
      <c r="F282" t="inlineStr">
        <is>
          <t>New Orleans Pelicans</t>
        </is>
      </c>
      <c r="G282" t="n">
        <v>120</v>
      </c>
      <c r="H282" t="n">
        <v>109</v>
      </c>
      <c r="I282" t="inlineStr">
        <is>
          <t>Memphis Grizzlies</t>
        </is>
      </c>
      <c r="J282" t="inlineStr">
        <is>
          <t>New Orleans Pelicans</t>
        </is>
      </c>
      <c r="K282" t="inlineStr">
        <is>
          <t>Yes</t>
        </is>
      </c>
      <c r="L282" t="inlineStr"/>
      <c r="M282" t="inlineStr">
        <is>
          <t>https://fixturedownload.com/download/nba-2024-UTC.csv</t>
        </is>
      </c>
    </row>
    <row r="283">
      <c r="A283" t="n">
        <v>282</v>
      </c>
      <c r="B283" t="n">
        <v>6</v>
      </c>
      <c r="C283" t="inlineStr">
        <is>
          <t>30/11/2024 00:30</t>
        </is>
      </c>
      <c r="D283" t="inlineStr">
        <is>
          <t>Barclays Center</t>
        </is>
      </c>
      <c r="E283" t="inlineStr">
        <is>
          <t>Brooklyn Nets</t>
        </is>
      </c>
      <c r="F283" t="inlineStr">
        <is>
          <t>Orlando Magic</t>
        </is>
      </c>
      <c r="G283" t="n">
        <v>100</v>
      </c>
      <c r="H283" t="n">
        <v>123</v>
      </c>
      <c r="I283" t="inlineStr">
        <is>
          <t>Orlando Magic</t>
        </is>
      </c>
      <c r="J283" t="inlineStr">
        <is>
          <t>Brooklyn Nets</t>
        </is>
      </c>
      <c r="K283" t="inlineStr">
        <is>
          <t>Yes</t>
        </is>
      </c>
      <c r="L283" t="inlineStr"/>
      <c r="M283" t="inlineStr">
        <is>
          <t>https://fixturedownload.com/download/nba-2024-UTC.csv</t>
        </is>
      </c>
    </row>
    <row r="284">
      <c r="A284" t="n">
        <v>283</v>
      </c>
      <c r="B284" t="n">
        <v>6</v>
      </c>
      <c r="C284" t="inlineStr">
        <is>
          <t>30/11/2024 00:30</t>
        </is>
      </c>
      <c r="D284" t="inlineStr">
        <is>
          <t>Target Center</t>
        </is>
      </c>
      <c r="E284" t="inlineStr">
        <is>
          <t>Minnesota Timberwolves</t>
        </is>
      </c>
      <c r="F284" t="inlineStr">
        <is>
          <t>LA Clippers</t>
        </is>
      </c>
      <c r="G284" t="n">
        <v>93</v>
      </c>
      <c r="H284" t="n">
        <v>92</v>
      </c>
      <c r="I284" t="inlineStr">
        <is>
          <t>Minnesota Timberwolves</t>
        </is>
      </c>
      <c r="J284" t="inlineStr">
        <is>
          <t>LA Clippers</t>
        </is>
      </c>
      <c r="K284" t="inlineStr">
        <is>
          <t>Yes</t>
        </is>
      </c>
      <c r="L284" t="inlineStr"/>
      <c r="M284" t="inlineStr">
        <is>
          <t>https://fixturedownload.com/download/nba-2024-UTC.csv</t>
        </is>
      </c>
    </row>
    <row r="285">
      <c r="A285" t="n">
        <v>284</v>
      </c>
      <c r="B285" t="n">
        <v>6</v>
      </c>
      <c r="C285" t="inlineStr">
        <is>
          <t>30/11/2024 01:00</t>
        </is>
      </c>
      <c r="D285" t="inlineStr">
        <is>
          <t>Gainbridge Fieldhouse</t>
        </is>
      </c>
      <c r="E285" t="inlineStr">
        <is>
          <t>Indiana Pacers</t>
        </is>
      </c>
      <c r="F285" t="inlineStr">
        <is>
          <t>Detroit Pistons</t>
        </is>
      </c>
      <c r="G285" t="n">
        <v>106</v>
      </c>
      <c r="H285" t="n">
        <v>130</v>
      </c>
      <c r="I285" t="inlineStr">
        <is>
          <t>Detroit Pistons</t>
        </is>
      </c>
      <c r="J285" t="inlineStr">
        <is>
          <t>Indiana Pacers</t>
        </is>
      </c>
      <c r="K285" t="inlineStr">
        <is>
          <t>Yes</t>
        </is>
      </c>
      <c r="L285" t="inlineStr"/>
      <c r="M285" t="inlineStr">
        <is>
          <t>https://fixturedownload.com/download/nba-2024-UTC.csv</t>
        </is>
      </c>
    </row>
    <row r="286">
      <c r="A286" t="n">
        <v>285</v>
      </c>
      <c r="B286" t="n">
        <v>6</v>
      </c>
      <c r="C286" t="inlineStr">
        <is>
          <t>30/11/2024 01:00</t>
        </is>
      </c>
      <c r="D286" t="inlineStr">
        <is>
          <t>Kaseya Center</t>
        </is>
      </c>
      <c r="E286" t="inlineStr">
        <is>
          <t>Miami Heat</t>
        </is>
      </c>
      <c r="F286" t="inlineStr">
        <is>
          <t>Toronto Raptors</t>
        </is>
      </c>
      <c r="G286" t="n">
        <v>121</v>
      </c>
      <c r="H286" t="n">
        <v>111</v>
      </c>
      <c r="I286" t="inlineStr">
        <is>
          <t>Miami Heat</t>
        </is>
      </c>
      <c r="J286" t="inlineStr">
        <is>
          <t>Toronto Raptors</t>
        </is>
      </c>
      <c r="K286" t="inlineStr">
        <is>
          <t>Yes</t>
        </is>
      </c>
      <c r="L286" t="inlineStr"/>
      <c r="M286" t="inlineStr">
        <is>
          <t>https://fixturedownload.com/download/nba-2024-UTC.csv</t>
        </is>
      </c>
    </row>
    <row r="287">
      <c r="A287" t="n">
        <v>286</v>
      </c>
      <c r="B287" t="n">
        <v>6</v>
      </c>
      <c r="C287" t="inlineStr">
        <is>
          <t>30/11/2024 01:00</t>
        </is>
      </c>
      <c r="D287" t="inlineStr">
        <is>
          <t>United Center</t>
        </is>
      </c>
      <c r="E287" t="inlineStr">
        <is>
          <t>Chicago Bulls</t>
        </is>
      </c>
      <c r="F287" t="inlineStr">
        <is>
          <t>Boston Celtics</t>
        </is>
      </c>
      <c r="G287" t="n">
        <v>129</v>
      </c>
      <c r="H287" t="n">
        <v>138</v>
      </c>
      <c r="I287" t="inlineStr">
        <is>
          <t>Boston Celtics</t>
        </is>
      </c>
      <c r="J287" t="inlineStr">
        <is>
          <t>Chicago Bulls</t>
        </is>
      </c>
      <c r="K287" t="inlineStr">
        <is>
          <t>Yes</t>
        </is>
      </c>
      <c r="L287" t="inlineStr"/>
      <c r="M287" t="inlineStr">
        <is>
          <t>https://fixturedownload.com/download/nba-2024-UTC.csv</t>
        </is>
      </c>
    </row>
    <row r="288">
      <c r="A288" t="n">
        <v>287</v>
      </c>
      <c r="B288" t="n">
        <v>6</v>
      </c>
      <c r="C288" t="inlineStr">
        <is>
          <t>30/11/2024 03:00</t>
        </is>
      </c>
      <c r="D288" t="inlineStr">
        <is>
          <t>Crypto.com Arena</t>
        </is>
      </c>
      <c r="E288" t="inlineStr">
        <is>
          <t>Los Angeles Lakers</t>
        </is>
      </c>
      <c r="F288" t="inlineStr">
        <is>
          <t>Oklahoma City Thunder</t>
        </is>
      </c>
      <c r="G288" t="n">
        <v>93</v>
      </c>
      <c r="H288" t="n">
        <v>101</v>
      </c>
      <c r="I288" t="inlineStr">
        <is>
          <t>Oklahoma City Thunder</t>
        </is>
      </c>
      <c r="J288" t="inlineStr">
        <is>
          <t>Los Angeles Lakers</t>
        </is>
      </c>
      <c r="K288" t="inlineStr">
        <is>
          <t>Yes</t>
        </is>
      </c>
      <c r="L288" t="inlineStr"/>
      <c r="M288" t="inlineStr">
        <is>
          <t>https://fixturedownload.com/download/nba-2024-UTC.csv</t>
        </is>
      </c>
    </row>
    <row r="289">
      <c r="A289" t="n">
        <v>288</v>
      </c>
      <c r="B289" t="n">
        <v>6</v>
      </c>
      <c r="C289" t="inlineStr">
        <is>
          <t>30/11/2024 03:00</t>
        </is>
      </c>
      <c r="D289" t="inlineStr">
        <is>
          <t>Moda Center</t>
        </is>
      </c>
      <c r="E289" t="inlineStr">
        <is>
          <t>Portland Trail Blazers</t>
        </is>
      </c>
      <c r="F289" t="inlineStr">
        <is>
          <t>Sacramento Kings</t>
        </is>
      </c>
      <c r="G289" t="n">
        <v>115</v>
      </c>
      <c r="H289" t="n">
        <v>106</v>
      </c>
      <c r="I289" t="inlineStr">
        <is>
          <t>Portland Trail Blazers</t>
        </is>
      </c>
      <c r="J289" t="inlineStr">
        <is>
          <t>Sacramento Kings</t>
        </is>
      </c>
      <c r="K289" t="inlineStr">
        <is>
          <t>Yes</t>
        </is>
      </c>
      <c r="L289" t="inlineStr"/>
      <c r="M289" t="inlineStr">
        <is>
          <t>https://fixturedownload.com/download/nba-2024-UTC.csv</t>
        </is>
      </c>
    </row>
    <row r="290">
      <c r="A290" t="n">
        <v>289</v>
      </c>
      <c r="B290" t="n">
        <v>6</v>
      </c>
      <c r="C290" t="inlineStr">
        <is>
          <t>30/11/2024 23:00</t>
        </is>
      </c>
      <c r="D290" t="inlineStr">
        <is>
          <t>Spectrum Center</t>
        </is>
      </c>
      <c r="E290" t="inlineStr">
        <is>
          <t>Charlotte Hornets</t>
        </is>
      </c>
      <c r="F290" t="inlineStr">
        <is>
          <t>Atlanta Hawks</t>
        </is>
      </c>
      <c r="G290" t="n">
        <v>104</v>
      </c>
      <c r="H290" t="n">
        <v>107</v>
      </c>
      <c r="I290" t="inlineStr">
        <is>
          <t>Atlanta Hawks</t>
        </is>
      </c>
      <c r="J290" t="inlineStr">
        <is>
          <t>Charlotte Hornets</t>
        </is>
      </c>
      <c r="K290" t="inlineStr">
        <is>
          <t>Yes</t>
        </is>
      </c>
      <c r="L290" t="inlineStr"/>
      <c r="M290" t="inlineStr">
        <is>
          <t>https://fixturedownload.com/download/nba-2024-UTC.csv</t>
        </is>
      </c>
    </row>
    <row r="291">
      <c r="A291" t="n">
        <v>290</v>
      </c>
      <c r="B291" t="n">
        <v>6</v>
      </c>
      <c r="C291" t="inlineStr">
        <is>
          <t>01/12/2024 00:00</t>
        </is>
      </c>
      <c r="D291" t="inlineStr">
        <is>
          <t>Little Caesars Arena</t>
        </is>
      </c>
      <c r="E291" t="inlineStr">
        <is>
          <t>Detroit Pistons</t>
        </is>
      </c>
      <c r="F291" t="inlineStr">
        <is>
          <t>Philadelphia 76ers</t>
        </is>
      </c>
      <c r="G291" t="n">
        <v>96</v>
      </c>
      <c r="H291" t="n">
        <v>111</v>
      </c>
      <c r="I291" t="inlineStr">
        <is>
          <t>Philadelphia 76ers</t>
        </is>
      </c>
      <c r="J291" t="inlineStr">
        <is>
          <t>Detroit Pistons</t>
        </is>
      </c>
      <c r="K291" t="inlineStr">
        <is>
          <t>Yes</t>
        </is>
      </c>
      <c r="L291" t="inlineStr"/>
      <c r="M291" t="inlineStr">
        <is>
          <t>https://fixturedownload.com/download/nba-2024-UTC.csv</t>
        </is>
      </c>
    </row>
    <row r="292">
      <c r="A292" t="n">
        <v>291</v>
      </c>
      <c r="B292" t="n">
        <v>6</v>
      </c>
      <c r="C292" t="inlineStr">
        <is>
          <t>01/12/2024 01:00</t>
        </is>
      </c>
      <c r="D292" t="inlineStr">
        <is>
          <t>Fiserv Forum</t>
        </is>
      </c>
      <c r="E292" t="inlineStr">
        <is>
          <t>Milwaukee Bucks</t>
        </is>
      </c>
      <c r="F292" t="inlineStr">
        <is>
          <t>Washington Wizards</t>
        </is>
      </c>
      <c r="G292" t="n">
        <v>124</v>
      </c>
      <c r="H292" t="n">
        <v>114</v>
      </c>
      <c r="I292" t="inlineStr">
        <is>
          <t>Milwaukee Bucks</t>
        </is>
      </c>
      <c r="J292" t="inlineStr">
        <is>
          <t>Washington Wizards</t>
        </is>
      </c>
      <c r="K292" t="inlineStr">
        <is>
          <t>Yes</t>
        </is>
      </c>
      <c r="L292" t="inlineStr"/>
      <c r="M292" t="inlineStr">
        <is>
          <t>https://fixturedownload.com/download/nba-2024-UTC.csv</t>
        </is>
      </c>
    </row>
    <row r="293">
      <c r="A293" t="n">
        <v>292</v>
      </c>
      <c r="B293" t="n">
        <v>6</v>
      </c>
      <c r="C293" t="inlineStr">
        <is>
          <t>01/12/2024 02:00</t>
        </is>
      </c>
      <c r="D293" t="inlineStr">
        <is>
          <t>PHX Arena</t>
        </is>
      </c>
      <c r="E293" t="inlineStr">
        <is>
          <t>Phoenix Suns</t>
        </is>
      </c>
      <c r="F293" t="inlineStr">
        <is>
          <t>Golden State Warriors</t>
        </is>
      </c>
      <c r="G293" t="n">
        <v>113</v>
      </c>
      <c r="H293" t="n">
        <v>105</v>
      </c>
      <c r="I293" t="inlineStr">
        <is>
          <t>Phoenix Suns</t>
        </is>
      </c>
      <c r="J293" t="inlineStr">
        <is>
          <t>Golden State Warriors</t>
        </is>
      </c>
      <c r="K293" t="inlineStr">
        <is>
          <t>Yes</t>
        </is>
      </c>
      <c r="L293" t="inlineStr"/>
      <c r="M293" t="inlineStr">
        <is>
          <t>https://fixturedownload.com/download/nba-2024-UTC.csv</t>
        </is>
      </c>
    </row>
    <row r="294">
      <c r="A294" t="n">
        <v>293</v>
      </c>
      <c r="B294" t="n">
        <v>6</v>
      </c>
      <c r="C294" t="inlineStr">
        <is>
          <t>01/12/2024 02:30</t>
        </is>
      </c>
      <c r="D294" t="inlineStr">
        <is>
          <t>Delta Center</t>
        </is>
      </c>
      <c r="E294" t="inlineStr">
        <is>
          <t>Utah Jazz</t>
        </is>
      </c>
      <c r="F294" t="inlineStr">
        <is>
          <t>Dallas Mavericks</t>
        </is>
      </c>
      <c r="G294" t="n">
        <v>94</v>
      </c>
      <c r="H294" t="n">
        <v>106</v>
      </c>
      <c r="I294" t="inlineStr">
        <is>
          <t>Dallas Mavericks</t>
        </is>
      </c>
      <c r="J294" t="inlineStr">
        <is>
          <t>Utah Jazz</t>
        </is>
      </c>
      <c r="K294" t="inlineStr">
        <is>
          <t>Yes</t>
        </is>
      </c>
      <c r="L294" t="inlineStr"/>
      <c r="M294" t="inlineStr">
        <is>
          <t>https://fixturedownload.com/download/nba-2024-UTC.csv</t>
        </is>
      </c>
    </row>
    <row r="295">
      <c r="A295" t="n">
        <v>294</v>
      </c>
      <c r="B295" t="n">
        <v>6</v>
      </c>
      <c r="C295" t="inlineStr">
        <is>
          <t>01/12/2024 20:30</t>
        </is>
      </c>
      <c r="D295" t="inlineStr">
        <is>
          <t>Barclays Center</t>
        </is>
      </c>
      <c r="E295" t="inlineStr">
        <is>
          <t>Brooklyn Nets</t>
        </is>
      </c>
      <c r="F295" t="inlineStr">
        <is>
          <t>Orlando Magic</t>
        </is>
      </c>
      <c r="G295" t="n">
        <v>92</v>
      </c>
      <c r="H295" t="n">
        <v>100</v>
      </c>
      <c r="I295" t="inlineStr">
        <is>
          <t>Orlando Magic</t>
        </is>
      </c>
      <c r="J295" t="inlineStr">
        <is>
          <t>Brooklyn Nets</t>
        </is>
      </c>
      <c r="K295" t="inlineStr">
        <is>
          <t>Yes</t>
        </is>
      </c>
      <c r="L295" t="inlineStr"/>
      <c r="M295" t="inlineStr">
        <is>
          <t>https://fixturedownload.com/download/nba-2024-UTC.csv</t>
        </is>
      </c>
    </row>
    <row r="296">
      <c r="A296" t="n">
        <v>295</v>
      </c>
      <c r="B296" t="n">
        <v>6</v>
      </c>
      <c r="C296" t="inlineStr">
        <is>
          <t>01/12/2024 20:30</t>
        </is>
      </c>
      <c r="D296" t="inlineStr">
        <is>
          <t>FedExForum</t>
        </is>
      </c>
      <c r="E296" t="inlineStr">
        <is>
          <t>Memphis Grizzlies</t>
        </is>
      </c>
      <c r="F296" t="inlineStr">
        <is>
          <t>Indiana Pacers</t>
        </is>
      </c>
      <c r="G296" t="n">
        <v>136</v>
      </c>
      <c r="H296" t="n">
        <v>121</v>
      </c>
      <c r="I296" t="inlineStr">
        <is>
          <t>Memphis Grizzlies</t>
        </is>
      </c>
      <c r="J296" t="inlineStr">
        <is>
          <t>Indiana Pacers</t>
        </is>
      </c>
      <c r="K296" t="inlineStr">
        <is>
          <t>Yes</t>
        </is>
      </c>
      <c r="L296" t="inlineStr"/>
      <c r="M296" t="inlineStr">
        <is>
          <t>https://fixturedownload.com/download/nba-2024-UTC.csv</t>
        </is>
      </c>
    </row>
    <row r="297">
      <c r="A297" t="n">
        <v>296</v>
      </c>
      <c r="B297" t="n">
        <v>6</v>
      </c>
      <c r="C297" t="inlineStr">
        <is>
          <t>01/12/2024 23:00</t>
        </is>
      </c>
      <c r="D297" t="inlineStr">
        <is>
          <t>Rocket Arena</t>
        </is>
      </c>
      <c r="E297" t="inlineStr">
        <is>
          <t>Cleveland Cavaliers</t>
        </is>
      </c>
      <c r="F297" t="inlineStr">
        <is>
          <t>Boston Celtics</t>
        </is>
      </c>
      <c r="G297" t="n">
        <v>115</v>
      </c>
      <c r="H297" t="n">
        <v>111</v>
      </c>
      <c r="I297" t="inlineStr">
        <is>
          <t>Cleveland Cavaliers</t>
        </is>
      </c>
      <c r="J297" t="inlineStr">
        <is>
          <t>Boston Celtics</t>
        </is>
      </c>
      <c r="K297" t="inlineStr">
        <is>
          <t>Yes</t>
        </is>
      </c>
      <c r="L297" t="inlineStr"/>
      <c r="M297" t="inlineStr">
        <is>
          <t>https://fixturedownload.com/download/nba-2024-UTC.csv</t>
        </is>
      </c>
    </row>
    <row r="298">
      <c r="A298" t="n">
        <v>297</v>
      </c>
      <c r="B298" t="n">
        <v>6</v>
      </c>
      <c r="C298" t="inlineStr">
        <is>
          <t>01/12/2024 23:00</t>
        </is>
      </c>
      <c r="D298" t="inlineStr">
        <is>
          <t>Madison Square Garden</t>
        </is>
      </c>
      <c r="E298" t="inlineStr">
        <is>
          <t>New York Knicks</t>
        </is>
      </c>
      <c r="F298" t="inlineStr">
        <is>
          <t>New Orleans Pelicans</t>
        </is>
      </c>
      <c r="G298" t="n">
        <v>118</v>
      </c>
      <c r="H298" t="n">
        <v>85</v>
      </c>
      <c r="I298" t="inlineStr">
        <is>
          <t>New York Knicks</t>
        </is>
      </c>
      <c r="J298" t="inlineStr">
        <is>
          <t>New Orleans Pelicans</t>
        </is>
      </c>
      <c r="K298" t="inlineStr">
        <is>
          <t>Yes</t>
        </is>
      </c>
      <c r="L298" t="inlineStr"/>
      <c r="M298" t="inlineStr">
        <is>
          <t>https://fixturedownload.com/download/nba-2024-UTC.csv</t>
        </is>
      </c>
    </row>
    <row r="299">
      <c r="A299" t="n">
        <v>298</v>
      </c>
      <c r="B299" t="n">
        <v>6</v>
      </c>
      <c r="C299" t="inlineStr">
        <is>
          <t>01/12/2024 23:00</t>
        </is>
      </c>
      <c r="D299" t="inlineStr">
        <is>
          <t>Scotiabank Arena</t>
        </is>
      </c>
      <c r="E299" t="inlineStr">
        <is>
          <t>Toronto Raptors</t>
        </is>
      </c>
      <c r="F299" t="inlineStr">
        <is>
          <t>Miami Heat</t>
        </is>
      </c>
      <c r="G299" t="n">
        <v>119</v>
      </c>
      <c r="H299" t="n">
        <v>116</v>
      </c>
      <c r="I299" t="inlineStr">
        <is>
          <t>Toronto Raptors</t>
        </is>
      </c>
      <c r="J299" t="inlineStr">
        <is>
          <t>Miami Heat</t>
        </is>
      </c>
      <c r="K299" t="inlineStr">
        <is>
          <t>Yes</t>
        </is>
      </c>
      <c r="L299" t="inlineStr"/>
      <c r="M299" t="inlineStr">
        <is>
          <t>https://fixturedownload.com/download/nba-2024-UTC.csv</t>
        </is>
      </c>
    </row>
    <row r="300">
      <c r="A300" t="n">
        <v>299</v>
      </c>
      <c r="B300" t="n">
        <v>6</v>
      </c>
      <c r="C300" t="inlineStr">
        <is>
          <t>02/12/2024 00:00</t>
        </is>
      </c>
      <c r="D300" t="inlineStr">
        <is>
          <t>Toyota Center</t>
        </is>
      </c>
      <c r="E300" t="inlineStr">
        <is>
          <t>Houston Rockets</t>
        </is>
      </c>
      <c r="F300" t="inlineStr">
        <is>
          <t>Oklahoma City Thunder</t>
        </is>
      </c>
      <c r="G300" t="n">
        <v>119</v>
      </c>
      <c r="H300" t="n">
        <v>116</v>
      </c>
      <c r="I300" t="inlineStr">
        <is>
          <t>Houston Rockets</t>
        </is>
      </c>
      <c r="J300" t="inlineStr">
        <is>
          <t>Oklahoma City Thunder</t>
        </is>
      </c>
      <c r="K300" t="inlineStr">
        <is>
          <t>Yes</t>
        </is>
      </c>
      <c r="L300" t="inlineStr"/>
      <c r="M300" t="inlineStr">
        <is>
          <t>https://fixturedownload.com/download/nba-2024-UTC.csv</t>
        </is>
      </c>
    </row>
    <row r="301">
      <c r="A301" t="n">
        <v>300</v>
      </c>
      <c r="B301" t="n">
        <v>6</v>
      </c>
      <c r="C301" t="inlineStr">
        <is>
          <t>02/12/2024 01:00</t>
        </is>
      </c>
      <c r="D301" t="inlineStr">
        <is>
          <t>Delta Center</t>
        </is>
      </c>
      <c r="E301" t="inlineStr">
        <is>
          <t>Utah Jazz</t>
        </is>
      </c>
      <c r="F301" t="inlineStr">
        <is>
          <t>Los Angeles Lakers</t>
        </is>
      </c>
      <c r="G301" t="n">
        <v>104</v>
      </c>
      <c r="H301" t="n">
        <v>105</v>
      </c>
      <c r="I301" t="inlineStr">
        <is>
          <t>Los Angeles Lakers</t>
        </is>
      </c>
      <c r="J301" t="inlineStr">
        <is>
          <t>Utah Jazz</t>
        </is>
      </c>
      <c r="K301" t="inlineStr">
        <is>
          <t>Yes</t>
        </is>
      </c>
      <c r="L301" t="inlineStr"/>
      <c r="M301" t="inlineStr">
        <is>
          <t>https://fixturedownload.com/download/nba-2024-UTC.csv</t>
        </is>
      </c>
    </row>
    <row r="302">
      <c r="A302" t="n">
        <v>301</v>
      </c>
      <c r="B302" t="n">
        <v>6</v>
      </c>
      <c r="C302" t="inlineStr">
        <is>
          <t>02/12/2024 02:00</t>
        </is>
      </c>
      <c r="D302" t="inlineStr">
        <is>
          <t>Moda Center</t>
        </is>
      </c>
      <c r="E302" t="inlineStr">
        <is>
          <t>Portland Trail Blazers</t>
        </is>
      </c>
      <c r="F302" t="inlineStr">
        <is>
          <t>Dallas Mavericks</t>
        </is>
      </c>
      <c r="G302" t="n">
        <v>131</v>
      </c>
      <c r="H302" t="n">
        <v>137</v>
      </c>
      <c r="I302" t="inlineStr">
        <is>
          <t>Dallas Mavericks</t>
        </is>
      </c>
      <c r="J302" t="inlineStr">
        <is>
          <t>Portland Trail Blazers</t>
        </is>
      </c>
      <c r="K302" t="inlineStr">
        <is>
          <t>Yes</t>
        </is>
      </c>
      <c r="L302" t="inlineStr"/>
      <c r="M302" t="inlineStr">
        <is>
          <t>https://fixturedownload.com/download/nba-2024-UTC.csv</t>
        </is>
      </c>
    </row>
    <row r="303">
      <c r="A303" t="n">
        <v>302</v>
      </c>
      <c r="B303" t="n">
        <v>6</v>
      </c>
      <c r="C303" t="inlineStr">
        <is>
          <t>02/12/2024 02:00</t>
        </is>
      </c>
      <c r="D303" t="inlineStr">
        <is>
          <t>Golden 1 Center</t>
        </is>
      </c>
      <c r="E303" t="inlineStr">
        <is>
          <t>Sacramento Kings</t>
        </is>
      </c>
      <c r="F303" t="inlineStr">
        <is>
          <t>San Antonio Spurs</t>
        </is>
      </c>
      <c r="G303" t="n">
        <v>125</v>
      </c>
      <c r="H303" t="n">
        <v>127</v>
      </c>
      <c r="I303" t="inlineStr">
        <is>
          <t>San Antonio Spurs</t>
        </is>
      </c>
      <c r="J303" t="inlineStr">
        <is>
          <t>Sacramento Kings</t>
        </is>
      </c>
      <c r="K303" t="inlineStr">
        <is>
          <t>Yes</t>
        </is>
      </c>
      <c r="L303" t="inlineStr"/>
      <c r="M303" t="inlineStr">
        <is>
          <t>https://fixturedownload.com/download/nba-2024-UTC.csv</t>
        </is>
      </c>
    </row>
    <row r="304">
      <c r="A304" t="n">
        <v>303</v>
      </c>
      <c r="B304" t="n">
        <v>6</v>
      </c>
      <c r="C304" t="inlineStr">
        <is>
          <t>02/12/2024 03:00</t>
        </is>
      </c>
      <c r="D304" t="inlineStr">
        <is>
          <t>Intuit Dome</t>
        </is>
      </c>
      <c r="E304" t="inlineStr">
        <is>
          <t>LA Clippers</t>
        </is>
      </c>
      <c r="F304" t="inlineStr">
        <is>
          <t>Denver Nuggets</t>
        </is>
      </c>
      <c r="G304" t="n">
        <v>126</v>
      </c>
      <c r="H304" t="n">
        <v>122</v>
      </c>
      <c r="I304" t="inlineStr">
        <is>
          <t>LA Clippers</t>
        </is>
      </c>
      <c r="J304" t="inlineStr">
        <is>
          <t>Denver Nuggets</t>
        </is>
      </c>
      <c r="K304" t="inlineStr">
        <is>
          <t>Yes</t>
        </is>
      </c>
      <c r="L304" t="inlineStr"/>
      <c r="M304" t="inlineStr">
        <is>
          <t>https://fixturedownload.com/download/nba-2024-UTC.csv</t>
        </is>
      </c>
    </row>
    <row r="305">
      <c r="A305" t="n">
        <v>304</v>
      </c>
      <c r="B305" t="n">
        <v>6</v>
      </c>
      <c r="C305" t="inlineStr">
        <is>
          <t>03/12/2024 00:30</t>
        </is>
      </c>
      <c r="D305" t="inlineStr">
        <is>
          <t>State Farm Arena</t>
        </is>
      </c>
      <c r="E305" t="inlineStr">
        <is>
          <t>Atlanta Hawks</t>
        </is>
      </c>
      <c r="F305" t="inlineStr">
        <is>
          <t>New Orleans Pelicans</t>
        </is>
      </c>
      <c r="G305" t="n">
        <v>124</v>
      </c>
      <c r="H305" t="n">
        <v>112</v>
      </c>
      <c r="I305" t="inlineStr">
        <is>
          <t>Atlanta Hawks</t>
        </is>
      </c>
      <c r="J305" t="inlineStr">
        <is>
          <t>New Orleans Pelicans</t>
        </is>
      </c>
      <c r="K305" t="inlineStr">
        <is>
          <t>Yes</t>
        </is>
      </c>
      <c r="L305" t="inlineStr"/>
      <c r="M305" t="inlineStr">
        <is>
          <t>https://fixturedownload.com/download/nba-2024-UTC.csv</t>
        </is>
      </c>
    </row>
    <row r="306">
      <c r="A306" t="n">
        <v>305</v>
      </c>
      <c r="B306" t="n">
        <v>6</v>
      </c>
      <c r="C306" t="inlineStr">
        <is>
          <t>03/12/2024 00:30</t>
        </is>
      </c>
      <c r="D306" t="inlineStr">
        <is>
          <t>TD Garden</t>
        </is>
      </c>
      <c r="E306" t="inlineStr">
        <is>
          <t>Boston Celtics</t>
        </is>
      </c>
      <c r="F306" t="inlineStr">
        <is>
          <t>Miami Heat</t>
        </is>
      </c>
      <c r="G306" t="n">
        <v>108</v>
      </c>
      <c r="H306" t="n">
        <v>89</v>
      </c>
      <c r="I306" t="inlineStr">
        <is>
          <t>Boston Celtics</t>
        </is>
      </c>
      <c r="J306" t="inlineStr">
        <is>
          <t>Miami Heat</t>
        </is>
      </c>
      <c r="K306" t="inlineStr">
        <is>
          <t>Yes</t>
        </is>
      </c>
      <c r="L306" t="inlineStr"/>
      <c r="M306" t="inlineStr">
        <is>
          <t>https://fixturedownload.com/download/nba-2024-UTC.csv</t>
        </is>
      </c>
    </row>
    <row r="307">
      <c r="A307" t="n">
        <v>306</v>
      </c>
      <c r="B307" t="n">
        <v>6</v>
      </c>
      <c r="C307" t="inlineStr">
        <is>
          <t>03/12/2024 01:00</t>
        </is>
      </c>
      <c r="D307" t="inlineStr">
        <is>
          <t>United Center</t>
        </is>
      </c>
      <c r="E307" t="inlineStr">
        <is>
          <t>Chicago Bulls</t>
        </is>
      </c>
      <c r="F307" t="inlineStr">
        <is>
          <t>Brooklyn Nets</t>
        </is>
      </c>
      <c r="G307" t="n">
        <v>128</v>
      </c>
      <c r="H307" t="n">
        <v>102</v>
      </c>
      <c r="I307" t="inlineStr">
        <is>
          <t>Chicago Bulls</t>
        </is>
      </c>
      <c r="J307" t="inlineStr">
        <is>
          <t>Brooklyn Nets</t>
        </is>
      </c>
      <c r="K307" t="inlineStr">
        <is>
          <t>Yes</t>
        </is>
      </c>
      <c r="L307" t="inlineStr"/>
      <c r="M307" t="inlineStr">
        <is>
          <t>https://fixturedownload.com/download/nba-2024-UTC.csv</t>
        </is>
      </c>
    </row>
    <row r="308">
      <c r="A308" t="n">
        <v>307</v>
      </c>
      <c r="B308" t="n">
        <v>6</v>
      </c>
      <c r="C308" t="inlineStr">
        <is>
          <t>03/12/2024 01:00</t>
        </is>
      </c>
      <c r="D308" t="inlineStr">
        <is>
          <t>Target Center</t>
        </is>
      </c>
      <c r="E308" t="inlineStr">
        <is>
          <t>Minnesota Timberwolves</t>
        </is>
      </c>
      <c r="F308" t="inlineStr">
        <is>
          <t>Los Angeles Lakers</t>
        </is>
      </c>
      <c r="G308" t="n">
        <v>109</v>
      </c>
      <c r="H308" t="n">
        <v>80</v>
      </c>
      <c r="I308" t="inlineStr">
        <is>
          <t>Minnesota Timberwolves</t>
        </is>
      </c>
      <c r="J308" t="inlineStr">
        <is>
          <t>Los Angeles Lakers</t>
        </is>
      </c>
      <c r="K308" t="inlineStr">
        <is>
          <t>Yes</t>
        </is>
      </c>
      <c r="L308" t="inlineStr"/>
      <c r="M308" t="inlineStr">
        <is>
          <t>https://fixturedownload.com/download/nba-2024-UTC.csv</t>
        </is>
      </c>
    </row>
    <row r="309">
      <c r="A309" t="n">
        <v>308</v>
      </c>
      <c r="B309" t="n">
        <v>6</v>
      </c>
      <c r="C309" t="inlineStr">
        <is>
          <t>04/12/2024 00:00</t>
        </is>
      </c>
      <c r="D309" t="inlineStr">
        <is>
          <t>Spectrum Center</t>
        </is>
      </c>
      <c r="E309" t="inlineStr">
        <is>
          <t>Charlotte Hornets</t>
        </is>
      </c>
      <c r="F309" t="inlineStr">
        <is>
          <t>Philadelphia 76ers</t>
        </is>
      </c>
      <c r="G309" t="n">
        <v>104</v>
      </c>
      <c r="H309" t="n">
        <v>110</v>
      </c>
      <c r="I309" t="inlineStr">
        <is>
          <t>Philadelphia 76ers</t>
        </is>
      </c>
      <c r="J309" t="inlineStr">
        <is>
          <t>Charlotte Hornets</t>
        </is>
      </c>
      <c r="K309" t="inlineStr">
        <is>
          <t>Yes</t>
        </is>
      </c>
      <c r="L309" t="inlineStr"/>
      <c r="M309" t="inlineStr">
        <is>
          <t>https://fixturedownload.com/download/nba-2024-UTC.csv</t>
        </is>
      </c>
    </row>
    <row r="310">
      <c r="A310" t="n">
        <v>309</v>
      </c>
      <c r="B310" t="n">
        <v>6</v>
      </c>
      <c r="C310" t="inlineStr">
        <is>
          <t>04/12/2024 00:00</t>
        </is>
      </c>
      <c r="D310" t="inlineStr">
        <is>
          <t>Rocket Arena</t>
        </is>
      </c>
      <c r="E310" t="inlineStr">
        <is>
          <t>Cleveland Cavaliers</t>
        </is>
      </c>
      <c r="F310" t="inlineStr">
        <is>
          <t>Washington Wizards</t>
        </is>
      </c>
      <c r="G310" t="n">
        <v>118</v>
      </c>
      <c r="H310" t="n">
        <v>87</v>
      </c>
      <c r="I310" t="inlineStr">
        <is>
          <t>Cleveland Cavaliers</t>
        </is>
      </c>
      <c r="J310" t="inlineStr">
        <is>
          <t>Washington Wizards</t>
        </is>
      </c>
      <c r="K310" t="inlineStr">
        <is>
          <t>Yes</t>
        </is>
      </c>
      <c r="L310" t="inlineStr"/>
      <c r="M310" t="inlineStr">
        <is>
          <t>https://fixturedownload.com/download/nba-2024-UTC.csv</t>
        </is>
      </c>
    </row>
    <row r="311">
      <c r="A311" t="n">
        <v>310</v>
      </c>
      <c r="B311" t="n">
        <v>6</v>
      </c>
      <c r="C311" t="inlineStr">
        <is>
          <t>04/12/2024 00:00</t>
        </is>
      </c>
      <c r="D311" t="inlineStr">
        <is>
          <t>Little Caesars Arena</t>
        </is>
      </c>
      <c r="E311" t="inlineStr">
        <is>
          <t>Detroit Pistons</t>
        </is>
      </c>
      <c r="F311" t="inlineStr">
        <is>
          <t>Milwaukee Bucks</t>
        </is>
      </c>
      <c r="G311" t="n">
        <v>107</v>
      </c>
      <c r="H311" t="n">
        <v>128</v>
      </c>
      <c r="I311" t="inlineStr">
        <is>
          <t>Milwaukee Bucks</t>
        </is>
      </c>
      <c r="J311" t="inlineStr">
        <is>
          <t>Detroit Pistons</t>
        </is>
      </c>
      <c r="K311" t="inlineStr">
        <is>
          <t>Yes</t>
        </is>
      </c>
      <c r="L311" t="inlineStr"/>
      <c r="M311" t="inlineStr">
        <is>
          <t>https://fixturedownload.com/download/nba-2024-UTC.csv</t>
        </is>
      </c>
    </row>
    <row r="312">
      <c r="A312" t="n">
        <v>311</v>
      </c>
      <c r="B312" t="n">
        <v>6</v>
      </c>
      <c r="C312" t="inlineStr">
        <is>
          <t>04/12/2024 00:30</t>
        </is>
      </c>
      <c r="D312" t="inlineStr">
        <is>
          <t>Madison Square Garden</t>
        </is>
      </c>
      <c r="E312" t="inlineStr">
        <is>
          <t>New York Knicks</t>
        </is>
      </c>
      <c r="F312" t="inlineStr">
        <is>
          <t>Orlando Magic</t>
        </is>
      </c>
      <c r="G312" t="n">
        <v>121</v>
      </c>
      <c r="H312" t="n">
        <v>106</v>
      </c>
      <c r="I312" t="inlineStr">
        <is>
          <t>New York Knicks</t>
        </is>
      </c>
      <c r="J312" t="inlineStr">
        <is>
          <t>Orlando Magic</t>
        </is>
      </c>
      <c r="K312" t="inlineStr">
        <is>
          <t>Yes</t>
        </is>
      </c>
      <c r="L312" t="inlineStr"/>
      <c r="M312" t="inlineStr">
        <is>
          <t>https://fixturedownload.com/download/nba-2024-UTC.csv</t>
        </is>
      </c>
    </row>
    <row r="313">
      <c r="A313" t="n">
        <v>312</v>
      </c>
      <c r="B313" t="n">
        <v>6</v>
      </c>
      <c r="C313" t="inlineStr">
        <is>
          <t>04/12/2024 00:30</t>
        </is>
      </c>
      <c r="D313" t="inlineStr">
        <is>
          <t>Scotiabank Arena</t>
        </is>
      </c>
      <c r="E313" t="inlineStr">
        <is>
          <t>Toronto Raptors</t>
        </is>
      </c>
      <c r="F313" t="inlineStr">
        <is>
          <t>Indiana Pacers</t>
        </is>
      </c>
      <c r="G313" t="n">
        <v>122</v>
      </c>
      <c r="H313" t="n">
        <v>111</v>
      </c>
      <c r="I313" t="inlineStr">
        <is>
          <t>Toronto Raptors</t>
        </is>
      </c>
      <c r="J313" t="inlineStr">
        <is>
          <t>Indiana Pacers</t>
        </is>
      </c>
      <c r="K313" t="inlineStr">
        <is>
          <t>Yes</t>
        </is>
      </c>
      <c r="L313" t="inlineStr"/>
      <c r="M313" t="inlineStr">
        <is>
          <t>https://fixturedownload.com/download/nba-2024-UTC.csv</t>
        </is>
      </c>
    </row>
    <row r="314">
      <c r="A314" t="n">
        <v>313</v>
      </c>
      <c r="B314" t="n">
        <v>6</v>
      </c>
      <c r="C314" t="inlineStr">
        <is>
          <t>04/12/2024 01:00</t>
        </is>
      </c>
      <c r="D314" t="inlineStr">
        <is>
          <t>Paycom Center</t>
        </is>
      </c>
      <c r="E314" t="inlineStr">
        <is>
          <t>Oklahoma City Thunder</t>
        </is>
      </c>
      <c r="F314" t="inlineStr">
        <is>
          <t>Utah Jazz</t>
        </is>
      </c>
      <c r="G314" t="n">
        <v>133</v>
      </c>
      <c r="H314" t="n">
        <v>106</v>
      </c>
      <c r="I314" t="inlineStr">
        <is>
          <t>Oklahoma City Thunder</t>
        </is>
      </c>
      <c r="J314" t="inlineStr">
        <is>
          <t>Utah Jazz</t>
        </is>
      </c>
      <c r="K314" t="inlineStr">
        <is>
          <t>Yes</t>
        </is>
      </c>
      <c r="L314" t="inlineStr"/>
      <c r="M314" t="inlineStr">
        <is>
          <t>https://fixturedownload.com/download/nba-2024-UTC.csv</t>
        </is>
      </c>
    </row>
    <row r="315">
      <c r="A315" t="n">
        <v>314</v>
      </c>
      <c r="B315" t="n">
        <v>6</v>
      </c>
      <c r="C315" t="inlineStr">
        <is>
          <t>04/12/2024 01:30</t>
        </is>
      </c>
      <c r="D315" t="inlineStr">
        <is>
          <t>American Airlines Center</t>
        </is>
      </c>
      <c r="E315" t="inlineStr">
        <is>
          <t>Dallas Mavericks</t>
        </is>
      </c>
      <c r="F315" t="inlineStr">
        <is>
          <t>Memphis Grizzlies</t>
        </is>
      </c>
      <c r="G315" t="n">
        <v>121</v>
      </c>
      <c r="H315" t="n">
        <v>116</v>
      </c>
      <c r="I315" t="inlineStr">
        <is>
          <t>Dallas Mavericks</t>
        </is>
      </c>
      <c r="J315" t="inlineStr">
        <is>
          <t>Memphis Grizzlies</t>
        </is>
      </c>
      <c r="K315" t="inlineStr">
        <is>
          <t>Yes</t>
        </is>
      </c>
      <c r="L315" t="inlineStr"/>
      <c r="M315" t="inlineStr">
        <is>
          <t>https://fixturedownload.com/download/nba-2024-UTC.csv</t>
        </is>
      </c>
    </row>
    <row r="316">
      <c r="A316" t="n">
        <v>315</v>
      </c>
      <c r="B316" t="n">
        <v>6</v>
      </c>
      <c r="C316" t="inlineStr">
        <is>
          <t>04/12/2024 02:00</t>
        </is>
      </c>
      <c r="D316" t="inlineStr">
        <is>
          <t>PHX Arena</t>
        </is>
      </c>
      <c r="E316" t="inlineStr">
        <is>
          <t>Phoenix Suns</t>
        </is>
      </c>
      <c r="F316" t="inlineStr">
        <is>
          <t>San Antonio Spurs</t>
        </is>
      </c>
      <c r="G316" t="n">
        <v>104</v>
      </c>
      <c r="H316" t="n">
        <v>93</v>
      </c>
      <c r="I316" t="inlineStr">
        <is>
          <t>Phoenix Suns</t>
        </is>
      </c>
      <c r="J316" t="inlineStr">
        <is>
          <t>San Antonio Spurs</t>
        </is>
      </c>
      <c r="K316" t="inlineStr">
        <is>
          <t>Yes</t>
        </is>
      </c>
      <c r="L316" t="inlineStr"/>
      <c r="M316" t="inlineStr">
        <is>
          <t>https://fixturedownload.com/download/nba-2024-UTC.csv</t>
        </is>
      </c>
    </row>
    <row r="317">
      <c r="A317" t="n">
        <v>316</v>
      </c>
      <c r="B317" t="n">
        <v>6</v>
      </c>
      <c r="C317" t="inlineStr">
        <is>
          <t>04/12/2024 03:00</t>
        </is>
      </c>
      <c r="D317" t="inlineStr">
        <is>
          <t>Ball Arena</t>
        </is>
      </c>
      <c r="E317" t="inlineStr">
        <is>
          <t>Denver Nuggets</t>
        </is>
      </c>
      <c r="F317" t="inlineStr">
        <is>
          <t>Golden State Warriors</t>
        </is>
      </c>
      <c r="G317" t="n">
        <v>119</v>
      </c>
      <c r="H317" t="n">
        <v>115</v>
      </c>
      <c r="I317" t="inlineStr">
        <is>
          <t>Denver Nuggets</t>
        </is>
      </c>
      <c r="J317" t="inlineStr">
        <is>
          <t>Golden State Warriors</t>
        </is>
      </c>
      <c r="K317" t="inlineStr">
        <is>
          <t>Yes</t>
        </is>
      </c>
      <c r="L317" t="inlineStr"/>
      <c r="M317" t="inlineStr">
        <is>
          <t>https://fixturedownload.com/download/nba-2024-UTC.csv</t>
        </is>
      </c>
    </row>
    <row r="318">
      <c r="A318" t="n">
        <v>317</v>
      </c>
      <c r="B318" t="n">
        <v>6</v>
      </c>
      <c r="C318" t="inlineStr">
        <is>
          <t>04/12/2024 03:00</t>
        </is>
      </c>
      <c r="D318" t="inlineStr">
        <is>
          <t>Golden 1 Center</t>
        </is>
      </c>
      <c r="E318" t="inlineStr">
        <is>
          <t>Sacramento Kings</t>
        </is>
      </c>
      <c r="F318" t="inlineStr">
        <is>
          <t>Houston Rockets</t>
        </is>
      </c>
      <c r="G318" t="n">
        <v>120</v>
      </c>
      <c r="H318" t="n">
        <v>111</v>
      </c>
      <c r="I318" t="inlineStr">
        <is>
          <t>Sacramento Kings</t>
        </is>
      </c>
      <c r="J318" t="inlineStr">
        <is>
          <t>Houston Rockets</t>
        </is>
      </c>
      <c r="K318" t="inlineStr">
        <is>
          <t>Yes</t>
        </is>
      </c>
      <c r="L318" t="inlineStr"/>
      <c r="M318" t="inlineStr">
        <is>
          <t>https://fixturedownload.com/download/nba-2024-UTC.csv</t>
        </is>
      </c>
    </row>
    <row r="319">
      <c r="A319" t="n">
        <v>318</v>
      </c>
      <c r="B319" t="n">
        <v>6</v>
      </c>
      <c r="C319" t="inlineStr">
        <is>
          <t>04/12/2024 03:30</t>
        </is>
      </c>
      <c r="D319" t="inlineStr">
        <is>
          <t>Intuit Dome</t>
        </is>
      </c>
      <c r="E319" t="inlineStr">
        <is>
          <t>LA Clippers</t>
        </is>
      </c>
      <c r="F319" t="inlineStr">
        <is>
          <t>Portland Trail Blazers</t>
        </is>
      </c>
      <c r="G319" t="n">
        <v>127</v>
      </c>
      <c r="H319" t="n">
        <v>105</v>
      </c>
      <c r="I319" t="inlineStr">
        <is>
          <t>LA Clippers</t>
        </is>
      </c>
      <c r="J319" t="inlineStr">
        <is>
          <t>Portland Trail Blazers</t>
        </is>
      </c>
      <c r="K319" t="inlineStr">
        <is>
          <t>Yes</t>
        </is>
      </c>
      <c r="L319" t="inlineStr"/>
      <c r="M319" t="inlineStr">
        <is>
          <t>https://fixturedownload.com/download/nba-2024-UTC.csv</t>
        </is>
      </c>
    </row>
    <row r="320">
      <c r="A320" t="n">
        <v>319</v>
      </c>
      <c r="B320" t="n">
        <v>7</v>
      </c>
      <c r="C320" t="inlineStr">
        <is>
          <t>05/12/2024 00:30</t>
        </is>
      </c>
      <c r="D320" t="inlineStr">
        <is>
          <t>TD Garden</t>
        </is>
      </c>
      <c r="E320" t="inlineStr">
        <is>
          <t>Boston Celtics</t>
        </is>
      </c>
      <c r="F320" t="inlineStr">
        <is>
          <t>Detroit Pistons</t>
        </is>
      </c>
      <c r="G320" t="n">
        <v>130</v>
      </c>
      <c r="H320" t="n">
        <v>120</v>
      </c>
      <c r="I320" t="inlineStr">
        <is>
          <t>Boston Celtics</t>
        </is>
      </c>
      <c r="J320" t="inlineStr">
        <is>
          <t>Detroit Pistons</t>
        </is>
      </c>
      <c r="K320" t="inlineStr">
        <is>
          <t>Yes</t>
        </is>
      </c>
      <c r="L320" t="inlineStr"/>
      <c r="M320" t="inlineStr">
        <is>
          <t>https://fixturedownload.com/download/nba-2024-UTC.csv</t>
        </is>
      </c>
    </row>
    <row r="321">
      <c r="A321" t="n">
        <v>320</v>
      </c>
      <c r="B321" t="n">
        <v>7</v>
      </c>
      <c r="C321" t="inlineStr">
        <is>
          <t>05/12/2024 00:30</t>
        </is>
      </c>
      <c r="D321" t="inlineStr">
        <is>
          <t>Barclays Center</t>
        </is>
      </c>
      <c r="E321" t="inlineStr">
        <is>
          <t>Brooklyn Nets</t>
        </is>
      </c>
      <c r="F321" t="inlineStr">
        <is>
          <t>Indiana Pacers</t>
        </is>
      </c>
      <c r="G321" t="n">
        <v>99</v>
      </c>
      <c r="H321" t="n">
        <v>90</v>
      </c>
      <c r="I321" t="inlineStr">
        <is>
          <t>Brooklyn Nets</t>
        </is>
      </c>
      <c r="J321" t="inlineStr">
        <is>
          <t>Indiana Pacers</t>
        </is>
      </c>
      <c r="K321" t="inlineStr">
        <is>
          <t>Yes</t>
        </is>
      </c>
      <c r="L321" t="inlineStr"/>
      <c r="M321" t="inlineStr">
        <is>
          <t>https://fixturedownload.com/download/nba-2024-UTC.csv</t>
        </is>
      </c>
    </row>
    <row r="322">
      <c r="A322" t="n">
        <v>321</v>
      </c>
      <c r="B322" t="n">
        <v>7</v>
      </c>
      <c r="C322" t="inlineStr">
        <is>
          <t>05/12/2024 00:30</t>
        </is>
      </c>
      <c r="D322" t="inlineStr">
        <is>
          <t>Kaseya Center</t>
        </is>
      </c>
      <c r="E322" t="inlineStr">
        <is>
          <t>Miami Heat</t>
        </is>
      </c>
      <c r="F322" t="inlineStr">
        <is>
          <t>Los Angeles Lakers</t>
        </is>
      </c>
      <c r="G322" t="n">
        <v>134</v>
      </c>
      <c r="H322" t="n">
        <v>93</v>
      </c>
      <c r="I322" t="inlineStr">
        <is>
          <t>Miami Heat</t>
        </is>
      </c>
      <c r="J322" t="inlineStr">
        <is>
          <t>Los Angeles Lakers</t>
        </is>
      </c>
      <c r="K322" t="inlineStr">
        <is>
          <t>Yes</t>
        </is>
      </c>
      <c r="L322" t="inlineStr"/>
      <c r="M322" t="inlineStr">
        <is>
          <t>https://fixturedownload.com/download/nba-2024-UTC.csv</t>
        </is>
      </c>
    </row>
    <row r="323">
      <c r="A323" t="n">
        <v>322</v>
      </c>
      <c r="B323" t="n">
        <v>7</v>
      </c>
      <c r="C323" t="inlineStr">
        <is>
          <t>05/12/2024 00:30</t>
        </is>
      </c>
      <c r="D323" t="inlineStr">
        <is>
          <t>Wells Fargo Center</t>
        </is>
      </c>
      <c r="E323" t="inlineStr">
        <is>
          <t>Philadelphia 76ers</t>
        </is>
      </c>
      <c r="F323" t="inlineStr">
        <is>
          <t>Orlando Magic</t>
        </is>
      </c>
      <c r="G323" t="n">
        <v>102</v>
      </c>
      <c r="H323" t="n">
        <v>106</v>
      </c>
      <c r="I323" t="inlineStr">
        <is>
          <t>Orlando Magic</t>
        </is>
      </c>
      <c r="J323" t="inlineStr">
        <is>
          <t>Philadelphia 76ers</t>
        </is>
      </c>
      <c r="K323" t="inlineStr">
        <is>
          <t>Yes</t>
        </is>
      </c>
      <c r="L323" t="inlineStr"/>
      <c r="M323" t="inlineStr">
        <is>
          <t>https://fixturedownload.com/download/nba-2024-UTC.csv</t>
        </is>
      </c>
    </row>
    <row r="324">
      <c r="A324" t="n">
        <v>323</v>
      </c>
      <c r="B324" t="n">
        <v>7</v>
      </c>
      <c r="C324" t="inlineStr">
        <is>
          <t>05/12/2024 01:00</t>
        </is>
      </c>
      <c r="D324" t="inlineStr">
        <is>
          <t>Fiserv Forum</t>
        </is>
      </c>
      <c r="E324" t="inlineStr">
        <is>
          <t>Milwaukee Bucks</t>
        </is>
      </c>
      <c r="F324" t="inlineStr">
        <is>
          <t>Atlanta Hawks</t>
        </is>
      </c>
      <c r="G324" t="n">
        <v>104</v>
      </c>
      <c r="H324" t="n">
        <v>119</v>
      </c>
      <c r="I324" t="inlineStr">
        <is>
          <t>Atlanta Hawks</t>
        </is>
      </c>
      <c r="J324" t="inlineStr">
        <is>
          <t>Milwaukee Bucks</t>
        </is>
      </c>
      <c r="K324" t="inlineStr">
        <is>
          <t>Yes</t>
        </is>
      </c>
      <c r="L324" t="inlineStr"/>
      <c r="M324" t="inlineStr">
        <is>
          <t>https://fixturedownload.com/download/nba-2024-UTC.csv</t>
        </is>
      </c>
    </row>
    <row r="325">
      <c r="A325" t="n">
        <v>324</v>
      </c>
      <c r="B325" t="n">
        <v>7</v>
      </c>
      <c r="C325" t="inlineStr">
        <is>
          <t>05/12/2024 03:30</t>
        </is>
      </c>
      <c r="D325" t="inlineStr">
        <is>
          <t>Intuit Dome</t>
        </is>
      </c>
      <c r="E325" t="inlineStr">
        <is>
          <t>LA Clippers</t>
        </is>
      </c>
      <c r="F325" t="inlineStr">
        <is>
          <t>Minnesota Timberwolves</t>
        </is>
      </c>
      <c r="G325" t="n">
        <v>80</v>
      </c>
      <c r="H325" t="n">
        <v>108</v>
      </c>
      <c r="I325" t="inlineStr">
        <is>
          <t>Minnesota Timberwolves</t>
        </is>
      </c>
      <c r="J325" t="inlineStr">
        <is>
          <t>LA Clippers</t>
        </is>
      </c>
      <c r="K325" t="inlineStr">
        <is>
          <t>Yes</t>
        </is>
      </c>
      <c r="L325" t="inlineStr"/>
      <c r="M325" t="inlineStr">
        <is>
          <t>https://fixturedownload.com/download/nba-2024-UTC.csv</t>
        </is>
      </c>
    </row>
    <row r="326">
      <c r="A326" t="n">
        <v>325</v>
      </c>
      <c r="B326" t="n">
        <v>7</v>
      </c>
      <c r="C326" t="inlineStr">
        <is>
          <t>06/12/2024 00:00</t>
        </is>
      </c>
      <c r="D326" t="inlineStr">
        <is>
          <t>Rocket Arena</t>
        </is>
      </c>
      <c r="E326" t="inlineStr">
        <is>
          <t>Cleveland Cavaliers</t>
        </is>
      </c>
      <c r="F326" t="inlineStr">
        <is>
          <t>Denver Nuggets</t>
        </is>
      </c>
      <c r="G326" t="n">
        <v>126</v>
      </c>
      <c r="H326" t="n">
        <v>114</v>
      </c>
      <c r="I326" t="inlineStr">
        <is>
          <t>Cleveland Cavaliers</t>
        </is>
      </c>
      <c r="J326" t="inlineStr">
        <is>
          <t>Denver Nuggets</t>
        </is>
      </c>
      <c r="K326" t="inlineStr">
        <is>
          <t>Yes</t>
        </is>
      </c>
      <c r="L326" t="inlineStr"/>
      <c r="M326" t="inlineStr">
        <is>
          <t>https://fixturedownload.com/download/nba-2024-UTC.csv</t>
        </is>
      </c>
    </row>
    <row r="327">
      <c r="A327" t="n">
        <v>326</v>
      </c>
      <c r="B327" t="n">
        <v>7</v>
      </c>
      <c r="C327" t="inlineStr">
        <is>
          <t>06/12/2024 00:00</t>
        </is>
      </c>
      <c r="D327" t="inlineStr">
        <is>
          <t>Capital One Arena</t>
        </is>
      </c>
      <c r="E327" t="inlineStr">
        <is>
          <t>Washington Wizards</t>
        </is>
      </c>
      <c r="F327" t="inlineStr">
        <is>
          <t>Dallas Mavericks</t>
        </is>
      </c>
      <c r="G327" t="n">
        <v>101</v>
      </c>
      <c r="H327" t="n">
        <v>137</v>
      </c>
      <c r="I327" t="inlineStr">
        <is>
          <t>Dallas Mavericks</t>
        </is>
      </c>
      <c r="J327" t="inlineStr">
        <is>
          <t>Washington Wizards</t>
        </is>
      </c>
      <c r="K327" t="inlineStr">
        <is>
          <t>Yes</t>
        </is>
      </c>
      <c r="L327" t="inlineStr"/>
      <c r="M327" t="inlineStr">
        <is>
          <t>https://fixturedownload.com/download/nba-2024-UTC.csv</t>
        </is>
      </c>
    </row>
    <row r="328">
      <c r="A328" t="n">
        <v>327</v>
      </c>
      <c r="B328" t="n">
        <v>7</v>
      </c>
      <c r="C328" t="inlineStr">
        <is>
          <t>06/12/2024 00:30</t>
        </is>
      </c>
      <c r="D328" t="inlineStr">
        <is>
          <t>Madison Square Garden</t>
        </is>
      </c>
      <c r="E328" t="inlineStr">
        <is>
          <t>New York Knicks</t>
        </is>
      </c>
      <c r="F328" t="inlineStr">
        <is>
          <t>Charlotte Hornets</t>
        </is>
      </c>
      <c r="G328" t="n">
        <v>125</v>
      </c>
      <c r="H328" t="n">
        <v>101</v>
      </c>
      <c r="I328" t="inlineStr">
        <is>
          <t>New York Knicks</t>
        </is>
      </c>
      <c r="J328" t="inlineStr">
        <is>
          <t>Charlotte Hornets</t>
        </is>
      </c>
      <c r="K328" t="inlineStr">
        <is>
          <t>Yes</t>
        </is>
      </c>
      <c r="L328" t="inlineStr"/>
      <c r="M328" t="inlineStr">
        <is>
          <t>https://fixturedownload.com/download/nba-2024-UTC.csv</t>
        </is>
      </c>
    </row>
    <row r="329">
      <c r="A329" t="n">
        <v>328</v>
      </c>
      <c r="B329" t="n">
        <v>7</v>
      </c>
      <c r="C329" t="inlineStr">
        <is>
          <t>06/12/2024 00:30</t>
        </is>
      </c>
      <c r="D329" t="inlineStr">
        <is>
          <t>Scotiabank Arena</t>
        </is>
      </c>
      <c r="E329" t="inlineStr">
        <is>
          <t>Toronto Raptors</t>
        </is>
      </c>
      <c r="F329" t="inlineStr">
        <is>
          <t>Oklahoma City Thunder</t>
        </is>
      </c>
      <c r="G329" t="n">
        <v>92</v>
      </c>
      <c r="H329" t="n">
        <v>129</v>
      </c>
      <c r="I329" t="inlineStr">
        <is>
          <t>Oklahoma City Thunder</t>
        </is>
      </c>
      <c r="J329" t="inlineStr">
        <is>
          <t>Toronto Raptors</t>
        </is>
      </c>
      <c r="K329" t="inlineStr">
        <is>
          <t>Yes</t>
        </is>
      </c>
      <c r="L329" t="inlineStr"/>
      <c r="M329" t="inlineStr">
        <is>
          <t>https://fixturedownload.com/download/nba-2024-UTC.csv</t>
        </is>
      </c>
    </row>
    <row r="330">
      <c r="A330" t="n">
        <v>329</v>
      </c>
      <c r="B330" t="n">
        <v>7</v>
      </c>
      <c r="C330" t="inlineStr">
        <is>
          <t>06/12/2024 01:00</t>
        </is>
      </c>
      <c r="D330" t="inlineStr">
        <is>
          <t>FedExForum</t>
        </is>
      </c>
      <c r="E330" t="inlineStr">
        <is>
          <t>Memphis Grizzlies</t>
        </is>
      </c>
      <c r="F330" t="inlineStr">
        <is>
          <t>Sacramento Kings</t>
        </is>
      </c>
      <c r="G330" t="n">
        <v>115</v>
      </c>
      <c r="H330" t="n">
        <v>110</v>
      </c>
      <c r="I330" t="inlineStr">
        <is>
          <t>Memphis Grizzlies</t>
        </is>
      </c>
      <c r="J330" t="inlineStr">
        <is>
          <t>Sacramento Kings</t>
        </is>
      </c>
      <c r="K330" t="inlineStr">
        <is>
          <t>Yes</t>
        </is>
      </c>
      <c r="L330" t="inlineStr"/>
      <c r="M330" t="inlineStr">
        <is>
          <t>https://fixturedownload.com/download/nba-2024-UTC.csv</t>
        </is>
      </c>
    </row>
    <row r="331">
      <c r="A331" t="n">
        <v>330</v>
      </c>
      <c r="B331" t="n">
        <v>7</v>
      </c>
      <c r="C331" t="inlineStr">
        <is>
          <t>06/12/2024 01:00</t>
        </is>
      </c>
      <c r="D331" t="inlineStr">
        <is>
          <t>Smoothie King Center</t>
        </is>
      </c>
      <c r="E331" t="inlineStr">
        <is>
          <t>New Orleans Pelicans</t>
        </is>
      </c>
      <c r="F331" t="inlineStr">
        <is>
          <t>Phoenix Suns</t>
        </is>
      </c>
      <c r="G331" t="n">
        <v>126</v>
      </c>
      <c r="H331" t="n">
        <v>124</v>
      </c>
      <c r="I331" t="inlineStr">
        <is>
          <t>New Orleans Pelicans</t>
        </is>
      </c>
      <c r="J331" t="inlineStr">
        <is>
          <t>Phoenix Suns</t>
        </is>
      </c>
      <c r="K331" t="inlineStr">
        <is>
          <t>Yes</t>
        </is>
      </c>
      <c r="L331" t="inlineStr"/>
      <c r="M331" t="inlineStr">
        <is>
          <t>https://fixturedownload.com/download/nba-2024-UTC.csv</t>
        </is>
      </c>
    </row>
    <row r="332">
      <c r="A332" t="n">
        <v>331</v>
      </c>
      <c r="B332" t="n">
        <v>7</v>
      </c>
      <c r="C332" t="inlineStr">
        <is>
          <t>06/12/2024 01:00</t>
        </is>
      </c>
      <c r="D332" t="inlineStr">
        <is>
          <t>Frost Bank Center</t>
        </is>
      </c>
      <c r="E332" t="inlineStr">
        <is>
          <t>San Antonio Spurs</t>
        </is>
      </c>
      <c r="F332" t="inlineStr">
        <is>
          <t>Chicago Bulls</t>
        </is>
      </c>
      <c r="G332" t="n">
        <v>124</v>
      </c>
      <c r="H332" t="n">
        <v>139</v>
      </c>
      <c r="I332" t="inlineStr">
        <is>
          <t>Chicago Bulls</t>
        </is>
      </c>
      <c r="J332" t="inlineStr">
        <is>
          <t>San Antonio Spurs</t>
        </is>
      </c>
      <c r="K332" t="inlineStr">
        <is>
          <t>Yes</t>
        </is>
      </c>
      <c r="L332" t="inlineStr"/>
      <c r="M332" t="inlineStr">
        <is>
          <t>https://fixturedownload.com/download/nba-2024-UTC.csv</t>
        </is>
      </c>
    </row>
    <row r="333">
      <c r="A333" t="n">
        <v>332</v>
      </c>
      <c r="B333" t="n">
        <v>7</v>
      </c>
      <c r="C333" t="inlineStr">
        <is>
          <t>06/12/2024 03:00</t>
        </is>
      </c>
      <c r="D333" t="inlineStr">
        <is>
          <t>Chase Center</t>
        </is>
      </c>
      <c r="E333" t="inlineStr">
        <is>
          <t>Golden State Warriors</t>
        </is>
      </c>
      <c r="F333" t="inlineStr">
        <is>
          <t>Houston Rockets</t>
        </is>
      </c>
      <c r="G333" t="n">
        <v>99</v>
      </c>
      <c r="H333" t="n">
        <v>93</v>
      </c>
      <c r="I333" t="inlineStr">
        <is>
          <t>Golden State Warriors</t>
        </is>
      </c>
      <c r="J333" t="inlineStr">
        <is>
          <t>Houston Rockets</t>
        </is>
      </c>
      <c r="K333" t="inlineStr">
        <is>
          <t>Yes</t>
        </is>
      </c>
      <c r="L333" t="inlineStr"/>
      <c r="M333" t="inlineStr">
        <is>
          <t>https://fixturedownload.com/download/nba-2024-UTC.csv</t>
        </is>
      </c>
    </row>
    <row r="334">
      <c r="A334" t="n">
        <v>333</v>
      </c>
      <c r="B334" t="n">
        <v>7</v>
      </c>
      <c r="C334" t="inlineStr">
        <is>
          <t>07/12/2024 00:00</t>
        </is>
      </c>
      <c r="D334" t="inlineStr">
        <is>
          <t>Wells Fargo Center</t>
        </is>
      </c>
      <c r="E334" t="inlineStr">
        <is>
          <t>Philadelphia 76ers</t>
        </is>
      </c>
      <c r="F334" t="inlineStr">
        <is>
          <t>Orlando Magic</t>
        </is>
      </c>
      <c r="G334" t="n">
        <v>102</v>
      </c>
      <c r="H334" t="n">
        <v>94</v>
      </c>
      <c r="I334" t="inlineStr">
        <is>
          <t>Philadelphia 76ers</t>
        </is>
      </c>
      <c r="J334" t="inlineStr">
        <is>
          <t>Orlando Magic</t>
        </is>
      </c>
      <c r="K334" t="inlineStr">
        <is>
          <t>Yes</t>
        </is>
      </c>
      <c r="L334" t="inlineStr"/>
      <c r="M334" t="inlineStr">
        <is>
          <t>https://fixturedownload.com/download/nba-2024-UTC.csv</t>
        </is>
      </c>
    </row>
    <row r="335">
      <c r="A335" t="n">
        <v>334</v>
      </c>
      <c r="B335" t="n">
        <v>7</v>
      </c>
      <c r="C335" t="inlineStr">
        <is>
          <t>07/12/2024 00:30</t>
        </is>
      </c>
      <c r="D335" t="inlineStr">
        <is>
          <t>State Farm Arena</t>
        </is>
      </c>
      <c r="E335" t="inlineStr">
        <is>
          <t>Atlanta Hawks</t>
        </is>
      </c>
      <c r="F335" t="inlineStr">
        <is>
          <t>Los Angeles Lakers</t>
        </is>
      </c>
      <c r="G335" t="n">
        <v>134</v>
      </c>
      <c r="H335" t="n">
        <v>132</v>
      </c>
      <c r="I335" t="inlineStr">
        <is>
          <t>Atlanta Hawks</t>
        </is>
      </c>
      <c r="J335" t="inlineStr">
        <is>
          <t>Los Angeles Lakers</t>
        </is>
      </c>
      <c r="K335" t="inlineStr">
        <is>
          <t>Yes</t>
        </is>
      </c>
      <c r="L335" t="inlineStr"/>
      <c r="M335" t="inlineStr">
        <is>
          <t>https://fixturedownload.com/download/nba-2024-UTC.csv</t>
        </is>
      </c>
    </row>
    <row r="336">
      <c r="A336" t="n">
        <v>335</v>
      </c>
      <c r="B336" t="n">
        <v>7</v>
      </c>
      <c r="C336" t="inlineStr">
        <is>
          <t>07/12/2024 00:30</t>
        </is>
      </c>
      <c r="D336" t="inlineStr">
        <is>
          <t>TD Garden</t>
        </is>
      </c>
      <c r="E336" t="inlineStr">
        <is>
          <t>Boston Celtics</t>
        </is>
      </c>
      <c r="F336" t="inlineStr">
        <is>
          <t>Milwaukee Bucks</t>
        </is>
      </c>
      <c r="G336" t="n">
        <v>111</v>
      </c>
      <c r="H336" t="n">
        <v>105</v>
      </c>
      <c r="I336" t="inlineStr">
        <is>
          <t>Boston Celtics</t>
        </is>
      </c>
      <c r="J336" t="inlineStr">
        <is>
          <t>Milwaukee Bucks</t>
        </is>
      </c>
      <c r="K336" t="inlineStr">
        <is>
          <t>Yes</t>
        </is>
      </c>
      <c r="L336" t="inlineStr"/>
      <c r="M336" t="inlineStr">
        <is>
          <t>https://fixturedownload.com/download/nba-2024-UTC.csv</t>
        </is>
      </c>
    </row>
    <row r="337">
      <c r="A337" t="n">
        <v>336</v>
      </c>
      <c r="B337" t="n">
        <v>7</v>
      </c>
      <c r="C337" t="inlineStr">
        <is>
          <t>07/12/2024 01:00</t>
        </is>
      </c>
      <c r="D337" t="inlineStr">
        <is>
          <t>United Center</t>
        </is>
      </c>
      <c r="E337" t="inlineStr">
        <is>
          <t>Chicago Bulls</t>
        </is>
      </c>
      <c r="F337" t="inlineStr">
        <is>
          <t>Indiana Pacers</t>
        </is>
      </c>
      <c r="G337" t="n">
        <v>123</v>
      </c>
      <c r="H337" t="n">
        <v>132</v>
      </c>
      <c r="I337" t="inlineStr">
        <is>
          <t>Indiana Pacers</t>
        </is>
      </c>
      <c r="J337" t="inlineStr">
        <is>
          <t>Chicago Bulls</t>
        </is>
      </c>
      <c r="K337" t="inlineStr">
        <is>
          <t>Yes</t>
        </is>
      </c>
      <c r="L337" t="inlineStr"/>
      <c r="M337" t="inlineStr">
        <is>
          <t>https://fixturedownload.com/download/nba-2024-UTC.csv</t>
        </is>
      </c>
    </row>
    <row r="338">
      <c r="A338" t="n">
        <v>337</v>
      </c>
      <c r="B338" t="n">
        <v>7</v>
      </c>
      <c r="C338" t="inlineStr">
        <is>
          <t>07/12/2024 01:00</t>
        </is>
      </c>
      <c r="D338" t="inlineStr">
        <is>
          <t>Frost Bank Center</t>
        </is>
      </c>
      <c r="E338" t="inlineStr">
        <is>
          <t>San Antonio Spurs</t>
        </is>
      </c>
      <c r="F338" t="inlineStr">
        <is>
          <t>Sacramento Kings</t>
        </is>
      </c>
      <c r="G338" t="n">
        <v>113</v>
      </c>
      <c r="H338" t="n">
        <v>140</v>
      </c>
      <c r="I338" t="inlineStr">
        <is>
          <t>Sacramento Kings</t>
        </is>
      </c>
      <c r="J338" t="inlineStr">
        <is>
          <t>San Antonio Spurs</t>
        </is>
      </c>
      <c r="K338" t="inlineStr">
        <is>
          <t>Yes</t>
        </is>
      </c>
      <c r="L338" t="inlineStr"/>
      <c r="M338" t="inlineStr">
        <is>
          <t>https://fixturedownload.com/download/nba-2024-UTC.csv</t>
        </is>
      </c>
    </row>
    <row r="339">
      <c r="A339" t="n">
        <v>338</v>
      </c>
      <c r="B339" t="n">
        <v>7</v>
      </c>
      <c r="C339" t="inlineStr">
        <is>
          <t>07/12/2024 03:00</t>
        </is>
      </c>
      <c r="D339" t="inlineStr">
        <is>
          <t>Chase Center</t>
        </is>
      </c>
      <c r="E339" t="inlineStr">
        <is>
          <t>Golden State Warriors</t>
        </is>
      </c>
      <c r="F339" t="inlineStr">
        <is>
          <t>Minnesota Timberwolves</t>
        </is>
      </c>
      <c r="G339" t="n">
        <v>90</v>
      </c>
      <c r="H339" t="n">
        <v>107</v>
      </c>
      <c r="I339" t="inlineStr">
        <is>
          <t>Minnesota Timberwolves</t>
        </is>
      </c>
      <c r="J339" t="inlineStr">
        <is>
          <t>Golden State Warriors</t>
        </is>
      </c>
      <c r="K339" t="inlineStr">
        <is>
          <t>Yes</t>
        </is>
      </c>
      <c r="L339" t="inlineStr"/>
      <c r="M339" t="inlineStr">
        <is>
          <t>https://fixturedownload.com/download/nba-2024-UTC.csv</t>
        </is>
      </c>
    </row>
    <row r="340">
      <c r="A340" t="n">
        <v>339</v>
      </c>
      <c r="B340" t="n">
        <v>7</v>
      </c>
      <c r="C340" t="inlineStr">
        <is>
          <t>07/12/2024 03:00</t>
        </is>
      </c>
      <c r="D340" t="inlineStr">
        <is>
          <t>Moda Center</t>
        </is>
      </c>
      <c r="E340" t="inlineStr">
        <is>
          <t>Portland Trail Blazers</t>
        </is>
      </c>
      <c r="F340" t="inlineStr">
        <is>
          <t>Utah Jazz</t>
        </is>
      </c>
      <c r="G340" t="n">
        <v>99</v>
      </c>
      <c r="H340" t="n">
        <v>141</v>
      </c>
      <c r="I340" t="inlineStr">
        <is>
          <t>Utah Jazz</t>
        </is>
      </c>
      <c r="J340" t="inlineStr">
        <is>
          <t>Portland Trail Blazers</t>
        </is>
      </c>
      <c r="K340" t="inlineStr">
        <is>
          <t>Yes</t>
        </is>
      </c>
      <c r="L340" t="inlineStr"/>
      <c r="M340" t="inlineStr">
        <is>
          <t>https://fixturedownload.com/download/nba-2024-UTC.csv</t>
        </is>
      </c>
    </row>
    <row r="341">
      <c r="A341" t="n">
        <v>340</v>
      </c>
      <c r="B341" t="n">
        <v>7</v>
      </c>
      <c r="C341" t="inlineStr">
        <is>
          <t>07/12/2024 18:00</t>
        </is>
      </c>
      <c r="D341" t="inlineStr">
        <is>
          <t>Spectrum Center</t>
        </is>
      </c>
      <c r="E341" t="inlineStr">
        <is>
          <t>Charlotte Hornets</t>
        </is>
      </c>
      <c r="F341" t="inlineStr">
        <is>
          <t>Cleveland Cavaliers</t>
        </is>
      </c>
      <c r="G341" t="n">
        <v>102</v>
      </c>
      <c r="H341" t="n">
        <v>116</v>
      </c>
      <c r="I341" t="inlineStr">
        <is>
          <t>Cleveland Cavaliers</t>
        </is>
      </c>
      <c r="J341" t="inlineStr">
        <is>
          <t>Charlotte Hornets</t>
        </is>
      </c>
      <c r="K341" t="inlineStr">
        <is>
          <t>Yes</t>
        </is>
      </c>
      <c r="L341" t="inlineStr"/>
      <c r="M341" t="inlineStr">
        <is>
          <t>https://fixturedownload.com/download/nba-2024-UTC.csv</t>
        </is>
      </c>
    </row>
    <row r="342">
      <c r="A342" t="n">
        <v>341</v>
      </c>
      <c r="B342" t="n">
        <v>7</v>
      </c>
      <c r="C342" t="inlineStr">
        <is>
          <t>08/12/2024 00:00</t>
        </is>
      </c>
      <c r="D342" t="inlineStr">
        <is>
          <t>Capital One Arena</t>
        </is>
      </c>
      <c r="E342" t="inlineStr">
        <is>
          <t>Washington Wizards</t>
        </is>
      </c>
      <c r="F342" t="inlineStr">
        <is>
          <t>Denver Nuggets</t>
        </is>
      </c>
      <c r="G342" t="n">
        <v>122</v>
      </c>
      <c r="H342" t="n">
        <v>113</v>
      </c>
      <c r="I342" t="inlineStr">
        <is>
          <t>Washington Wizards</t>
        </is>
      </c>
      <c r="J342" t="inlineStr">
        <is>
          <t>Denver Nuggets</t>
        </is>
      </c>
      <c r="K342" t="inlineStr">
        <is>
          <t>Yes</t>
        </is>
      </c>
      <c r="L342" t="inlineStr"/>
      <c r="M342" t="inlineStr">
        <is>
          <t>https://fixturedownload.com/download/nba-2024-UTC.csv</t>
        </is>
      </c>
    </row>
    <row r="343">
      <c r="A343" t="n">
        <v>342</v>
      </c>
      <c r="B343" t="n">
        <v>7</v>
      </c>
      <c r="C343" t="inlineStr">
        <is>
          <t>08/12/2024 00:00</t>
        </is>
      </c>
      <c r="D343" t="inlineStr">
        <is>
          <t>Smoothie King Center</t>
        </is>
      </c>
      <c r="E343" t="inlineStr">
        <is>
          <t>New Orleans Pelicans</t>
        </is>
      </c>
      <c r="F343" t="inlineStr">
        <is>
          <t>Oklahoma City Thunder</t>
        </is>
      </c>
      <c r="G343" t="n">
        <v>109</v>
      </c>
      <c r="H343" t="n">
        <v>119</v>
      </c>
      <c r="I343" t="inlineStr">
        <is>
          <t>Oklahoma City Thunder</t>
        </is>
      </c>
      <c r="J343" t="inlineStr">
        <is>
          <t>New Orleans Pelicans</t>
        </is>
      </c>
      <c r="K343" t="inlineStr">
        <is>
          <t>Yes</t>
        </is>
      </c>
      <c r="L343" t="inlineStr"/>
      <c r="M343" t="inlineStr">
        <is>
          <t>https://fixturedownload.com/download/nba-2024-UTC.csv</t>
        </is>
      </c>
    </row>
    <row r="344">
      <c r="A344" t="n">
        <v>343</v>
      </c>
      <c r="B344" t="n">
        <v>7</v>
      </c>
      <c r="C344" t="inlineStr">
        <is>
          <t>08/12/2024 00:30</t>
        </is>
      </c>
      <c r="D344" t="inlineStr">
        <is>
          <t>Madison Square Garden</t>
        </is>
      </c>
      <c r="E344" t="inlineStr">
        <is>
          <t>New York Knicks</t>
        </is>
      </c>
      <c r="F344" t="inlineStr">
        <is>
          <t>Detroit Pistons</t>
        </is>
      </c>
      <c r="G344" t="n">
        <v>111</v>
      </c>
      <c r="H344" t="n">
        <v>120</v>
      </c>
      <c r="I344" t="inlineStr">
        <is>
          <t>Detroit Pistons</t>
        </is>
      </c>
      <c r="J344" t="inlineStr">
        <is>
          <t>New York Knicks</t>
        </is>
      </c>
      <c r="K344" t="inlineStr">
        <is>
          <t>Yes</t>
        </is>
      </c>
      <c r="L344" t="inlineStr"/>
      <c r="M344" t="inlineStr">
        <is>
          <t>https://fixturedownload.com/download/nba-2024-UTC.csv</t>
        </is>
      </c>
    </row>
    <row r="345">
      <c r="A345" t="n">
        <v>344</v>
      </c>
      <c r="B345" t="n">
        <v>7</v>
      </c>
      <c r="C345" t="inlineStr">
        <is>
          <t>08/12/2024 00:30</t>
        </is>
      </c>
      <c r="D345" t="inlineStr">
        <is>
          <t>Scotiabank Arena</t>
        </is>
      </c>
      <c r="E345" t="inlineStr">
        <is>
          <t>Toronto Raptors</t>
        </is>
      </c>
      <c r="F345" t="inlineStr">
        <is>
          <t>Dallas Mavericks</t>
        </is>
      </c>
      <c r="G345" t="n">
        <v>118</v>
      </c>
      <c r="H345" t="n">
        <v>125</v>
      </c>
      <c r="I345" t="inlineStr">
        <is>
          <t>Dallas Mavericks</t>
        </is>
      </c>
      <c r="J345" t="inlineStr">
        <is>
          <t>Toronto Raptors</t>
        </is>
      </c>
      <c r="K345" t="inlineStr">
        <is>
          <t>Yes</t>
        </is>
      </c>
      <c r="L345" t="inlineStr"/>
      <c r="M345" t="inlineStr">
        <is>
          <t>https://fixturedownload.com/download/nba-2024-UTC.csv</t>
        </is>
      </c>
    </row>
    <row r="346">
      <c r="A346" t="n">
        <v>345</v>
      </c>
      <c r="B346" t="n">
        <v>7</v>
      </c>
      <c r="C346" t="inlineStr">
        <is>
          <t>08/12/2024 01:00</t>
        </is>
      </c>
      <c r="D346" t="inlineStr">
        <is>
          <t>TD Garden</t>
        </is>
      </c>
      <c r="E346" t="inlineStr">
        <is>
          <t>Boston Celtics</t>
        </is>
      </c>
      <c r="F346" t="inlineStr">
        <is>
          <t>Memphis Grizzlies</t>
        </is>
      </c>
      <c r="G346" t="n">
        <v>121</v>
      </c>
      <c r="H346" t="n">
        <v>127</v>
      </c>
      <c r="I346" t="inlineStr">
        <is>
          <t>Memphis Grizzlies</t>
        </is>
      </c>
      <c r="J346" t="inlineStr">
        <is>
          <t>Boston Celtics</t>
        </is>
      </c>
      <c r="K346" t="inlineStr">
        <is>
          <t>Yes</t>
        </is>
      </c>
      <c r="L346" t="inlineStr"/>
      <c r="M346" t="inlineStr">
        <is>
          <t>https://fixturedownload.com/download/nba-2024-UTC.csv</t>
        </is>
      </c>
    </row>
    <row r="347">
      <c r="A347" t="n">
        <v>346</v>
      </c>
      <c r="B347" t="n">
        <v>7</v>
      </c>
      <c r="C347" t="inlineStr">
        <is>
          <t>08/12/2024 01:00</t>
        </is>
      </c>
      <c r="D347" t="inlineStr">
        <is>
          <t>Kaseya Center</t>
        </is>
      </c>
      <c r="E347" t="inlineStr">
        <is>
          <t>Miami Heat</t>
        </is>
      </c>
      <c r="F347" t="inlineStr">
        <is>
          <t>Phoenix Suns</t>
        </is>
      </c>
      <c r="G347" t="n">
        <v>121</v>
      </c>
      <c r="H347" t="n">
        <v>111</v>
      </c>
      <c r="I347" t="inlineStr">
        <is>
          <t>Miami Heat</t>
        </is>
      </c>
      <c r="J347" t="inlineStr">
        <is>
          <t>Phoenix Suns</t>
        </is>
      </c>
      <c r="K347" t="inlineStr">
        <is>
          <t>Yes</t>
        </is>
      </c>
      <c r="L347" t="inlineStr"/>
      <c r="M347" t="inlineStr">
        <is>
          <t>https://fixturedownload.com/download/nba-2024-UTC.csv</t>
        </is>
      </c>
    </row>
    <row r="348">
      <c r="A348" t="n">
        <v>347</v>
      </c>
      <c r="B348" t="n">
        <v>7</v>
      </c>
      <c r="C348" t="inlineStr">
        <is>
          <t>08/12/2024 18:00</t>
        </is>
      </c>
      <c r="D348" t="inlineStr">
        <is>
          <t>United Center</t>
        </is>
      </c>
      <c r="E348" t="inlineStr">
        <is>
          <t>Chicago Bulls</t>
        </is>
      </c>
      <c r="F348" t="inlineStr">
        <is>
          <t>Philadelphia 76ers</t>
        </is>
      </c>
      <c r="G348" t="n">
        <v>100</v>
      </c>
      <c r="H348" t="n">
        <v>108</v>
      </c>
      <c r="I348" t="inlineStr">
        <is>
          <t>Philadelphia 76ers</t>
        </is>
      </c>
      <c r="J348" t="inlineStr">
        <is>
          <t>Chicago Bulls</t>
        </is>
      </c>
      <c r="K348" t="inlineStr">
        <is>
          <t>Yes</t>
        </is>
      </c>
      <c r="L348" t="inlineStr"/>
      <c r="M348" t="inlineStr">
        <is>
          <t>https://fixturedownload.com/download/nba-2024-UTC.csv</t>
        </is>
      </c>
    </row>
    <row r="349">
      <c r="A349" t="n">
        <v>348</v>
      </c>
      <c r="B349" t="n">
        <v>7</v>
      </c>
      <c r="C349" t="inlineStr">
        <is>
          <t>08/12/2024 20:30</t>
        </is>
      </c>
      <c r="D349" t="inlineStr">
        <is>
          <t>Barclays Center</t>
        </is>
      </c>
      <c r="E349" t="inlineStr">
        <is>
          <t>Brooklyn Nets</t>
        </is>
      </c>
      <c r="F349" t="inlineStr">
        <is>
          <t>Milwaukee Bucks</t>
        </is>
      </c>
      <c r="G349" t="n">
        <v>113</v>
      </c>
      <c r="H349" t="n">
        <v>118</v>
      </c>
      <c r="I349" t="inlineStr">
        <is>
          <t>Milwaukee Bucks</t>
        </is>
      </c>
      <c r="J349" t="inlineStr">
        <is>
          <t>Brooklyn Nets</t>
        </is>
      </c>
      <c r="K349" t="inlineStr">
        <is>
          <t>Yes</t>
        </is>
      </c>
      <c r="L349" t="inlineStr"/>
      <c r="M349" t="inlineStr">
        <is>
          <t>https://fixturedownload.com/download/nba-2024-UTC.csv</t>
        </is>
      </c>
    </row>
    <row r="350">
      <c r="A350" t="n">
        <v>349</v>
      </c>
      <c r="B350" t="n">
        <v>7</v>
      </c>
      <c r="C350" t="inlineStr">
        <is>
          <t>08/12/2024 22:00</t>
        </is>
      </c>
      <c r="D350" t="inlineStr">
        <is>
          <t>Gainbridge Fieldhouse</t>
        </is>
      </c>
      <c r="E350" t="inlineStr">
        <is>
          <t>Indiana Pacers</t>
        </is>
      </c>
      <c r="F350" t="inlineStr">
        <is>
          <t>Charlotte Hornets</t>
        </is>
      </c>
      <c r="G350" t="n">
        <v>109</v>
      </c>
      <c r="H350" t="n">
        <v>113</v>
      </c>
      <c r="I350" t="inlineStr">
        <is>
          <t>Charlotte Hornets</t>
        </is>
      </c>
      <c r="J350" t="inlineStr">
        <is>
          <t>Indiana Pacers</t>
        </is>
      </c>
      <c r="K350" t="inlineStr">
        <is>
          <t>Yes</t>
        </is>
      </c>
      <c r="L350" t="inlineStr"/>
      <c r="M350" t="inlineStr">
        <is>
          <t>https://fixturedownload.com/download/nba-2024-UTC.csv</t>
        </is>
      </c>
    </row>
    <row r="351">
      <c r="A351" t="n">
        <v>350</v>
      </c>
      <c r="B351" t="n">
        <v>7</v>
      </c>
      <c r="C351" t="inlineStr">
        <is>
          <t>08/12/2024 23:00</t>
        </is>
      </c>
      <c r="D351" t="inlineStr">
        <is>
          <t>State Farm Arena</t>
        </is>
      </c>
      <c r="E351" t="inlineStr">
        <is>
          <t>Atlanta Hawks</t>
        </is>
      </c>
      <c r="F351" t="inlineStr">
        <is>
          <t>Denver Nuggets</t>
        </is>
      </c>
      <c r="G351" t="n">
        <v>111</v>
      </c>
      <c r="H351" t="n">
        <v>141</v>
      </c>
      <c r="I351" t="inlineStr">
        <is>
          <t>Denver Nuggets</t>
        </is>
      </c>
      <c r="J351" t="inlineStr">
        <is>
          <t>Atlanta Hawks</t>
        </is>
      </c>
      <c r="K351" t="inlineStr">
        <is>
          <t>Yes</t>
        </is>
      </c>
      <c r="L351" t="inlineStr"/>
      <c r="M351" t="inlineStr">
        <is>
          <t>https://fixturedownload.com/download/nba-2024-UTC.csv</t>
        </is>
      </c>
    </row>
    <row r="352">
      <c r="A352" t="n">
        <v>351</v>
      </c>
      <c r="B352" t="n">
        <v>7</v>
      </c>
      <c r="C352" t="inlineStr">
        <is>
          <t>08/12/2024 23:00</t>
        </is>
      </c>
      <c r="D352" t="inlineStr">
        <is>
          <t>Kaseya Center</t>
        </is>
      </c>
      <c r="E352" t="inlineStr">
        <is>
          <t>Miami Heat</t>
        </is>
      </c>
      <c r="F352" t="inlineStr">
        <is>
          <t>Cleveland Cavaliers</t>
        </is>
      </c>
      <c r="G352" t="n">
        <v>122</v>
      </c>
      <c r="H352" t="n">
        <v>113</v>
      </c>
      <c r="I352" t="inlineStr">
        <is>
          <t>Miami Heat</t>
        </is>
      </c>
      <c r="J352" t="inlineStr">
        <is>
          <t>Cleveland Cavaliers</t>
        </is>
      </c>
      <c r="K352" t="inlineStr">
        <is>
          <t>Yes</t>
        </is>
      </c>
      <c r="L352" t="inlineStr"/>
      <c r="M352" t="inlineStr">
        <is>
          <t>https://fixturedownload.com/download/nba-2024-UTC.csv</t>
        </is>
      </c>
    </row>
    <row r="353">
      <c r="A353" t="n">
        <v>352</v>
      </c>
      <c r="B353" t="n">
        <v>7</v>
      </c>
      <c r="C353" t="inlineStr">
        <is>
          <t>08/12/2024 23:30</t>
        </is>
      </c>
      <c r="D353" t="inlineStr">
        <is>
          <t>Kia Center</t>
        </is>
      </c>
      <c r="E353" t="inlineStr">
        <is>
          <t>Orlando Magic</t>
        </is>
      </c>
      <c r="F353" t="inlineStr">
        <is>
          <t>Phoenix Suns</t>
        </is>
      </c>
      <c r="G353" t="n">
        <v>115</v>
      </c>
      <c r="H353" t="n">
        <v>110</v>
      </c>
      <c r="I353" t="inlineStr">
        <is>
          <t>Orlando Magic</t>
        </is>
      </c>
      <c r="J353" t="inlineStr">
        <is>
          <t>Phoenix Suns</t>
        </is>
      </c>
      <c r="K353" t="inlineStr">
        <is>
          <t>Yes</t>
        </is>
      </c>
      <c r="L353" t="inlineStr"/>
      <c r="M353" t="inlineStr">
        <is>
          <t>https://fixturedownload.com/download/nba-2024-UTC.csv</t>
        </is>
      </c>
    </row>
    <row r="354">
      <c r="A354" t="n">
        <v>353</v>
      </c>
      <c r="B354" t="n">
        <v>7</v>
      </c>
      <c r="C354" t="inlineStr">
        <is>
          <t>09/12/2024 00:00</t>
        </is>
      </c>
      <c r="D354" t="inlineStr">
        <is>
          <t>Capital One Arena</t>
        </is>
      </c>
      <c r="E354" t="inlineStr">
        <is>
          <t>Washington Wizards</t>
        </is>
      </c>
      <c r="F354" t="inlineStr">
        <is>
          <t>Memphis Grizzlies</t>
        </is>
      </c>
      <c r="G354" t="n">
        <v>112</v>
      </c>
      <c r="H354" t="n">
        <v>140</v>
      </c>
      <c r="I354" t="inlineStr">
        <is>
          <t>Memphis Grizzlies</t>
        </is>
      </c>
      <c r="J354" t="inlineStr">
        <is>
          <t>Washington Wizards</t>
        </is>
      </c>
      <c r="K354" t="inlineStr">
        <is>
          <t>Yes</t>
        </is>
      </c>
      <c r="L354" t="inlineStr"/>
      <c r="M354" t="inlineStr">
        <is>
          <t>https://fixturedownload.com/download/nba-2024-UTC.csv</t>
        </is>
      </c>
    </row>
    <row r="355">
      <c r="A355" t="n">
        <v>354</v>
      </c>
      <c r="B355" t="n">
        <v>7</v>
      </c>
      <c r="C355" t="inlineStr">
        <is>
          <t>09/12/2024 00:00</t>
        </is>
      </c>
      <c r="D355" t="inlineStr">
        <is>
          <t>Frost Bank Center</t>
        </is>
      </c>
      <c r="E355" t="inlineStr">
        <is>
          <t>San Antonio Spurs</t>
        </is>
      </c>
      <c r="F355" t="inlineStr">
        <is>
          <t>New Orleans Pelicans</t>
        </is>
      </c>
      <c r="G355" t="n">
        <v>121</v>
      </c>
      <c r="H355" t="n">
        <v>116</v>
      </c>
      <c r="I355" t="inlineStr">
        <is>
          <t>San Antonio Spurs</t>
        </is>
      </c>
      <c r="J355" t="inlineStr">
        <is>
          <t>New Orleans Pelicans</t>
        </is>
      </c>
      <c r="K355" t="inlineStr">
        <is>
          <t>Yes</t>
        </is>
      </c>
      <c r="L355" t="inlineStr"/>
      <c r="M355" t="inlineStr">
        <is>
          <t>https://fixturedownload.com/download/nba-2024-UTC.csv</t>
        </is>
      </c>
    </row>
    <row r="356">
      <c r="A356" t="n">
        <v>355</v>
      </c>
      <c r="B356" t="n">
        <v>7</v>
      </c>
      <c r="C356" t="inlineStr">
        <is>
          <t>09/12/2024 01:30</t>
        </is>
      </c>
      <c r="D356" t="inlineStr">
        <is>
          <t>Chase Center</t>
        </is>
      </c>
      <c r="E356" t="inlineStr">
        <is>
          <t>Golden State Warriors</t>
        </is>
      </c>
      <c r="F356" t="inlineStr">
        <is>
          <t>Minnesota Timberwolves</t>
        </is>
      </c>
      <c r="G356" t="n">
        <v>114</v>
      </c>
      <c r="H356" t="n">
        <v>106</v>
      </c>
      <c r="I356" t="inlineStr">
        <is>
          <t>Golden State Warriors</t>
        </is>
      </c>
      <c r="J356" t="inlineStr">
        <is>
          <t>Minnesota Timberwolves</t>
        </is>
      </c>
      <c r="K356" t="inlineStr">
        <is>
          <t>Yes</t>
        </is>
      </c>
      <c r="L356" t="inlineStr"/>
      <c r="M356" t="inlineStr">
        <is>
          <t>https://fixturedownload.com/download/nba-2024-UTC.csv</t>
        </is>
      </c>
    </row>
    <row r="357">
      <c r="A357" t="n">
        <v>356</v>
      </c>
      <c r="B357" t="n">
        <v>7</v>
      </c>
      <c r="C357" t="inlineStr">
        <is>
          <t>09/12/2024 02:00</t>
        </is>
      </c>
      <c r="D357" t="inlineStr">
        <is>
          <t>Intuit Dome</t>
        </is>
      </c>
      <c r="E357" t="inlineStr">
        <is>
          <t>LA Clippers</t>
        </is>
      </c>
      <c r="F357" t="inlineStr">
        <is>
          <t>Houston Rockets</t>
        </is>
      </c>
      <c r="G357" t="n">
        <v>106</v>
      </c>
      <c r="H357" t="n">
        <v>117</v>
      </c>
      <c r="I357" t="inlineStr">
        <is>
          <t>Houston Rockets</t>
        </is>
      </c>
      <c r="J357" t="inlineStr">
        <is>
          <t>LA Clippers</t>
        </is>
      </c>
      <c r="K357" t="inlineStr">
        <is>
          <t>Yes</t>
        </is>
      </c>
      <c r="L357" t="inlineStr"/>
      <c r="M357" t="inlineStr">
        <is>
          <t>https://fixturedownload.com/download/nba-2024-UTC.csv</t>
        </is>
      </c>
    </row>
    <row r="358">
      <c r="A358" t="n">
        <v>357</v>
      </c>
      <c r="B358" t="n">
        <v>7</v>
      </c>
      <c r="C358" t="inlineStr">
        <is>
          <t>09/12/2024 02:00</t>
        </is>
      </c>
      <c r="D358" t="inlineStr">
        <is>
          <t>Golden 1 Center</t>
        </is>
      </c>
      <c r="E358" t="inlineStr">
        <is>
          <t>Sacramento Kings</t>
        </is>
      </c>
      <c r="F358" t="inlineStr">
        <is>
          <t>Utah Jazz</t>
        </is>
      </c>
      <c r="G358" t="n">
        <v>141</v>
      </c>
      <c r="H358" t="n">
        <v>97</v>
      </c>
      <c r="I358" t="inlineStr">
        <is>
          <t>Sacramento Kings</t>
        </is>
      </c>
      <c r="J358" t="inlineStr">
        <is>
          <t>Utah Jazz</t>
        </is>
      </c>
      <c r="K358" t="inlineStr">
        <is>
          <t>Yes</t>
        </is>
      </c>
      <c r="L358" t="inlineStr"/>
      <c r="M358" t="inlineStr">
        <is>
          <t>https://fixturedownload.com/download/nba-2024-UTC.csv</t>
        </is>
      </c>
    </row>
    <row r="359">
      <c r="A359" t="n">
        <v>358</v>
      </c>
      <c r="B359" t="n">
        <v>7</v>
      </c>
      <c r="C359" t="inlineStr">
        <is>
          <t>09/12/2024 02:30</t>
        </is>
      </c>
      <c r="D359" t="inlineStr">
        <is>
          <t>Crypto.com Arena</t>
        </is>
      </c>
      <c r="E359" t="inlineStr">
        <is>
          <t>Los Angeles Lakers</t>
        </is>
      </c>
      <c r="F359" t="inlineStr">
        <is>
          <t>Portland Trail Blazers</t>
        </is>
      </c>
      <c r="G359" t="n">
        <v>107</v>
      </c>
      <c r="H359" t="n">
        <v>98</v>
      </c>
      <c r="I359" t="inlineStr">
        <is>
          <t>Los Angeles Lakers</t>
        </is>
      </c>
      <c r="J359" t="inlineStr">
        <is>
          <t>Portland Trail Blazers</t>
        </is>
      </c>
      <c r="K359" t="inlineStr">
        <is>
          <t>Yes</t>
        </is>
      </c>
      <c r="L359" t="inlineStr"/>
      <c r="M359" t="inlineStr">
        <is>
          <t>https://fixturedownload.com/download/nba-2024-UTC.csv</t>
        </is>
      </c>
    </row>
    <row r="360">
      <c r="A360" t="n">
        <v>359</v>
      </c>
      <c r="B360" t="n">
        <v>7</v>
      </c>
      <c r="C360" t="inlineStr">
        <is>
          <t>10/12/2024 00:30</t>
        </is>
      </c>
      <c r="D360" t="inlineStr">
        <is>
          <t>Scotiabank Arena</t>
        </is>
      </c>
      <c r="E360" t="inlineStr">
        <is>
          <t>Toronto Raptors</t>
        </is>
      </c>
      <c r="F360" t="inlineStr">
        <is>
          <t>New York Knicks</t>
        </is>
      </c>
      <c r="G360" t="n">
        <v>108</v>
      </c>
      <c r="H360" t="n">
        <v>113</v>
      </c>
      <c r="I360" t="inlineStr">
        <is>
          <t>New York Knicks</t>
        </is>
      </c>
      <c r="J360" t="inlineStr">
        <is>
          <t>Toronto Raptors</t>
        </is>
      </c>
      <c r="K360" t="inlineStr">
        <is>
          <t>Yes</t>
        </is>
      </c>
      <c r="L360" t="inlineStr"/>
      <c r="M360" t="inlineStr">
        <is>
          <t>https://fixturedownload.com/download/nba-2024-UTC.csv</t>
        </is>
      </c>
    </row>
    <row r="361">
      <c r="A361" t="n">
        <v>1201</v>
      </c>
      <c r="B361" t="n">
        <v>8</v>
      </c>
      <c r="C361" t="inlineStr">
        <is>
          <t>11/12/2024 00:00</t>
        </is>
      </c>
      <c r="D361" t="inlineStr">
        <is>
          <t>Fiserv Forum</t>
        </is>
      </c>
      <c r="E361" t="inlineStr">
        <is>
          <t>Milwaukee Bucks</t>
        </is>
      </c>
      <c r="F361" t="inlineStr">
        <is>
          <t>Orlando Magic</t>
        </is>
      </c>
      <c r="G361" t="n">
        <v>114</v>
      </c>
      <c r="H361" t="n">
        <v>109</v>
      </c>
      <c r="I361" t="inlineStr">
        <is>
          <t>Milwaukee Bucks</t>
        </is>
      </c>
      <c r="J361" t="inlineStr">
        <is>
          <t>Orlando Magic</t>
        </is>
      </c>
      <c r="K361" t="inlineStr">
        <is>
          <t>Yes</t>
        </is>
      </c>
      <c r="L361" t="inlineStr"/>
      <c r="M361" t="inlineStr">
        <is>
          <t>https://fixturedownload.com/download/nba-2024-UTC.csv</t>
        </is>
      </c>
    </row>
    <row r="362">
      <c r="A362" t="n">
        <v>1202</v>
      </c>
      <c r="B362" t="n">
        <v>8</v>
      </c>
      <c r="C362" t="inlineStr">
        <is>
          <t>11/12/2024 02:30</t>
        </is>
      </c>
      <c r="D362" t="inlineStr">
        <is>
          <t>Paycom Center</t>
        </is>
      </c>
      <c r="E362" t="inlineStr">
        <is>
          <t>Oklahoma City Thunder</t>
        </is>
      </c>
      <c r="F362" t="inlineStr">
        <is>
          <t>Dallas Mavericks</t>
        </is>
      </c>
      <c r="G362" t="n">
        <v>118</v>
      </c>
      <c r="H362" t="n">
        <v>104</v>
      </c>
      <c r="I362" t="inlineStr">
        <is>
          <t>Oklahoma City Thunder</t>
        </is>
      </c>
      <c r="J362" t="inlineStr">
        <is>
          <t>Dallas Mavericks</t>
        </is>
      </c>
      <c r="K362" t="inlineStr">
        <is>
          <t>Yes</t>
        </is>
      </c>
      <c r="L362" t="inlineStr"/>
      <c r="M362" t="inlineStr">
        <is>
          <t>https://fixturedownload.com/download/nba-2024-UTC.csv</t>
        </is>
      </c>
    </row>
    <row r="363">
      <c r="A363" t="n">
        <v>1203</v>
      </c>
      <c r="B363" t="n">
        <v>8</v>
      </c>
      <c r="C363" t="inlineStr">
        <is>
          <t>12/12/2024 00:00</t>
        </is>
      </c>
      <c r="D363" t="inlineStr">
        <is>
          <t>Madison Square Garden</t>
        </is>
      </c>
      <c r="E363" t="inlineStr">
        <is>
          <t>New York Knicks</t>
        </is>
      </c>
      <c r="F363" t="inlineStr">
        <is>
          <t>Atlanta Hawks</t>
        </is>
      </c>
      <c r="G363" t="n">
        <v>100</v>
      </c>
      <c r="H363" t="n">
        <v>108</v>
      </c>
      <c r="I363" t="inlineStr">
        <is>
          <t>Atlanta Hawks</t>
        </is>
      </c>
      <c r="J363" t="inlineStr">
        <is>
          <t>New York Knicks</t>
        </is>
      </c>
      <c r="K363" t="inlineStr">
        <is>
          <t>Yes</t>
        </is>
      </c>
      <c r="L363" t="inlineStr"/>
      <c r="M363" t="inlineStr">
        <is>
          <t>https://fixturedownload.com/download/nba-2024-UTC.csv</t>
        </is>
      </c>
    </row>
    <row r="364">
      <c r="A364" t="n">
        <v>1204</v>
      </c>
      <c r="B364" t="n">
        <v>8</v>
      </c>
      <c r="C364" t="inlineStr">
        <is>
          <t>12/12/2024 02:30</t>
        </is>
      </c>
      <c r="D364" t="inlineStr">
        <is>
          <t>Toyota Center</t>
        </is>
      </c>
      <c r="E364" t="inlineStr">
        <is>
          <t>Houston Rockets</t>
        </is>
      </c>
      <c r="F364" t="inlineStr">
        <is>
          <t>Golden State Warriors</t>
        </is>
      </c>
      <c r="G364" t="n">
        <v>91</v>
      </c>
      <c r="H364" t="n">
        <v>90</v>
      </c>
      <c r="I364" t="inlineStr">
        <is>
          <t>Houston Rockets</t>
        </is>
      </c>
      <c r="J364" t="inlineStr">
        <is>
          <t>Golden State Warriors</t>
        </is>
      </c>
      <c r="K364" t="inlineStr">
        <is>
          <t>Yes</t>
        </is>
      </c>
      <c r="L364" t="inlineStr"/>
      <c r="M364" t="inlineStr">
        <is>
          <t>https://fixturedownload.com/download/nba-2024-UTC.csv</t>
        </is>
      </c>
    </row>
    <row r="365">
      <c r="A365" t="n">
        <v>1205</v>
      </c>
      <c r="B365" t="n">
        <v>8</v>
      </c>
      <c r="C365" t="inlineStr">
        <is>
          <t>13/12/2024 00:30</t>
        </is>
      </c>
      <c r="D365" t="inlineStr">
        <is>
          <t>TD Garden</t>
        </is>
      </c>
      <c r="E365" t="inlineStr">
        <is>
          <t>Boston Celtics</t>
        </is>
      </c>
      <c r="F365" t="inlineStr">
        <is>
          <t>Detroit Pistons</t>
        </is>
      </c>
      <c r="G365" t="n">
        <v>123</v>
      </c>
      <c r="H365" t="n">
        <v>99</v>
      </c>
      <c r="I365" t="inlineStr">
        <is>
          <t>Boston Celtics</t>
        </is>
      </c>
      <c r="J365" t="inlineStr">
        <is>
          <t>Detroit Pistons</t>
        </is>
      </c>
      <c r="K365" t="inlineStr">
        <is>
          <t>Yes</t>
        </is>
      </c>
      <c r="L365" t="inlineStr"/>
      <c r="M365" t="inlineStr">
        <is>
          <t>https://fixturedownload.com/download/nba-2024-UTC.csv</t>
        </is>
      </c>
    </row>
    <row r="366">
      <c r="A366" t="n">
        <v>1206</v>
      </c>
      <c r="B366" t="n">
        <v>8</v>
      </c>
      <c r="C366" t="inlineStr">
        <is>
          <t>13/12/2024 00:30</t>
        </is>
      </c>
      <c r="D366" t="inlineStr">
        <is>
          <t>Kaseya Center</t>
        </is>
      </c>
      <c r="E366" t="inlineStr">
        <is>
          <t>Miami Heat</t>
        </is>
      </c>
      <c r="F366" t="inlineStr">
        <is>
          <t>Toronto Raptors</t>
        </is>
      </c>
      <c r="G366" t="n">
        <v>114</v>
      </c>
      <c r="H366" t="n">
        <v>104</v>
      </c>
      <c r="I366" t="inlineStr">
        <is>
          <t>Miami Heat</t>
        </is>
      </c>
      <c r="J366" t="inlineStr">
        <is>
          <t>Toronto Raptors</t>
        </is>
      </c>
      <c r="K366" t="inlineStr">
        <is>
          <t>Yes</t>
        </is>
      </c>
      <c r="L366" t="inlineStr"/>
      <c r="M366" t="inlineStr">
        <is>
          <t>https://fixturedownload.com/download/nba-2024-UTC.csv</t>
        </is>
      </c>
    </row>
    <row r="367">
      <c r="A367" t="n">
        <v>1207</v>
      </c>
      <c r="B367" t="n">
        <v>8</v>
      </c>
      <c r="C367" t="inlineStr">
        <is>
          <t>13/12/2024 01:00</t>
        </is>
      </c>
      <c r="D367" t="inlineStr">
        <is>
          <t>Smoothie King Center</t>
        </is>
      </c>
      <c r="E367" t="inlineStr">
        <is>
          <t>New Orleans Pelicans</t>
        </is>
      </c>
      <c r="F367" t="inlineStr">
        <is>
          <t>Sacramento Kings</t>
        </is>
      </c>
      <c r="G367" t="n">
        <v>109</v>
      </c>
      <c r="H367" t="n">
        <v>111</v>
      </c>
      <c r="I367" t="inlineStr">
        <is>
          <t>Sacramento Kings</t>
        </is>
      </c>
      <c r="J367" t="inlineStr">
        <is>
          <t>New Orleans Pelicans</t>
        </is>
      </c>
      <c r="K367" t="inlineStr">
        <is>
          <t>Yes</t>
        </is>
      </c>
      <c r="L367" t="inlineStr"/>
      <c r="M367" t="inlineStr">
        <is>
          <t>https://fixturedownload.com/download/nba-2024-UTC.csv</t>
        </is>
      </c>
    </row>
    <row r="368">
      <c r="A368" t="n">
        <v>1208</v>
      </c>
      <c r="B368" t="n">
        <v>8</v>
      </c>
      <c r="C368" t="inlineStr">
        <is>
          <t>14/12/2024 00:00</t>
        </is>
      </c>
      <c r="D368" t="inlineStr">
        <is>
          <t>Rocket Arena</t>
        </is>
      </c>
      <c r="E368" t="inlineStr">
        <is>
          <t>Cleveland Cavaliers</t>
        </is>
      </c>
      <c r="F368" t="inlineStr">
        <is>
          <t>Washington Wizards</t>
        </is>
      </c>
      <c r="G368" t="n">
        <v>115</v>
      </c>
      <c r="H368" t="n">
        <v>105</v>
      </c>
      <c r="I368" t="inlineStr">
        <is>
          <t>Cleveland Cavaliers</t>
        </is>
      </c>
      <c r="J368" t="inlineStr">
        <is>
          <t>Washington Wizards</t>
        </is>
      </c>
      <c r="K368" t="inlineStr">
        <is>
          <t>Yes</t>
        </is>
      </c>
      <c r="L368" t="inlineStr"/>
      <c r="M368" t="inlineStr">
        <is>
          <t>https://fixturedownload.com/download/nba-2024-UTC.csv</t>
        </is>
      </c>
    </row>
    <row r="369">
      <c r="A369" t="n">
        <v>1209</v>
      </c>
      <c r="B369" t="n">
        <v>8</v>
      </c>
      <c r="C369" t="inlineStr">
        <is>
          <t>14/12/2024 00:00</t>
        </is>
      </c>
      <c r="D369" t="inlineStr">
        <is>
          <t>Wells Fargo Center</t>
        </is>
      </c>
      <c r="E369" t="inlineStr">
        <is>
          <t>Philadelphia 76ers</t>
        </is>
      </c>
      <c r="F369" t="inlineStr">
        <is>
          <t>Indiana Pacers</t>
        </is>
      </c>
      <c r="G369" t="n">
        <v>107</v>
      </c>
      <c r="H369" t="n">
        <v>121</v>
      </c>
      <c r="I369" t="inlineStr">
        <is>
          <t>Indiana Pacers</t>
        </is>
      </c>
      <c r="J369" t="inlineStr">
        <is>
          <t>Philadelphia 76ers</t>
        </is>
      </c>
      <c r="K369" t="inlineStr">
        <is>
          <t>Yes</t>
        </is>
      </c>
      <c r="L369" t="inlineStr"/>
      <c r="M369" t="inlineStr">
        <is>
          <t>https://fixturedownload.com/download/nba-2024-UTC.csv</t>
        </is>
      </c>
    </row>
    <row r="370">
      <c r="A370" t="n">
        <v>1210</v>
      </c>
      <c r="B370" t="n">
        <v>8</v>
      </c>
      <c r="C370" t="inlineStr">
        <is>
          <t>14/12/2024 01:00</t>
        </is>
      </c>
      <c r="D370" t="inlineStr">
        <is>
          <t>Target Center</t>
        </is>
      </c>
      <c r="E370" t="inlineStr">
        <is>
          <t>Minnesota Timberwolves</t>
        </is>
      </c>
      <c r="F370" t="inlineStr">
        <is>
          <t>Los Angeles Lakers</t>
        </is>
      </c>
      <c r="G370" t="n">
        <v>97</v>
      </c>
      <c r="H370" t="n">
        <v>87</v>
      </c>
      <c r="I370" t="inlineStr">
        <is>
          <t>Minnesota Timberwolves</t>
        </is>
      </c>
      <c r="J370" t="inlineStr">
        <is>
          <t>Los Angeles Lakers</t>
        </is>
      </c>
      <c r="K370" t="inlineStr">
        <is>
          <t>Yes</t>
        </is>
      </c>
      <c r="L370" t="inlineStr"/>
      <c r="M370" t="inlineStr">
        <is>
          <t>https://fixturedownload.com/download/nba-2024-UTC.csv</t>
        </is>
      </c>
    </row>
    <row r="371">
      <c r="A371" t="n">
        <v>1211</v>
      </c>
      <c r="B371" t="n">
        <v>8</v>
      </c>
      <c r="C371" t="inlineStr">
        <is>
          <t>14/12/2024 01:00</t>
        </is>
      </c>
      <c r="D371" t="inlineStr">
        <is>
          <t>FedExForum</t>
        </is>
      </c>
      <c r="E371" t="inlineStr">
        <is>
          <t>Memphis Grizzlies</t>
        </is>
      </c>
      <c r="F371" t="inlineStr">
        <is>
          <t>Brooklyn Nets</t>
        </is>
      </c>
      <c r="G371" t="n">
        <v>135</v>
      </c>
      <c r="H371" t="n">
        <v>119</v>
      </c>
      <c r="I371" t="inlineStr">
        <is>
          <t>Memphis Grizzlies</t>
        </is>
      </c>
      <c r="J371" t="inlineStr">
        <is>
          <t>Brooklyn Nets</t>
        </is>
      </c>
      <c r="K371" t="inlineStr">
        <is>
          <t>Yes</t>
        </is>
      </c>
      <c r="L371" t="inlineStr"/>
      <c r="M371" t="inlineStr">
        <is>
          <t>https://fixturedownload.com/download/nba-2024-UTC.csv</t>
        </is>
      </c>
    </row>
    <row r="372">
      <c r="A372" t="n">
        <v>1212</v>
      </c>
      <c r="B372" t="n">
        <v>8</v>
      </c>
      <c r="C372" t="inlineStr">
        <is>
          <t>14/12/2024 01:00</t>
        </is>
      </c>
      <c r="D372" t="inlineStr">
        <is>
          <t>United Center</t>
        </is>
      </c>
      <c r="E372" t="inlineStr">
        <is>
          <t>Chicago Bulls</t>
        </is>
      </c>
      <c r="F372" t="inlineStr">
        <is>
          <t>Charlotte Hornets</t>
        </is>
      </c>
      <c r="G372" t="n">
        <v>109</v>
      </c>
      <c r="H372" t="n">
        <v>95</v>
      </c>
      <c r="I372" t="inlineStr">
        <is>
          <t>Chicago Bulls</t>
        </is>
      </c>
      <c r="J372" t="inlineStr">
        <is>
          <t>Charlotte Hornets</t>
        </is>
      </c>
      <c r="K372" t="inlineStr">
        <is>
          <t>Yes</t>
        </is>
      </c>
      <c r="L372" t="inlineStr"/>
      <c r="M372" t="inlineStr">
        <is>
          <t>https://fixturedownload.com/download/nba-2024-UTC.csv</t>
        </is>
      </c>
    </row>
    <row r="373">
      <c r="A373" t="n">
        <v>1213</v>
      </c>
      <c r="B373" t="n">
        <v>8</v>
      </c>
      <c r="C373" t="inlineStr">
        <is>
          <t>14/12/2024 02:00</t>
        </is>
      </c>
      <c r="D373" t="inlineStr">
        <is>
          <t>Ball Arena</t>
        </is>
      </c>
      <c r="E373" t="inlineStr">
        <is>
          <t>Denver Nuggets</t>
        </is>
      </c>
      <c r="F373" t="inlineStr">
        <is>
          <t>LA Clippers</t>
        </is>
      </c>
      <c r="G373" t="n">
        <v>120</v>
      </c>
      <c r="H373" t="n">
        <v>98</v>
      </c>
      <c r="I373" t="inlineStr">
        <is>
          <t>Denver Nuggets</t>
        </is>
      </c>
      <c r="J373" t="inlineStr">
        <is>
          <t>LA Clippers</t>
        </is>
      </c>
      <c r="K373" t="inlineStr">
        <is>
          <t>Yes</t>
        </is>
      </c>
      <c r="L373" t="inlineStr"/>
      <c r="M373" t="inlineStr">
        <is>
          <t>https://fixturedownload.com/download/nba-2024-UTC.csv</t>
        </is>
      </c>
    </row>
    <row r="374">
      <c r="A374" t="n">
        <v>1214</v>
      </c>
      <c r="B374" t="n">
        <v>8</v>
      </c>
      <c r="C374" t="inlineStr">
        <is>
          <t>14/12/2024 02:30</t>
        </is>
      </c>
      <c r="D374" t="inlineStr">
        <is>
          <t>Delta Center</t>
        </is>
      </c>
      <c r="E374" t="inlineStr">
        <is>
          <t>Utah Jazz</t>
        </is>
      </c>
      <c r="F374" t="inlineStr">
        <is>
          <t>Phoenix Suns</t>
        </is>
      </c>
      <c r="G374" t="n">
        <v>126</v>
      </c>
      <c r="H374" t="n">
        <v>134</v>
      </c>
      <c r="I374" t="inlineStr">
        <is>
          <t>Phoenix Suns</t>
        </is>
      </c>
      <c r="J374" t="inlineStr">
        <is>
          <t>Utah Jazz</t>
        </is>
      </c>
      <c r="K374" t="inlineStr">
        <is>
          <t>Yes</t>
        </is>
      </c>
      <c r="L374" t="inlineStr"/>
      <c r="M374" t="inlineStr">
        <is>
          <t>https://fixturedownload.com/download/nba-2024-UTC.csv</t>
        </is>
      </c>
    </row>
    <row r="375">
      <c r="A375" t="n">
        <v>1215</v>
      </c>
      <c r="B375" t="n">
        <v>8</v>
      </c>
      <c r="C375" t="inlineStr">
        <is>
          <t>14/12/2024 03:00</t>
        </is>
      </c>
      <c r="D375" t="inlineStr">
        <is>
          <t>Moda Center</t>
        </is>
      </c>
      <c r="E375" t="inlineStr">
        <is>
          <t>Portland Trail Blazers</t>
        </is>
      </c>
      <c r="F375" t="inlineStr">
        <is>
          <t>San Antonio Spurs</t>
        </is>
      </c>
      <c r="G375" t="n">
        <v>116</v>
      </c>
      <c r="H375" t="n">
        <v>118</v>
      </c>
      <c r="I375" t="inlineStr">
        <is>
          <t>San Antonio Spurs</t>
        </is>
      </c>
      <c r="J375" t="inlineStr">
        <is>
          <t>Portland Trail Blazers</t>
        </is>
      </c>
      <c r="K375" t="inlineStr">
        <is>
          <t>Yes</t>
        </is>
      </c>
      <c r="L375" t="inlineStr"/>
      <c r="M375" t="inlineStr">
        <is>
          <t>https://fixturedownload.com/download/nba-2024-UTC.csv</t>
        </is>
      </c>
    </row>
    <row r="376">
      <c r="A376" t="n">
        <v>1227</v>
      </c>
      <c r="B376" t="n">
        <v>8</v>
      </c>
      <c r="C376" t="inlineStr">
        <is>
          <t>14/12/2024 21:30</t>
        </is>
      </c>
      <c r="D376" t="inlineStr">
        <is>
          <t>T-Mobile Arena</t>
        </is>
      </c>
      <c r="E376" t="inlineStr">
        <is>
          <t>Milwaukee Bucks</t>
        </is>
      </c>
      <c r="F376" t="inlineStr">
        <is>
          <t>Atlanta Hawks</t>
        </is>
      </c>
      <c r="G376" t="n">
        <v>110</v>
      </c>
      <c r="H376" t="n">
        <v>102</v>
      </c>
      <c r="I376" t="inlineStr">
        <is>
          <t>Milwaukee Bucks</t>
        </is>
      </c>
      <c r="J376" t="inlineStr">
        <is>
          <t>Atlanta Hawks</t>
        </is>
      </c>
      <c r="K376" t="inlineStr">
        <is>
          <t>Yes</t>
        </is>
      </c>
      <c r="L376" t="inlineStr"/>
      <c r="M376" t="inlineStr">
        <is>
          <t>https://fixturedownload.com/download/nba-2024-UTC.csv</t>
        </is>
      </c>
    </row>
    <row r="377">
      <c r="A377" t="n">
        <v>1228</v>
      </c>
      <c r="B377" t="n">
        <v>8</v>
      </c>
      <c r="C377" t="inlineStr">
        <is>
          <t>15/12/2024 01:30</t>
        </is>
      </c>
      <c r="D377" t="inlineStr">
        <is>
          <t>T-Mobile Arena</t>
        </is>
      </c>
      <c r="E377" t="inlineStr">
        <is>
          <t>Oklahoma City Thunder</t>
        </is>
      </c>
      <c r="F377" t="inlineStr">
        <is>
          <t>Houston Rockets</t>
        </is>
      </c>
      <c r="G377" t="n">
        <v>111</v>
      </c>
      <c r="H377" t="n">
        <v>96</v>
      </c>
      <c r="I377" t="inlineStr">
        <is>
          <t>Oklahoma City Thunder</t>
        </is>
      </c>
      <c r="J377" t="inlineStr">
        <is>
          <t>Houston Rockets</t>
        </is>
      </c>
      <c r="K377" t="inlineStr">
        <is>
          <t>Yes</t>
        </is>
      </c>
      <c r="L377" t="inlineStr"/>
      <c r="M377" t="inlineStr">
        <is>
          <t>https://fixturedownload.com/download/nba-2024-UTC.csv</t>
        </is>
      </c>
    </row>
    <row r="378">
      <c r="A378" t="n">
        <v>1216</v>
      </c>
      <c r="B378" t="n">
        <v>8</v>
      </c>
      <c r="C378" t="inlineStr">
        <is>
          <t>15/12/2024 22:00</t>
        </is>
      </c>
      <c r="D378" t="inlineStr">
        <is>
          <t>Gainbridge Fieldhouse</t>
        </is>
      </c>
      <c r="E378" t="inlineStr">
        <is>
          <t>Indiana Pacers</t>
        </is>
      </c>
      <c r="F378" t="inlineStr">
        <is>
          <t>New Orleans Pelicans</t>
        </is>
      </c>
      <c r="G378" t="n">
        <v>119</v>
      </c>
      <c r="H378" t="n">
        <v>104</v>
      </c>
      <c r="I378" t="inlineStr">
        <is>
          <t>Indiana Pacers</t>
        </is>
      </c>
      <c r="J378" t="inlineStr">
        <is>
          <t>New Orleans Pelicans</t>
        </is>
      </c>
      <c r="K378" t="inlineStr">
        <is>
          <t>Yes</t>
        </is>
      </c>
      <c r="L378" t="inlineStr"/>
      <c r="M378" t="inlineStr">
        <is>
          <t>https://fixturedownload.com/download/nba-2024-UTC.csv</t>
        </is>
      </c>
    </row>
    <row r="379">
      <c r="A379" t="n">
        <v>1217</v>
      </c>
      <c r="B379" t="n">
        <v>8</v>
      </c>
      <c r="C379" t="inlineStr">
        <is>
          <t>15/12/2024 23:00</t>
        </is>
      </c>
      <c r="D379" t="inlineStr">
        <is>
          <t>Capital One Arena</t>
        </is>
      </c>
      <c r="E379" t="inlineStr">
        <is>
          <t>Washington Wizards</t>
        </is>
      </c>
      <c r="F379" t="inlineStr">
        <is>
          <t>Boston Celtics</t>
        </is>
      </c>
      <c r="G379" t="n">
        <v>98</v>
      </c>
      <c r="H379" t="n">
        <v>112</v>
      </c>
      <c r="I379" t="inlineStr">
        <is>
          <t>Boston Celtics</t>
        </is>
      </c>
      <c r="J379" t="inlineStr">
        <is>
          <t>Washington Wizards</t>
        </is>
      </c>
      <c r="K379" t="inlineStr">
        <is>
          <t>Yes</t>
        </is>
      </c>
      <c r="L379" t="inlineStr"/>
      <c r="M379" t="inlineStr">
        <is>
          <t>https://fixturedownload.com/download/nba-2024-UTC.csv</t>
        </is>
      </c>
    </row>
    <row r="380">
      <c r="A380" t="n">
        <v>1229</v>
      </c>
      <c r="B380" t="n">
        <v>8</v>
      </c>
      <c r="C380" t="inlineStr">
        <is>
          <t>15/12/2024 23:00</t>
        </is>
      </c>
      <c r="D380" t="inlineStr">
        <is>
          <t>Kia Center</t>
        </is>
      </c>
      <c r="E380" t="inlineStr">
        <is>
          <t>Orlando Magic</t>
        </is>
      </c>
      <c r="F380" t="inlineStr">
        <is>
          <t>New York Knicks</t>
        </is>
      </c>
      <c r="G380" t="n">
        <v>91</v>
      </c>
      <c r="H380" t="n">
        <v>100</v>
      </c>
      <c r="I380" t="inlineStr">
        <is>
          <t>New York Knicks</t>
        </is>
      </c>
      <c r="J380" t="inlineStr">
        <is>
          <t>Orlando Magic</t>
        </is>
      </c>
      <c r="K380" t="inlineStr">
        <is>
          <t>Yes</t>
        </is>
      </c>
      <c r="L380" t="inlineStr"/>
      <c r="M380" t="inlineStr">
        <is>
          <t>https://fixturedownload.com/download/nba-2024-UTC.csv</t>
        </is>
      </c>
    </row>
    <row r="381">
      <c r="A381" t="n">
        <v>1218</v>
      </c>
      <c r="B381" t="n">
        <v>8</v>
      </c>
      <c r="C381" t="inlineStr">
        <is>
          <t>16/12/2024 00:00</t>
        </is>
      </c>
      <c r="D381" t="inlineStr">
        <is>
          <t>Frost Bank Center</t>
        </is>
      </c>
      <c r="E381" t="inlineStr">
        <is>
          <t>San Antonio Spurs</t>
        </is>
      </c>
      <c r="F381" t="inlineStr">
        <is>
          <t>Minnesota Timberwolves</t>
        </is>
      </c>
      <c r="G381" t="n">
        <v>92</v>
      </c>
      <c r="H381" t="n">
        <v>106</v>
      </c>
      <c r="I381" t="inlineStr">
        <is>
          <t>Minnesota Timberwolves</t>
        </is>
      </c>
      <c r="J381" t="inlineStr">
        <is>
          <t>San Antonio Spurs</t>
        </is>
      </c>
      <c r="K381" t="inlineStr">
        <is>
          <t>Yes</t>
        </is>
      </c>
      <c r="L381" t="inlineStr"/>
      <c r="M381" t="inlineStr">
        <is>
          <t>https://fixturedownload.com/download/nba-2024-UTC.csv</t>
        </is>
      </c>
    </row>
    <row r="382">
      <c r="A382" t="n">
        <v>1219</v>
      </c>
      <c r="B382" t="n">
        <v>8</v>
      </c>
      <c r="C382" t="inlineStr">
        <is>
          <t>16/12/2024 01:00</t>
        </is>
      </c>
      <c r="D382" t="inlineStr">
        <is>
          <t>PHX Arena</t>
        </is>
      </c>
      <c r="E382" t="inlineStr">
        <is>
          <t>Phoenix Suns</t>
        </is>
      </c>
      <c r="F382" t="inlineStr">
        <is>
          <t>Portland Trail Blazers</t>
        </is>
      </c>
      <c r="G382" t="n">
        <v>116</v>
      </c>
      <c r="H382" t="n">
        <v>109</v>
      </c>
      <c r="I382" t="inlineStr">
        <is>
          <t>Phoenix Suns</t>
        </is>
      </c>
      <c r="J382" t="inlineStr">
        <is>
          <t>Portland Trail Blazers</t>
        </is>
      </c>
      <c r="K382" t="inlineStr">
        <is>
          <t>Yes</t>
        </is>
      </c>
      <c r="L382" t="inlineStr"/>
      <c r="M382" t="inlineStr">
        <is>
          <t>https://fixturedownload.com/download/nba-2024-UTC.csv</t>
        </is>
      </c>
    </row>
    <row r="383">
      <c r="A383" t="n">
        <v>1230</v>
      </c>
      <c r="B383" t="n">
        <v>8</v>
      </c>
      <c r="C383" t="inlineStr">
        <is>
          <t>16/12/2024 01:30</t>
        </is>
      </c>
      <c r="D383" t="inlineStr">
        <is>
          <t>Chase Center</t>
        </is>
      </c>
      <c r="E383" t="inlineStr">
        <is>
          <t>Golden State Warriors</t>
        </is>
      </c>
      <c r="F383" t="inlineStr">
        <is>
          <t>Dallas Mavericks</t>
        </is>
      </c>
      <c r="G383" t="n">
        <v>133</v>
      </c>
      <c r="H383" t="n">
        <v>143</v>
      </c>
      <c r="I383" t="inlineStr">
        <is>
          <t>Dallas Mavericks</t>
        </is>
      </c>
      <c r="J383" t="inlineStr">
        <is>
          <t>Golden State Warriors</t>
        </is>
      </c>
      <c r="K383" t="inlineStr">
        <is>
          <t>Yes</t>
        </is>
      </c>
      <c r="L383" t="inlineStr"/>
      <c r="M383" t="inlineStr">
        <is>
          <t>https://fixturedownload.com/download/nba-2024-UTC.csv</t>
        </is>
      </c>
    </row>
    <row r="384">
      <c r="A384" t="n">
        <v>1220</v>
      </c>
      <c r="B384" t="n">
        <v>8</v>
      </c>
      <c r="C384" t="inlineStr">
        <is>
          <t>16/12/2024 02:30</t>
        </is>
      </c>
      <c r="D384" t="inlineStr">
        <is>
          <t>Crypto.com Arena</t>
        </is>
      </c>
      <c r="E384" t="inlineStr">
        <is>
          <t>Los Angeles Lakers</t>
        </is>
      </c>
      <c r="F384" t="inlineStr">
        <is>
          <t>Memphis Grizzlies</t>
        </is>
      </c>
      <c r="G384" t="n">
        <v>116</v>
      </c>
      <c r="H384" t="n">
        <v>110</v>
      </c>
      <c r="I384" t="inlineStr">
        <is>
          <t>Los Angeles Lakers</t>
        </is>
      </c>
      <c r="J384" t="inlineStr">
        <is>
          <t>Memphis Grizzlies</t>
        </is>
      </c>
      <c r="K384" t="inlineStr">
        <is>
          <t>Yes</t>
        </is>
      </c>
      <c r="L384" t="inlineStr"/>
      <c r="M384" t="inlineStr">
        <is>
          <t>https://fixturedownload.com/download/nba-2024-UTC.csv</t>
        </is>
      </c>
    </row>
    <row r="385">
      <c r="A385" t="n">
        <v>1221</v>
      </c>
      <c r="B385" t="n">
        <v>8</v>
      </c>
      <c r="C385" t="inlineStr">
        <is>
          <t>17/12/2024 00:00</t>
        </is>
      </c>
      <c r="D385" t="inlineStr">
        <is>
          <t>Little Caesars Arena</t>
        </is>
      </c>
      <c r="E385" t="inlineStr">
        <is>
          <t>Detroit Pistons</t>
        </is>
      </c>
      <c r="F385" t="inlineStr">
        <is>
          <t>Miami Heat</t>
        </is>
      </c>
      <c r="G385" t="n">
        <v>125</v>
      </c>
      <c r="H385" t="n">
        <v>124</v>
      </c>
      <c r="I385" t="inlineStr">
        <is>
          <t>Detroit Pistons</t>
        </is>
      </c>
      <c r="J385" t="inlineStr">
        <is>
          <t>Miami Heat</t>
        </is>
      </c>
      <c r="K385" t="inlineStr">
        <is>
          <t>Yes</t>
        </is>
      </c>
      <c r="L385" t="inlineStr"/>
      <c r="M385" t="inlineStr">
        <is>
          <t>https://fixturedownload.com/download/nba-2024-UTC.csv</t>
        </is>
      </c>
    </row>
    <row r="386">
      <c r="A386" t="n">
        <v>1222</v>
      </c>
      <c r="B386" t="n">
        <v>8</v>
      </c>
      <c r="C386" t="inlineStr">
        <is>
          <t>17/12/2024 00:00</t>
        </is>
      </c>
      <c r="D386" t="inlineStr">
        <is>
          <t>Spectrum Center</t>
        </is>
      </c>
      <c r="E386" t="inlineStr">
        <is>
          <t>Charlotte Hornets</t>
        </is>
      </c>
      <c r="F386" t="inlineStr">
        <is>
          <t>Philadelphia 76ers</t>
        </is>
      </c>
      <c r="G386" t="n">
        <v>108</v>
      </c>
      <c r="H386" t="n">
        <v>121</v>
      </c>
      <c r="I386" t="inlineStr">
        <is>
          <t>Philadelphia 76ers</t>
        </is>
      </c>
      <c r="J386" t="inlineStr">
        <is>
          <t>Charlotte Hornets</t>
        </is>
      </c>
      <c r="K386" t="inlineStr">
        <is>
          <t>Yes</t>
        </is>
      </c>
      <c r="L386" t="inlineStr"/>
      <c r="M386" t="inlineStr">
        <is>
          <t>https://fixturedownload.com/download/nba-2024-UTC.csv</t>
        </is>
      </c>
    </row>
    <row r="387">
      <c r="A387" t="n">
        <v>1223</v>
      </c>
      <c r="B387" t="n">
        <v>8</v>
      </c>
      <c r="C387" t="inlineStr">
        <is>
          <t>17/12/2024 00:30</t>
        </is>
      </c>
      <c r="D387" t="inlineStr">
        <is>
          <t>Scotiabank Arena</t>
        </is>
      </c>
      <c r="E387" t="inlineStr">
        <is>
          <t>Toronto Raptors</t>
        </is>
      </c>
      <c r="F387" t="inlineStr">
        <is>
          <t>Chicago Bulls</t>
        </is>
      </c>
      <c r="G387" t="n">
        <v>121</v>
      </c>
      <c r="H387" t="n">
        <v>122</v>
      </c>
      <c r="I387" t="inlineStr">
        <is>
          <t>Chicago Bulls</t>
        </is>
      </c>
      <c r="J387" t="inlineStr">
        <is>
          <t>Toronto Raptors</t>
        </is>
      </c>
      <c r="K387" t="inlineStr">
        <is>
          <t>Yes</t>
        </is>
      </c>
      <c r="L387" t="inlineStr"/>
      <c r="M387" t="inlineStr">
        <is>
          <t>https://fixturedownload.com/download/nba-2024-UTC.csv</t>
        </is>
      </c>
    </row>
    <row r="388">
      <c r="A388" t="n">
        <v>1224</v>
      </c>
      <c r="B388" t="n">
        <v>8</v>
      </c>
      <c r="C388" t="inlineStr">
        <is>
          <t>17/12/2024 00:30</t>
        </is>
      </c>
      <c r="D388" t="inlineStr">
        <is>
          <t>Barclays Center</t>
        </is>
      </c>
      <c r="E388" t="inlineStr">
        <is>
          <t>Brooklyn Nets</t>
        </is>
      </c>
      <c r="F388" t="inlineStr">
        <is>
          <t>Cleveland Cavaliers</t>
        </is>
      </c>
      <c r="G388" t="n">
        <v>101</v>
      </c>
      <c r="H388" t="n">
        <v>130</v>
      </c>
      <c r="I388" t="inlineStr">
        <is>
          <t>Cleveland Cavaliers</t>
        </is>
      </c>
      <c r="J388" t="inlineStr">
        <is>
          <t>Brooklyn Nets</t>
        </is>
      </c>
      <c r="K388" t="inlineStr">
        <is>
          <t>Yes</t>
        </is>
      </c>
      <c r="L388" t="inlineStr"/>
      <c r="M388" t="inlineStr">
        <is>
          <t>https://fixturedownload.com/download/nba-2024-UTC.csv</t>
        </is>
      </c>
    </row>
    <row r="389">
      <c r="A389" t="n">
        <v>1225</v>
      </c>
      <c r="B389" t="n">
        <v>8</v>
      </c>
      <c r="C389" t="inlineStr">
        <is>
          <t>17/12/2024 03:00</t>
        </is>
      </c>
      <c r="D389" t="inlineStr">
        <is>
          <t>Golden 1 Center</t>
        </is>
      </c>
      <c r="E389" t="inlineStr">
        <is>
          <t>Sacramento Kings</t>
        </is>
      </c>
      <c r="F389" t="inlineStr">
        <is>
          <t>Denver Nuggets</t>
        </is>
      </c>
      <c r="G389" t="n">
        <v>129</v>
      </c>
      <c r="H389" t="n">
        <v>130</v>
      </c>
      <c r="I389" t="inlineStr">
        <is>
          <t>Denver Nuggets</t>
        </is>
      </c>
      <c r="J389" t="inlineStr">
        <is>
          <t>Sacramento Kings</t>
        </is>
      </c>
      <c r="K389" t="inlineStr">
        <is>
          <t>Yes</t>
        </is>
      </c>
      <c r="L389" t="inlineStr"/>
      <c r="M389" t="inlineStr">
        <is>
          <t>https://fixturedownload.com/download/nba-2024-UTC.csv</t>
        </is>
      </c>
    </row>
    <row r="390">
      <c r="A390" t="n">
        <v>1226</v>
      </c>
      <c r="B390" t="n">
        <v>8</v>
      </c>
      <c r="C390" t="inlineStr">
        <is>
          <t>17/12/2024 03:30</t>
        </is>
      </c>
      <c r="D390" t="inlineStr">
        <is>
          <t>Intuit Dome</t>
        </is>
      </c>
      <c r="E390" t="inlineStr">
        <is>
          <t>LA Clippers</t>
        </is>
      </c>
      <c r="F390" t="inlineStr">
        <is>
          <t>Utah Jazz</t>
        </is>
      </c>
      <c r="G390" t="n">
        <v>144</v>
      </c>
      <c r="H390" t="n">
        <v>107</v>
      </c>
      <c r="I390" t="inlineStr">
        <is>
          <t>LA Clippers</t>
        </is>
      </c>
      <c r="J390" t="inlineStr">
        <is>
          <t>Utah Jazz</t>
        </is>
      </c>
      <c r="K390" t="inlineStr">
        <is>
          <t>Yes</t>
        </is>
      </c>
      <c r="L390" t="inlineStr"/>
      <c r="M390" t="inlineStr">
        <is>
          <t>https://fixturedownload.com/download/nba-2024-UTC.csv</t>
        </is>
      </c>
    </row>
    <row r="391">
      <c r="A391" s="5" t="n">
        <v>1231</v>
      </c>
      <c r="B391" s="5" t="n">
        <v>8</v>
      </c>
      <c r="C391" s="5" t="inlineStr">
        <is>
          <t>18/12/2024 01:30</t>
        </is>
      </c>
      <c r="D391" s="5" t="inlineStr">
        <is>
          <t>T-Mobile Arena</t>
        </is>
      </c>
      <c r="E391" s="5" t="inlineStr">
        <is>
          <t>Oklahoma City Thunder</t>
        </is>
      </c>
      <c r="F391" s="5" t="inlineStr">
        <is>
          <t>Milwaukee Bucks</t>
        </is>
      </c>
      <c r="G391" s="5" t="n">
        <v>81</v>
      </c>
      <c r="H391" s="5" t="n">
        <v>97</v>
      </c>
      <c r="I391" s="5" t="inlineStr">
        <is>
          <t>Milwaukee Bucks</t>
        </is>
      </c>
      <c r="J391" s="5" t="inlineStr">
        <is>
          <t>Oklahoma City Thunder</t>
        </is>
      </c>
      <c r="K391" s="5" t="inlineStr">
        <is>
          <t>No</t>
        </is>
      </c>
      <c r="L391" s="5" t="inlineStr">
        <is>
          <t>Emirates NBA Cup Championship (excluded from regular-season head-to-head totals)</t>
        </is>
      </c>
      <c r="M391" s="5" t="inlineStr">
        <is>
          <t>https://fixturedownload.com/download/nba-2024-UTC.csv</t>
        </is>
      </c>
    </row>
    <row r="392">
      <c r="A392" t="n">
        <v>360</v>
      </c>
      <c r="B392" t="n">
        <v>8</v>
      </c>
      <c r="C392" t="inlineStr">
        <is>
          <t>20/12/2024 00:00</t>
        </is>
      </c>
      <c r="D392" t="inlineStr">
        <is>
          <t>Little Caesars Arena</t>
        </is>
      </c>
      <c r="E392" t="inlineStr">
        <is>
          <t>Detroit Pistons</t>
        </is>
      </c>
      <c r="F392" t="inlineStr">
        <is>
          <t>Utah Jazz</t>
        </is>
      </c>
      <c r="G392" t="n">
        <v>119</v>
      </c>
      <c r="H392" t="n">
        <v>126</v>
      </c>
      <c r="I392" t="inlineStr">
        <is>
          <t>Utah Jazz</t>
        </is>
      </c>
      <c r="J392" t="inlineStr">
        <is>
          <t>Detroit Pistons</t>
        </is>
      </c>
      <c r="K392" t="inlineStr">
        <is>
          <t>Yes</t>
        </is>
      </c>
      <c r="L392" t="inlineStr"/>
      <c r="M392" t="inlineStr">
        <is>
          <t>https://fixturedownload.com/download/nba-2024-UTC.csv</t>
        </is>
      </c>
    </row>
    <row r="393">
      <c r="A393" t="n">
        <v>361</v>
      </c>
      <c r="B393" t="n">
        <v>8</v>
      </c>
      <c r="C393" t="inlineStr">
        <is>
          <t>20/12/2024 00:00</t>
        </is>
      </c>
      <c r="D393" t="inlineStr">
        <is>
          <t>Kia Center</t>
        </is>
      </c>
      <c r="E393" t="inlineStr">
        <is>
          <t>Orlando Magic</t>
        </is>
      </c>
      <c r="F393" t="inlineStr">
        <is>
          <t>Oklahoma City Thunder</t>
        </is>
      </c>
      <c r="G393" t="n">
        <v>99</v>
      </c>
      <c r="H393" t="n">
        <v>105</v>
      </c>
      <c r="I393" t="inlineStr">
        <is>
          <t>Oklahoma City Thunder</t>
        </is>
      </c>
      <c r="J393" t="inlineStr">
        <is>
          <t>Orlando Magic</t>
        </is>
      </c>
      <c r="K393" t="inlineStr">
        <is>
          <t>Yes</t>
        </is>
      </c>
      <c r="L393" t="inlineStr"/>
      <c r="M393" t="inlineStr">
        <is>
          <t>https://fixturedownload.com/download/nba-2024-UTC.csv</t>
        </is>
      </c>
    </row>
    <row r="394">
      <c r="A394" t="n">
        <v>362</v>
      </c>
      <c r="B394" t="n">
        <v>8</v>
      </c>
      <c r="C394" t="inlineStr">
        <is>
          <t>20/12/2024 00:00</t>
        </is>
      </c>
      <c r="D394" t="inlineStr">
        <is>
          <t>Capital One Arena</t>
        </is>
      </c>
      <c r="E394" t="inlineStr">
        <is>
          <t>Washington Wizards</t>
        </is>
      </c>
      <c r="F394" t="inlineStr">
        <is>
          <t>Charlotte Hornets</t>
        </is>
      </c>
      <c r="G394" t="n">
        <v>123</v>
      </c>
      <c r="H394" t="n">
        <v>114</v>
      </c>
      <c r="I394" t="inlineStr">
        <is>
          <t>Washington Wizards</t>
        </is>
      </c>
      <c r="J394" t="inlineStr">
        <is>
          <t>Charlotte Hornets</t>
        </is>
      </c>
      <c r="K394" t="inlineStr">
        <is>
          <t>Yes</t>
        </is>
      </c>
      <c r="L394" t="inlineStr"/>
      <c r="M394" t="inlineStr">
        <is>
          <t>https://fixturedownload.com/download/nba-2024-UTC.csv</t>
        </is>
      </c>
    </row>
    <row r="395">
      <c r="A395" t="n">
        <v>363</v>
      </c>
      <c r="B395" t="n">
        <v>8</v>
      </c>
      <c r="C395" t="inlineStr">
        <is>
          <t>20/12/2024 00:30</t>
        </is>
      </c>
      <c r="D395" t="inlineStr">
        <is>
          <t>TD Garden</t>
        </is>
      </c>
      <c r="E395" t="inlineStr">
        <is>
          <t>Boston Celtics</t>
        </is>
      </c>
      <c r="F395" t="inlineStr">
        <is>
          <t>Chicago Bulls</t>
        </is>
      </c>
      <c r="G395" t="n">
        <v>108</v>
      </c>
      <c r="H395" t="n">
        <v>117</v>
      </c>
      <c r="I395" t="inlineStr">
        <is>
          <t>Chicago Bulls</t>
        </is>
      </c>
      <c r="J395" t="inlineStr">
        <is>
          <t>Boston Celtics</t>
        </is>
      </c>
      <c r="K395" t="inlineStr">
        <is>
          <t>Yes</t>
        </is>
      </c>
      <c r="L395" t="inlineStr"/>
      <c r="M395" t="inlineStr">
        <is>
          <t>https://fixturedownload.com/download/nba-2024-UTC.csv</t>
        </is>
      </c>
    </row>
    <row r="396">
      <c r="A396" t="n">
        <v>364</v>
      </c>
      <c r="B396" t="n">
        <v>8</v>
      </c>
      <c r="C396" t="inlineStr">
        <is>
          <t>20/12/2024 00:30</t>
        </is>
      </c>
      <c r="D396" t="inlineStr">
        <is>
          <t>Scotiabank Arena</t>
        </is>
      </c>
      <c r="E396" t="inlineStr">
        <is>
          <t>Toronto Raptors</t>
        </is>
      </c>
      <c r="F396" t="inlineStr">
        <is>
          <t>Brooklyn Nets</t>
        </is>
      </c>
      <c r="G396" t="n">
        <v>94</v>
      </c>
      <c r="H396" t="n">
        <v>101</v>
      </c>
      <c r="I396" t="inlineStr">
        <is>
          <t>Brooklyn Nets</t>
        </is>
      </c>
      <c r="J396" t="inlineStr">
        <is>
          <t>Toronto Raptors</t>
        </is>
      </c>
      <c r="K396" t="inlineStr">
        <is>
          <t>Yes</t>
        </is>
      </c>
      <c r="L396" t="inlineStr"/>
      <c r="M396" t="inlineStr">
        <is>
          <t>https://fixturedownload.com/download/nba-2024-UTC.csv</t>
        </is>
      </c>
    </row>
    <row r="397">
      <c r="A397" t="n">
        <v>365</v>
      </c>
      <c r="B397" t="n">
        <v>8</v>
      </c>
      <c r="C397" t="inlineStr">
        <is>
          <t>20/12/2024 01:00</t>
        </is>
      </c>
      <c r="D397" t="inlineStr">
        <is>
          <t>Toyota Center</t>
        </is>
      </c>
      <c r="E397" t="inlineStr">
        <is>
          <t>Houston Rockets</t>
        </is>
      </c>
      <c r="F397" t="inlineStr">
        <is>
          <t>New Orleans Pelicans</t>
        </is>
      </c>
      <c r="G397" t="n">
        <v>133</v>
      </c>
      <c r="H397" t="n">
        <v>113</v>
      </c>
      <c r="I397" t="inlineStr">
        <is>
          <t>Houston Rockets</t>
        </is>
      </c>
      <c r="J397" t="inlineStr">
        <is>
          <t>New Orleans Pelicans</t>
        </is>
      </c>
      <c r="K397" t="inlineStr">
        <is>
          <t>Yes</t>
        </is>
      </c>
      <c r="L397" t="inlineStr"/>
      <c r="M397" t="inlineStr">
        <is>
          <t>https://fixturedownload.com/download/nba-2024-UTC.csv</t>
        </is>
      </c>
    </row>
    <row r="398">
      <c r="A398" t="n">
        <v>366</v>
      </c>
      <c r="B398" t="n">
        <v>8</v>
      </c>
      <c r="C398" t="inlineStr">
        <is>
          <t>20/12/2024 01:00</t>
        </is>
      </c>
      <c r="D398" t="inlineStr">
        <is>
          <t>FedExForum</t>
        </is>
      </c>
      <c r="E398" t="inlineStr">
        <is>
          <t>Memphis Grizzlies</t>
        </is>
      </c>
      <c r="F398" t="inlineStr">
        <is>
          <t>Golden State Warriors</t>
        </is>
      </c>
      <c r="G398" t="n">
        <v>144</v>
      </c>
      <c r="H398" t="n">
        <v>93</v>
      </c>
      <c r="I398" t="inlineStr">
        <is>
          <t>Memphis Grizzlies</t>
        </is>
      </c>
      <c r="J398" t="inlineStr">
        <is>
          <t>Golden State Warriors</t>
        </is>
      </c>
      <c r="K398" t="inlineStr">
        <is>
          <t>Yes</t>
        </is>
      </c>
      <c r="L398" t="inlineStr"/>
      <c r="M398" t="inlineStr">
        <is>
          <t>https://fixturedownload.com/download/nba-2024-UTC.csv</t>
        </is>
      </c>
    </row>
    <row r="399">
      <c r="A399" t="n">
        <v>370</v>
      </c>
      <c r="B399" t="n">
        <v>8</v>
      </c>
      <c r="C399" t="inlineStr">
        <is>
          <t>20/12/2024 01:00</t>
        </is>
      </c>
      <c r="D399" t="inlineStr">
        <is>
          <t>Frost Bank Center</t>
        </is>
      </c>
      <c r="E399" t="inlineStr">
        <is>
          <t>San Antonio Spurs</t>
        </is>
      </c>
      <c r="F399" t="inlineStr">
        <is>
          <t>Atlanta Hawks</t>
        </is>
      </c>
      <c r="G399" t="n">
        <v>133</v>
      </c>
      <c r="H399" t="n">
        <v>126</v>
      </c>
      <c r="I399" t="inlineStr">
        <is>
          <t>San Antonio Spurs</t>
        </is>
      </c>
      <c r="J399" t="inlineStr">
        <is>
          <t>Atlanta Hawks</t>
        </is>
      </c>
      <c r="K399" t="inlineStr">
        <is>
          <t>Yes</t>
        </is>
      </c>
      <c r="L399" t="inlineStr"/>
      <c r="M399" t="inlineStr">
        <is>
          <t>https://fixturedownload.com/download/nba-2024-UTC.csv</t>
        </is>
      </c>
    </row>
    <row r="400">
      <c r="A400" t="n">
        <v>368</v>
      </c>
      <c r="B400" t="n">
        <v>8</v>
      </c>
      <c r="C400" t="inlineStr">
        <is>
          <t>20/12/2024 01:30</t>
        </is>
      </c>
      <c r="D400" t="inlineStr">
        <is>
          <t>American Airlines Center</t>
        </is>
      </c>
      <c r="E400" t="inlineStr">
        <is>
          <t>Dallas Mavericks</t>
        </is>
      </c>
      <c r="F400" t="inlineStr">
        <is>
          <t>LA Clippers</t>
        </is>
      </c>
      <c r="G400" t="n">
        <v>95</v>
      </c>
      <c r="H400" t="n">
        <v>118</v>
      </c>
      <c r="I400" t="inlineStr">
        <is>
          <t>LA Clippers</t>
        </is>
      </c>
      <c r="J400" t="inlineStr">
        <is>
          <t>Dallas Mavericks</t>
        </is>
      </c>
      <c r="K400" t="inlineStr">
        <is>
          <t>Yes</t>
        </is>
      </c>
      <c r="L400" t="inlineStr"/>
      <c r="M400" t="inlineStr">
        <is>
          <t>https://fixturedownload.com/download/nba-2024-UTC.csv</t>
        </is>
      </c>
    </row>
    <row r="401">
      <c r="A401" t="n">
        <v>369</v>
      </c>
      <c r="B401" t="n">
        <v>8</v>
      </c>
      <c r="C401" t="inlineStr">
        <is>
          <t>20/12/2024 02:00</t>
        </is>
      </c>
      <c r="D401" t="inlineStr">
        <is>
          <t>PHX Arena</t>
        </is>
      </c>
      <c r="E401" t="inlineStr">
        <is>
          <t>Phoenix Suns</t>
        </is>
      </c>
      <c r="F401" t="inlineStr">
        <is>
          <t>Indiana Pacers</t>
        </is>
      </c>
      <c r="G401" t="n">
        <v>111</v>
      </c>
      <c r="H401" t="n">
        <v>120</v>
      </c>
      <c r="I401" t="inlineStr">
        <is>
          <t>Indiana Pacers</t>
        </is>
      </c>
      <c r="J401" t="inlineStr">
        <is>
          <t>Phoenix Suns</t>
        </is>
      </c>
      <c r="K401" t="inlineStr">
        <is>
          <t>Yes</t>
        </is>
      </c>
      <c r="L401" t="inlineStr"/>
      <c r="M401" t="inlineStr">
        <is>
          <t>https://fixturedownload.com/download/nba-2024-UTC.csv</t>
        </is>
      </c>
    </row>
    <row r="402">
      <c r="A402" t="n">
        <v>367</v>
      </c>
      <c r="B402" t="n">
        <v>8</v>
      </c>
      <c r="C402" t="inlineStr">
        <is>
          <t>20/12/2024 02:30</t>
        </is>
      </c>
      <c r="D402" t="inlineStr">
        <is>
          <t>Target Center</t>
        </is>
      </c>
      <c r="E402" t="inlineStr">
        <is>
          <t>Minnesota Timberwolves</t>
        </is>
      </c>
      <c r="F402" t="inlineStr">
        <is>
          <t>New York Knicks</t>
        </is>
      </c>
      <c r="G402" t="n">
        <v>107</v>
      </c>
      <c r="H402" t="n">
        <v>133</v>
      </c>
      <c r="I402" t="inlineStr">
        <is>
          <t>New York Knicks</t>
        </is>
      </c>
      <c r="J402" t="inlineStr">
        <is>
          <t>Minnesota Timberwolves</t>
        </is>
      </c>
      <c r="K402" t="inlineStr">
        <is>
          <t>Yes</t>
        </is>
      </c>
      <c r="L402" t="inlineStr"/>
      <c r="M402" t="inlineStr">
        <is>
          <t>https://fixturedownload.com/download/nba-2024-UTC.csv</t>
        </is>
      </c>
    </row>
    <row r="403">
      <c r="A403" t="n">
        <v>371</v>
      </c>
      <c r="B403" t="n">
        <v>8</v>
      </c>
      <c r="C403" t="inlineStr">
        <is>
          <t>20/12/2024 03:00</t>
        </is>
      </c>
      <c r="D403" t="inlineStr">
        <is>
          <t>Moda Center</t>
        </is>
      </c>
      <c r="E403" t="inlineStr">
        <is>
          <t>Portland Trail Blazers</t>
        </is>
      </c>
      <c r="F403" t="inlineStr">
        <is>
          <t>Denver Nuggets</t>
        </is>
      </c>
      <c r="G403" t="n">
        <v>126</v>
      </c>
      <c r="H403" t="n">
        <v>124</v>
      </c>
      <c r="I403" t="inlineStr">
        <is>
          <t>Portland Trail Blazers</t>
        </is>
      </c>
      <c r="J403" t="inlineStr">
        <is>
          <t>Denver Nuggets</t>
        </is>
      </c>
      <c r="K403" t="inlineStr">
        <is>
          <t>Yes</t>
        </is>
      </c>
      <c r="L403" t="inlineStr"/>
      <c r="M403" t="inlineStr">
        <is>
          <t>https://fixturedownload.com/download/nba-2024-UTC.csv</t>
        </is>
      </c>
    </row>
    <row r="404">
      <c r="A404" t="n">
        <v>372</v>
      </c>
      <c r="B404" t="n">
        <v>8</v>
      </c>
      <c r="C404" t="inlineStr">
        <is>
          <t>20/12/2024 03:00</t>
        </is>
      </c>
      <c r="D404" t="inlineStr">
        <is>
          <t>Golden 1 Center</t>
        </is>
      </c>
      <c r="E404" t="inlineStr">
        <is>
          <t>Sacramento Kings</t>
        </is>
      </c>
      <c r="F404" t="inlineStr">
        <is>
          <t>Los Angeles Lakers</t>
        </is>
      </c>
      <c r="G404" t="n">
        <v>100</v>
      </c>
      <c r="H404" t="n">
        <v>113</v>
      </c>
      <c r="I404" t="inlineStr">
        <is>
          <t>Los Angeles Lakers</t>
        </is>
      </c>
      <c r="J404" t="inlineStr">
        <is>
          <t>Sacramento Kings</t>
        </is>
      </c>
      <c r="K404" t="inlineStr">
        <is>
          <t>Yes</t>
        </is>
      </c>
      <c r="L404" t="inlineStr"/>
      <c r="M404" t="inlineStr">
        <is>
          <t>https://fixturedownload.com/download/nba-2024-UTC.csv</t>
        </is>
      </c>
    </row>
    <row r="405">
      <c r="A405" t="n">
        <v>373</v>
      </c>
      <c r="B405" t="n">
        <v>8</v>
      </c>
      <c r="C405" t="inlineStr">
        <is>
          <t>21/12/2024 00:00</t>
        </is>
      </c>
      <c r="D405" t="inlineStr">
        <is>
          <t>Wells Fargo Center</t>
        </is>
      </c>
      <c r="E405" t="inlineStr">
        <is>
          <t>Philadelphia 76ers</t>
        </is>
      </c>
      <c r="F405" t="inlineStr">
        <is>
          <t>Charlotte Hornets</t>
        </is>
      </c>
      <c r="G405" t="n">
        <v>108</v>
      </c>
      <c r="H405" t="n">
        <v>98</v>
      </c>
      <c r="I405" t="inlineStr">
        <is>
          <t>Philadelphia 76ers</t>
        </is>
      </c>
      <c r="J405" t="inlineStr">
        <is>
          <t>Charlotte Hornets</t>
        </is>
      </c>
      <c r="K405" t="inlineStr">
        <is>
          <t>Yes</t>
        </is>
      </c>
      <c r="L405" t="inlineStr"/>
      <c r="M405" t="inlineStr">
        <is>
          <t>https://fixturedownload.com/download/nba-2024-UTC.csv</t>
        </is>
      </c>
    </row>
    <row r="406">
      <c r="A406" t="n">
        <v>374</v>
      </c>
      <c r="B406" t="n">
        <v>8</v>
      </c>
      <c r="C406" t="inlineStr">
        <is>
          <t>21/12/2024 00:30</t>
        </is>
      </c>
      <c r="D406" t="inlineStr">
        <is>
          <t>Rocket Arena</t>
        </is>
      </c>
      <c r="E406" t="inlineStr">
        <is>
          <t>Cleveland Cavaliers</t>
        </is>
      </c>
      <c r="F406" t="inlineStr">
        <is>
          <t>Milwaukee Bucks</t>
        </is>
      </c>
      <c r="G406" t="n">
        <v>124</v>
      </c>
      <c r="H406" t="n">
        <v>101</v>
      </c>
      <c r="I406" t="inlineStr">
        <is>
          <t>Cleveland Cavaliers</t>
        </is>
      </c>
      <c r="J406" t="inlineStr">
        <is>
          <t>Milwaukee Bucks</t>
        </is>
      </c>
      <c r="K406" t="inlineStr">
        <is>
          <t>Yes</t>
        </is>
      </c>
      <c r="L406" t="inlineStr"/>
      <c r="M406" t="inlineStr">
        <is>
          <t>https://fixturedownload.com/download/nba-2024-UTC.csv</t>
        </is>
      </c>
    </row>
    <row r="407">
      <c r="A407" t="n">
        <v>375</v>
      </c>
      <c r="B407" t="n">
        <v>8</v>
      </c>
      <c r="C407" t="inlineStr">
        <is>
          <t>21/12/2024 01:00</t>
        </is>
      </c>
      <c r="D407" t="inlineStr">
        <is>
          <t>Kaseya Center</t>
        </is>
      </c>
      <c r="E407" t="inlineStr">
        <is>
          <t>Miami Heat</t>
        </is>
      </c>
      <c r="F407" t="inlineStr">
        <is>
          <t>Oklahoma City Thunder</t>
        </is>
      </c>
      <c r="G407" t="n">
        <v>97</v>
      </c>
      <c r="H407" t="n">
        <v>104</v>
      </c>
      <c r="I407" t="inlineStr">
        <is>
          <t>Oklahoma City Thunder</t>
        </is>
      </c>
      <c r="J407" t="inlineStr">
        <is>
          <t>Miami Heat</t>
        </is>
      </c>
      <c r="K407" t="inlineStr">
        <is>
          <t>Yes</t>
        </is>
      </c>
      <c r="L407" t="inlineStr"/>
      <c r="M407" t="inlineStr">
        <is>
          <t>https://fixturedownload.com/download/nba-2024-UTC.csv</t>
        </is>
      </c>
    </row>
    <row r="408">
      <c r="A408" t="n">
        <v>376</v>
      </c>
      <c r="B408" t="n">
        <v>8</v>
      </c>
      <c r="C408" t="inlineStr">
        <is>
          <t>21/12/2024 23:00</t>
        </is>
      </c>
      <c r="D408" t="inlineStr">
        <is>
          <t>Golden 1 Center</t>
        </is>
      </c>
      <c r="E408" t="inlineStr">
        <is>
          <t>Sacramento Kings</t>
        </is>
      </c>
      <c r="F408" t="inlineStr">
        <is>
          <t>Los Angeles Lakers</t>
        </is>
      </c>
      <c r="G408" t="n">
        <v>99</v>
      </c>
      <c r="H408" t="n">
        <v>103</v>
      </c>
      <c r="I408" t="inlineStr">
        <is>
          <t>Los Angeles Lakers</t>
        </is>
      </c>
      <c r="J408" t="inlineStr">
        <is>
          <t>Sacramento Kings</t>
        </is>
      </c>
      <c r="K408" t="inlineStr">
        <is>
          <t>Yes</t>
        </is>
      </c>
      <c r="L408" t="inlineStr"/>
      <c r="M408" t="inlineStr">
        <is>
          <t>https://fixturedownload.com/download/nba-2024-UTC.csv</t>
        </is>
      </c>
    </row>
    <row r="409">
      <c r="A409" t="n">
        <v>377</v>
      </c>
      <c r="B409" t="n">
        <v>8</v>
      </c>
      <c r="C409" t="inlineStr">
        <is>
          <t>22/12/2024 00:00</t>
        </is>
      </c>
      <c r="D409" t="inlineStr">
        <is>
          <t>Kia Center</t>
        </is>
      </c>
      <c r="E409" t="inlineStr">
        <is>
          <t>Orlando Magic</t>
        </is>
      </c>
      <c r="F409" t="inlineStr">
        <is>
          <t>Miami Heat</t>
        </is>
      </c>
      <c r="G409" t="n">
        <v>121</v>
      </c>
      <c r="H409" t="n">
        <v>114</v>
      </c>
      <c r="I409" t="inlineStr">
        <is>
          <t>Orlando Magic</t>
        </is>
      </c>
      <c r="J409" t="inlineStr">
        <is>
          <t>Miami Heat</t>
        </is>
      </c>
      <c r="K409" t="inlineStr">
        <is>
          <t>Yes</t>
        </is>
      </c>
      <c r="L409" t="inlineStr"/>
      <c r="M409" t="inlineStr">
        <is>
          <t>https://fixturedownload.com/download/nba-2024-UTC.csv</t>
        </is>
      </c>
    </row>
    <row r="410">
      <c r="A410" t="n">
        <v>378</v>
      </c>
      <c r="B410" t="n">
        <v>8</v>
      </c>
      <c r="C410" t="inlineStr">
        <is>
          <t>22/12/2024 00:30</t>
        </is>
      </c>
      <c r="D410" t="inlineStr">
        <is>
          <t>State Farm Arena</t>
        </is>
      </c>
      <c r="E410" t="inlineStr">
        <is>
          <t>Atlanta Hawks</t>
        </is>
      </c>
      <c r="F410" t="inlineStr">
        <is>
          <t>Memphis Grizzlies</t>
        </is>
      </c>
      <c r="G410" t="n">
        <v>112</v>
      </c>
      <c r="H410" t="n">
        <v>128</v>
      </c>
      <c r="I410" t="inlineStr">
        <is>
          <t>Memphis Grizzlies</t>
        </is>
      </c>
      <c r="J410" t="inlineStr">
        <is>
          <t>Atlanta Hawks</t>
        </is>
      </c>
      <c r="K410" t="inlineStr">
        <is>
          <t>Yes</t>
        </is>
      </c>
      <c r="L410" t="inlineStr"/>
      <c r="M410" t="inlineStr">
        <is>
          <t>https://fixturedownload.com/download/nba-2024-UTC.csv</t>
        </is>
      </c>
    </row>
    <row r="411">
      <c r="A411" t="n">
        <v>379</v>
      </c>
      <c r="B411" t="n">
        <v>8</v>
      </c>
      <c r="C411" t="inlineStr">
        <is>
          <t>22/12/2024 00:30</t>
        </is>
      </c>
      <c r="D411" t="inlineStr">
        <is>
          <t>Barclays Center</t>
        </is>
      </c>
      <c r="E411" t="inlineStr">
        <is>
          <t>Brooklyn Nets</t>
        </is>
      </c>
      <c r="F411" t="inlineStr">
        <is>
          <t>Utah Jazz</t>
        </is>
      </c>
      <c r="G411" t="n">
        <v>94</v>
      </c>
      <c r="H411" t="n">
        <v>105</v>
      </c>
      <c r="I411" t="inlineStr">
        <is>
          <t>Utah Jazz</t>
        </is>
      </c>
      <c r="J411" t="inlineStr">
        <is>
          <t>Brooklyn Nets</t>
        </is>
      </c>
      <c r="K411" t="inlineStr">
        <is>
          <t>Yes</t>
        </is>
      </c>
      <c r="L411" t="inlineStr"/>
      <c r="M411" t="inlineStr">
        <is>
          <t>https://fixturedownload.com/download/nba-2024-UTC.csv</t>
        </is>
      </c>
    </row>
    <row r="412">
      <c r="A412" t="n">
        <v>380</v>
      </c>
      <c r="B412" t="n">
        <v>8</v>
      </c>
      <c r="C412" t="inlineStr">
        <is>
          <t>22/12/2024 01:00</t>
        </is>
      </c>
      <c r="D412" t="inlineStr">
        <is>
          <t>Rocket Arena</t>
        </is>
      </c>
      <c r="E412" t="inlineStr">
        <is>
          <t>Cleveland Cavaliers</t>
        </is>
      </c>
      <c r="F412" t="inlineStr">
        <is>
          <t>Philadelphia 76ers</t>
        </is>
      </c>
      <c r="G412" t="n">
        <v>126</v>
      </c>
      <c r="H412" t="n">
        <v>99</v>
      </c>
      <c r="I412" t="inlineStr">
        <is>
          <t>Cleveland Cavaliers</t>
        </is>
      </c>
      <c r="J412" t="inlineStr">
        <is>
          <t>Philadelphia 76ers</t>
        </is>
      </c>
      <c r="K412" t="inlineStr">
        <is>
          <t>Yes</t>
        </is>
      </c>
      <c r="L412" t="inlineStr"/>
      <c r="M412" t="inlineStr">
        <is>
          <t>https://fixturedownload.com/download/nba-2024-UTC.csv</t>
        </is>
      </c>
    </row>
    <row r="413">
      <c r="A413" t="n">
        <v>381</v>
      </c>
      <c r="B413" t="n">
        <v>8</v>
      </c>
      <c r="C413" t="inlineStr">
        <is>
          <t>22/12/2024 01:00</t>
        </is>
      </c>
      <c r="D413" t="inlineStr">
        <is>
          <t>United Center</t>
        </is>
      </c>
      <c r="E413" t="inlineStr">
        <is>
          <t>Chicago Bulls</t>
        </is>
      </c>
      <c r="F413" t="inlineStr">
        <is>
          <t>Boston Celtics</t>
        </is>
      </c>
      <c r="G413" t="n">
        <v>98</v>
      </c>
      <c r="H413" t="n">
        <v>123</v>
      </c>
      <c r="I413" t="inlineStr">
        <is>
          <t>Boston Celtics</t>
        </is>
      </c>
      <c r="J413" t="inlineStr">
        <is>
          <t>Chicago Bulls</t>
        </is>
      </c>
      <c r="K413" t="inlineStr">
        <is>
          <t>Yes</t>
        </is>
      </c>
      <c r="L413" t="inlineStr"/>
      <c r="M413" t="inlineStr">
        <is>
          <t>https://fixturedownload.com/download/nba-2024-UTC.csv</t>
        </is>
      </c>
    </row>
    <row r="414">
      <c r="A414" t="n">
        <v>382</v>
      </c>
      <c r="B414" t="n">
        <v>8</v>
      </c>
      <c r="C414" t="inlineStr">
        <is>
          <t>22/12/2024 01:00</t>
        </is>
      </c>
      <c r="D414" t="inlineStr">
        <is>
          <t>Fiserv Forum</t>
        </is>
      </c>
      <c r="E414" t="inlineStr">
        <is>
          <t>Milwaukee Bucks</t>
        </is>
      </c>
      <c r="F414" t="inlineStr">
        <is>
          <t>Washington Wizards</t>
        </is>
      </c>
      <c r="G414" t="n">
        <v>112</v>
      </c>
      <c r="H414" t="n">
        <v>101</v>
      </c>
      <c r="I414" t="inlineStr">
        <is>
          <t>Milwaukee Bucks</t>
        </is>
      </c>
      <c r="J414" t="inlineStr">
        <is>
          <t>Washington Wizards</t>
        </is>
      </c>
      <c r="K414" t="inlineStr">
        <is>
          <t>Yes</t>
        </is>
      </c>
      <c r="L414" t="inlineStr"/>
      <c r="M414" t="inlineStr">
        <is>
          <t>https://fixturedownload.com/download/nba-2024-UTC.csv</t>
        </is>
      </c>
    </row>
    <row r="415">
      <c r="A415" t="n">
        <v>383</v>
      </c>
      <c r="B415" t="n">
        <v>8</v>
      </c>
      <c r="C415" t="inlineStr">
        <is>
          <t>22/12/2024 01:00</t>
        </is>
      </c>
      <c r="D415" t="inlineStr">
        <is>
          <t>Target Center</t>
        </is>
      </c>
      <c r="E415" t="inlineStr">
        <is>
          <t>Minnesota Timberwolves</t>
        </is>
      </c>
      <c r="F415" t="inlineStr">
        <is>
          <t>Golden State Warriors</t>
        </is>
      </c>
      <c r="G415" t="n">
        <v>103</v>
      </c>
      <c r="H415" t="n">
        <v>113</v>
      </c>
      <c r="I415" t="inlineStr">
        <is>
          <t>Golden State Warriors</t>
        </is>
      </c>
      <c r="J415" t="inlineStr">
        <is>
          <t>Minnesota Timberwolves</t>
        </is>
      </c>
      <c r="K415" t="inlineStr">
        <is>
          <t>Yes</t>
        </is>
      </c>
      <c r="L415" t="inlineStr"/>
      <c r="M415" t="inlineStr">
        <is>
          <t>https://fixturedownload.com/download/nba-2024-UTC.csv</t>
        </is>
      </c>
    </row>
    <row r="416">
      <c r="A416" t="n">
        <v>384</v>
      </c>
      <c r="B416" t="n">
        <v>8</v>
      </c>
      <c r="C416" t="inlineStr">
        <is>
          <t>22/12/2024 01:00</t>
        </is>
      </c>
      <c r="D416" t="inlineStr">
        <is>
          <t>Smoothie King Center</t>
        </is>
      </c>
      <c r="E416" t="inlineStr">
        <is>
          <t>New Orleans Pelicans</t>
        </is>
      </c>
      <c r="F416" t="inlineStr">
        <is>
          <t>New York Knicks</t>
        </is>
      </c>
      <c r="G416" t="n">
        <v>93</v>
      </c>
      <c r="H416" t="n">
        <v>104</v>
      </c>
      <c r="I416" t="inlineStr">
        <is>
          <t>New York Knicks</t>
        </is>
      </c>
      <c r="J416" t="inlineStr">
        <is>
          <t>New Orleans Pelicans</t>
        </is>
      </c>
      <c r="K416" t="inlineStr">
        <is>
          <t>Yes</t>
        </is>
      </c>
      <c r="L416" t="inlineStr"/>
      <c r="M416" t="inlineStr">
        <is>
          <t>https://fixturedownload.com/download/nba-2024-UTC.csv</t>
        </is>
      </c>
    </row>
    <row r="417">
      <c r="A417" t="n">
        <v>385</v>
      </c>
      <c r="B417" t="n">
        <v>8</v>
      </c>
      <c r="C417" t="inlineStr">
        <is>
          <t>22/12/2024 01:30</t>
        </is>
      </c>
      <c r="D417" t="inlineStr">
        <is>
          <t>American Airlines Center</t>
        </is>
      </c>
      <c r="E417" t="inlineStr">
        <is>
          <t>Dallas Mavericks</t>
        </is>
      </c>
      <c r="F417" t="inlineStr">
        <is>
          <t>LA Clippers</t>
        </is>
      </c>
      <c r="G417" t="n">
        <v>113</v>
      </c>
      <c r="H417" t="n">
        <v>97</v>
      </c>
      <c r="I417" t="inlineStr">
        <is>
          <t>Dallas Mavericks</t>
        </is>
      </c>
      <c r="J417" t="inlineStr">
        <is>
          <t>LA Clippers</t>
        </is>
      </c>
      <c r="K417" t="inlineStr">
        <is>
          <t>Yes</t>
        </is>
      </c>
      <c r="L417" t="inlineStr"/>
      <c r="M417" t="inlineStr">
        <is>
          <t>https://fixturedownload.com/download/nba-2024-UTC.csv</t>
        </is>
      </c>
    </row>
    <row r="418">
      <c r="A418" t="n">
        <v>386</v>
      </c>
      <c r="B418" t="n">
        <v>8</v>
      </c>
      <c r="C418" t="inlineStr">
        <is>
          <t>22/12/2024 01:30</t>
        </is>
      </c>
      <c r="D418" t="inlineStr">
        <is>
          <t>Frost Bank Center</t>
        </is>
      </c>
      <c r="E418" t="inlineStr">
        <is>
          <t>San Antonio Spurs</t>
        </is>
      </c>
      <c r="F418" t="inlineStr">
        <is>
          <t>Portland Trail Blazers</t>
        </is>
      </c>
      <c r="G418" t="n">
        <v>114</v>
      </c>
      <c r="H418" t="n">
        <v>94</v>
      </c>
      <c r="I418" t="inlineStr">
        <is>
          <t>San Antonio Spurs</t>
        </is>
      </c>
      <c r="J418" t="inlineStr">
        <is>
          <t>Portland Trail Blazers</t>
        </is>
      </c>
      <c r="K418" t="inlineStr">
        <is>
          <t>Yes</t>
        </is>
      </c>
      <c r="L418" t="inlineStr"/>
      <c r="M418" t="inlineStr">
        <is>
          <t>https://fixturedownload.com/download/nba-2024-UTC.csv</t>
        </is>
      </c>
    </row>
    <row r="419">
      <c r="A419" t="n">
        <v>387</v>
      </c>
      <c r="B419" t="n">
        <v>8</v>
      </c>
      <c r="C419" t="inlineStr">
        <is>
          <t>22/12/2024 02:00</t>
        </is>
      </c>
      <c r="D419" t="inlineStr">
        <is>
          <t>PHX Arena</t>
        </is>
      </c>
      <c r="E419" t="inlineStr">
        <is>
          <t>Phoenix Suns</t>
        </is>
      </c>
      <c r="F419" t="inlineStr">
        <is>
          <t>Detroit Pistons</t>
        </is>
      </c>
      <c r="G419" t="n">
        <v>125</v>
      </c>
      <c r="H419" t="n">
        <v>133</v>
      </c>
      <c r="I419" t="inlineStr">
        <is>
          <t>Detroit Pistons</t>
        </is>
      </c>
      <c r="J419" t="inlineStr">
        <is>
          <t>Phoenix Suns</t>
        </is>
      </c>
      <c r="K419" t="inlineStr">
        <is>
          <t>Yes</t>
        </is>
      </c>
      <c r="L419" t="inlineStr"/>
      <c r="M419" t="inlineStr">
        <is>
          <t>https://fixturedownload.com/download/nba-2024-UTC.csv</t>
        </is>
      </c>
    </row>
    <row r="420">
      <c r="A420" t="n">
        <v>388</v>
      </c>
      <c r="B420" t="n">
        <v>8</v>
      </c>
      <c r="C420" t="inlineStr">
        <is>
          <t>22/12/2024 23:00</t>
        </is>
      </c>
      <c r="D420" t="inlineStr">
        <is>
          <t>Scotiabank Arena</t>
        </is>
      </c>
      <c r="E420" t="inlineStr">
        <is>
          <t>Toronto Raptors</t>
        </is>
      </c>
      <c r="F420" t="inlineStr">
        <is>
          <t>Houston Rockets</t>
        </is>
      </c>
      <c r="G420" t="n">
        <v>110</v>
      </c>
      <c r="H420" t="n">
        <v>114</v>
      </c>
      <c r="I420" t="inlineStr">
        <is>
          <t>Houston Rockets</t>
        </is>
      </c>
      <c r="J420" t="inlineStr">
        <is>
          <t>Toronto Raptors</t>
        </is>
      </c>
      <c r="K420" t="inlineStr">
        <is>
          <t>Yes</t>
        </is>
      </c>
      <c r="L420" t="inlineStr"/>
      <c r="M420" t="inlineStr">
        <is>
          <t>https://fixturedownload.com/download/nba-2024-UTC.csv</t>
        </is>
      </c>
    </row>
    <row r="421">
      <c r="A421" t="n">
        <v>389</v>
      </c>
      <c r="B421" t="n">
        <v>8</v>
      </c>
      <c r="C421" t="inlineStr">
        <is>
          <t>22/12/2024 23:00</t>
        </is>
      </c>
      <c r="D421" t="inlineStr">
        <is>
          <t>Golden 1 Center</t>
        </is>
      </c>
      <c r="E421" t="inlineStr">
        <is>
          <t>Sacramento Kings</t>
        </is>
      </c>
      <c r="F421" t="inlineStr">
        <is>
          <t>Indiana Pacers</t>
        </is>
      </c>
      <c r="G421" t="n">
        <v>95</v>
      </c>
      <c r="H421" t="n">
        <v>122</v>
      </c>
      <c r="I421" t="inlineStr">
        <is>
          <t>Indiana Pacers</t>
        </is>
      </c>
      <c r="J421" t="inlineStr">
        <is>
          <t>Sacramento Kings</t>
        </is>
      </c>
      <c r="K421" t="inlineStr">
        <is>
          <t>Yes</t>
        </is>
      </c>
      <c r="L421" t="inlineStr"/>
      <c r="M421" t="inlineStr">
        <is>
          <t>https://fixturedownload.com/download/nba-2024-UTC.csv</t>
        </is>
      </c>
    </row>
    <row r="422">
      <c r="A422" t="n">
        <v>390</v>
      </c>
      <c r="B422" t="n">
        <v>8</v>
      </c>
      <c r="C422" t="inlineStr">
        <is>
          <t>23/12/2024 00:00</t>
        </is>
      </c>
      <c r="D422" t="inlineStr">
        <is>
          <t>Smoothie King Center</t>
        </is>
      </c>
      <c r="E422" t="inlineStr">
        <is>
          <t>New Orleans Pelicans</t>
        </is>
      </c>
      <c r="F422" t="inlineStr">
        <is>
          <t>Denver Nuggets</t>
        </is>
      </c>
      <c r="G422" t="n">
        <v>129</v>
      </c>
      <c r="H422" t="n">
        <v>132</v>
      </c>
      <c r="I422" t="inlineStr">
        <is>
          <t>Denver Nuggets</t>
        </is>
      </c>
      <c r="J422" t="inlineStr">
        <is>
          <t>New Orleans Pelicans</t>
        </is>
      </c>
      <c r="K422" t="inlineStr">
        <is>
          <t>Yes</t>
        </is>
      </c>
      <c r="L422" t="inlineStr"/>
      <c r="M422" t="inlineStr">
        <is>
          <t>https://fixturedownload.com/download/nba-2024-UTC.csv</t>
        </is>
      </c>
    </row>
    <row r="423">
      <c r="A423" t="n">
        <v>391</v>
      </c>
      <c r="B423" t="n">
        <v>8</v>
      </c>
      <c r="C423" t="inlineStr">
        <is>
          <t>24/12/2024 00:00</t>
        </is>
      </c>
      <c r="D423" t="inlineStr">
        <is>
          <t>Spectrum Center</t>
        </is>
      </c>
      <c r="E423" t="inlineStr">
        <is>
          <t>Charlotte Hornets</t>
        </is>
      </c>
      <c r="F423" t="inlineStr">
        <is>
          <t>Houston Rockets</t>
        </is>
      </c>
      <c r="G423" t="n">
        <v>101</v>
      </c>
      <c r="H423" t="n">
        <v>114</v>
      </c>
      <c r="I423" t="inlineStr">
        <is>
          <t>Houston Rockets</t>
        </is>
      </c>
      <c r="J423" t="inlineStr">
        <is>
          <t>Charlotte Hornets</t>
        </is>
      </c>
      <c r="K423" t="inlineStr">
        <is>
          <t>Yes</t>
        </is>
      </c>
      <c r="L423" t="inlineStr"/>
      <c r="M423" t="inlineStr">
        <is>
          <t>https://fixturedownload.com/download/nba-2024-UTC.csv</t>
        </is>
      </c>
    </row>
    <row r="424">
      <c r="A424" t="n">
        <v>392</v>
      </c>
      <c r="B424" t="n">
        <v>8</v>
      </c>
      <c r="C424" t="inlineStr">
        <is>
          <t>24/12/2024 00:00</t>
        </is>
      </c>
      <c r="D424" t="inlineStr">
        <is>
          <t>Rocket Arena</t>
        </is>
      </c>
      <c r="E424" t="inlineStr">
        <is>
          <t>Cleveland Cavaliers</t>
        </is>
      </c>
      <c r="F424" t="inlineStr">
        <is>
          <t>Utah Jazz</t>
        </is>
      </c>
      <c r="G424" t="n">
        <v>124</v>
      </c>
      <c r="H424" t="n">
        <v>113</v>
      </c>
      <c r="I424" t="inlineStr">
        <is>
          <t>Cleveland Cavaliers</t>
        </is>
      </c>
      <c r="J424" t="inlineStr">
        <is>
          <t>Utah Jazz</t>
        </is>
      </c>
      <c r="K424" t="inlineStr">
        <is>
          <t>Yes</t>
        </is>
      </c>
      <c r="L424" t="inlineStr"/>
      <c r="M424" t="inlineStr">
        <is>
          <t>https://fixturedownload.com/download/nba-2024-UTC.csv</t>
        </is>
      </c>
    </row>
    <row r="425">
      <c r="A425" t="n">
        <v>393</v>
      </c>
      <c r="B425" t="n">
        <v>8</v>
      </c>
      <c r="C425" t="inlineStr">
        <is>
          <t>24/12/2024 00:00</t>
        </is>
      </c>
      <c r="D425" t="inlineStr">
        <is>
          <t>Kia Center</t>
        </is>
      </c>
      <c r="E425" t="inlineStr">
        <is>
          <t>Orlando Magic</t>
        </is>
      </c>
      <c r="F425" t="inlineStr">
        <is>
          <t>Boston Celtics</t>
        </is>
      </c>
      <c r="G425" t="n">
        <v>108</v>
      </c>
      <c r="H425" t="n">
        <v>104</v>
      </c>
      <c r="I425" t="inlineStr">
        <is>
          <t>Orlando Magic</t>
        </is>
      </c>
      <c r="J425" t="inlineStr">
        <is>
          <t>Boston Celtics</t>
        </is>
      </c>
      <c r="K425" t="inlineStr">
        <is>
          <t>Yes</t>
        </is>
      </c>
      <c r="L425" t="inlineStr"/>
      <c r="M425" t="inlineStr">
        <is>
          <t>https://fixturedownload.com/download/nba-2024-UTC.csv</t>
        </is>
      </c>
    </row>
    <row r="426">
      <c r="A426" t="n">
        <v>394</v>
      </c>
      <c r="B426" t="n">
        <v>8</v>
      </c>
      <c r="C426" t="inlineStr">
        <is>
          <t>24/12/2024 00:00</t>
        </is>
      </c>
      <c r="D426" t="inlineStr">
        <is>
          <t>Wells Fargo Center</t>
        </is>
      </c>
      <c r="E426" t="inlineStr">
        <is>
          <t>Philadelphia 76ers</t>
        </is>
      </c>
      <c r="F426" t="inlineStr">
        <is>
          <t>San Antonio Spurs</t>
        </is>
      </c>
      <c r="G426" t="n">
        <v>111</v>
      </c>
      <c r="H426" t="n">
        <v>106</v>
      </c>
      <c r="I426" t="inlineStr">
        <is>
          <t>Philadelphia 76ers</t>
        </is>
      </c>
      <c r="J426" t="inlineStr">
        <is>
          <t>San Antonio Spurs</t>
        </is>
      </c>
      <c r="K426" t="inlineStr">
        <is>
          <t>Yes</t>
        </is>
      </c>
      <c r="L426" t="inlineStr"/>
      <c r="M426" t="inlineStr">
        <is>
          <t>https://fixturedownload.com/download/nba-2024-UTC.csv</t>
        </is>
      </c>
    </row>
    <row r="427">
      <c r="A427" t="n">
        <v>395</v>
      </c>
      <c r="B427" t="n">
        <v>8</v>
      </c>
      <c r="C427" t="inlineStr">
        <is>
          <t>24/12/2024 00:30</t>
        </is>
      </c>
      <c r="D427" t="inlineStr">
        <is>
          <t>State Farm Arena</t>
        </is>
      </c>
      <c r="E427" t="inlineStr">
        <is>
          <t>Atlanta Hawks</t>
        </is>
      </c>
      <c r="F427" t="inlineStr">
        <is>
          <t>Minnesota Timberwolves</t>
        </is>
      </c>
      <c r="G427" t="n">
        <v>117</v>
      </c>
      <c r="H427" t="n">
        <v>104</v>
      </c>
      <c r="I427" t="inlineStr">
        <is>
          <t>Atlanta Hawks</t>
        </is>
      </c>
      <c r="J427" t="inlineStr">
        <is>
          <t>Minnesota Timberwolves</t>
        </is>
      </c>
      <c r="K427" t="inlineStr">
        <is>
          <t>Yes</t>
        </is>
      </c>
      <c r="L427" t="inlineStr"/>
      <c r="M427" t="inlineStr">
        <is>
          <t>https://fixturedownload.com/download/nba-2024-UTC.csv</t>
        </is>
      </c>
    </row>
    <row r="428">
      <c r="A428" t="n">
        <v>396</v>
      </c>
      <c r="B428" t="n">
        <v>8</v>
      </c>
      <c r="C428" t="inlineStr">
        <is>
          <t>24/12/2024 00:30</t>
        </is>
      </c>
      <c r="D428" t="inlineStr">
        <is>
          <t>Kaseya Center</t>
        </is>
      </c>
      <c r="E428" t="inlineStr">
        <is>
          <t>Miami Heat</t>
        </is>
      </c>
      <c r="F428" t="inlineStr">
        <is>
          <t>Brooklyn Nets</t>
        </is>
      </c>
      <c r="G428" t="n">
        <v>110</v>
      </c>
      <c r="H428" t="n">
        <v>95</v>
      </c>
      <c r="I428" t="inlineStr">
        <is>
          <t>Miami Heat</t>
        </is>
      </c>
      <c r="J428" t="inlineStr">
        <is>
          <t>Brooklyn Nets</t>
        </is>
      </c>
      <c r="K428" t="inlineStr">
        <is>
          <t>Yes</t>
        </is>
      </c>
      <c r="L428" t="inlineStr"/>
      <c r="M428" t="inlineStr">
        <is>
          <t>https://fixturedownload.com/download/nba-2024-UTC.csv</t>
        </is>
      </c>
    </row>
    <row r="429">
      <c r="A429" t="n">
        <v>397</v>
      </c>
      <c r="B429" t="n">
        <v>8</v>
      </c>
      <c r="C429" t="inlineStr">
        <is>
          <t>24/12/2024 00:30</t>
        </is>
      </c>
      <c r="D429" t="inlineStr">
        <is>
          <t>Madison Square Garden</t>
        </is>
      </c>
      <c r="E429" t="inlineStr">
        <is>
          <t>New York Knicks</t>
        </is>
      </c>
      <c r="F429" t="inlineStr">
        <is>
          <t>Toronto Raptors</t>
        </is>
      </c>
      <c r="G429" t="n">
        <v>139</v>
      </c>
      <c r="H429" t="n">
        <v>125</v>
      </c>
      <c r="I429" t="inlineStr">
        <is>
          <t>New York Knicks</t>
        </is>
      </c>
      <c r="J429" t="inlineStr">
        <is>
          <t>Toronto Raptors</t>
        </is>
      </c>
      <c r="K429" t="inlineStr">
        <is>
          <t>Yes</t>
        </is>
      </c>
      <c r="L429" t="inlineStr"/>
      <c r="M429" t="inlineStr">
        <is>
          <t>https://fixturedownload.com/download/nba-2024-UTC.csv</t>
        </is>
      </c>
    </row>
    <row r="430">
      <c r="A430" t="n">
        <v>398</v>
      </c>
      <c r="B430" t="n">
        <v>8</v>
      </c>
      <c r="C430" t="inlineStr">
        <is>
          <t>24/12/2024 01:00</t>
        </is>
      </c>
      <c r="D430" t="inlineStr">
        <is>
          <t>United Center</t>
        </is>
      </c>
      <c r="E430" t="inlineStr">
        <is>
          <t>Chicago Bulls</t>
        </is>
      </c>
      <c r="F430" t="inlineStr">
        <is>
          <t>Milwaukee Bucks</t>
        </is>
      </c>
      <c r="G430" t="n">
        <v>91</v>
      </c>
      <c r="H430" t="n">
        <v>112</v>
      </c>
      <c r="I430" t="inlineStr">
        <is>
          <t>Milwaukee Bucks</t>
        </is>
      </c>
      <c r="J430" t="inlineStr">
        <is>
          <t>Chicago Bulls</t>
        </is>
      </c>
      <c r="K430" t="inlineStr">
        <is>
          <t>Yes</t>
        </is>
      </c>
      <c r="L430" t="inlineStr"/>
      <c r="M430" t="inlineStr">
        <is>
          <t>https://fixturedownload.com/download/nba-2024-UTC.csv</t>
        </is>
      </c>
    </row>
    <row r="431">
      <c r="A431" t="n">
        <v>399</v>
      </c>
      <c r="B431" t="n">
        <v>8</v>
      </c>
      <c r="C431" t="inlineStr">
        <is>
          <t>24/12/2024 01:00</t>
        </is>
      </c>
      <c r="D431" t="inlineStr">
        <is>
          <t>FedExForum</t>
        </is>
      </c>
      <c r="E431" t="inlineStr">
        <is>
          <t>Memphis Grizzlies</t>
        </is>
      </c>
      <c r="F431" t="inlineStr">
        <is>
          <t>LA Clippers</t>
        </is>
      </c>
      <c r="G431" t="n">
        <v>110</v>
      </c>
      <c r="H431" t="n">
        <v>114</v>
      </c>
      <c r="I431" t="inlineStr">
        <is>
          <t>LA Clippers</t>
        </is>
      </c>
      <c r="J431" t="inlineStr">
        <is>
          <t>Memphis Grizzlies</t>
        </is>
      </c>
      <c r="K431" t="inlineStr">
        <is>
          <t>Yes</t>
        </is>
      </c>
      <c r="L431" t="inlineStr"/>
      <c r="M431" t="inlineStr">
        <is>
          <t>https://fixturedownload.com/download/nba-2024-UTC.csv</t>
        </is>
      </c>
    </row>
    <row r="432">
      <c r="A432" t="n">
        <v>400</v>
      </c>
      <c r="B432" t="n">
        <v>8</v>
      </c>
      <c r="C432" t="inlineStr">
        <is>
          <t>24/12/2024 01:00</t>
        </is>
      </c>
      <c r="D432" t="inlineStr">
        <is>
          <t>Paycom Center</t>
        </is>
      </c>
      <c r="E432" t="inlineStr">
        <is>
          <t>Oklahoma City Thunder</t>
        </is>
      </c>
      <c r="F432" t="inlineStr">
        <is>
          <t>Washington Wizards</t>
        </is>
      </c>
      <c r="G432" t="n">
        <v>123</v>
      </c>
      <c r="H432" t="n">
        <v>105</v>
      </c>
      <c r="I432" t="inlineStr">
        <is>
          <t>Oklahoma City Thunder</t>
        </is>
      </c>
      <c r="J432" t="inlineStr">
        <is>
          <t>Washington Wizards</t>
        </is>
      </c>
      <c r="K432" t="inlineStr">
        <is>
          <t>Yes</t>
        </is>
      </c>
      <c r="L432" t="inlineStr"/>
      <c r="M432" t="inlineStr">
        <is>
          <t>https://fixturedownload.com/download/nba-2024-UTC.csv</t>
        </is>
      </c>
    </row>
    <row r="433">
      <c r="A433" t="n">
        <v>401</v>
      </c>
      <c r="B433" t="n">
        <v>8</v>
      </c>
      <c r="C433" t="inlineStr">
        <is>
          <t>24/12/2024 01:30</t>
        </is>
      </c>
      <c r="D433" t="inlineStr">
        <is>
          <t>American Airlines Center</t>
        </is>
      </c>
      <c r="E433" t="inlineStr">
        <is>
          <t>Dallas Mavericks</t>
        </is>
      </c>
      <c r="F433" t="inlineStr">
        <is>
          <t>Portland Trail Blazers</t>
        </is>
      </c>
      <c r="G433" t="n">
        <v>132</v>
      </c>
      <c r="H433" t="n">
        <v>108</v>
      </c>
      <c r="I433" t="inlineStr">
        <is>
          <t>Dallas Mavericks</t>
        </is>
      </c>
      <c r="J433" t="inlineStr">
        <is>
          <t>Portland Trail Blazers</t>
        </is>
      </c>
      <c r="K433" t="inlineStr">
        <is>
          <t>Yes</t>
        </is>
      </c>
      <c r="L433" t="inlineStr"/>
      <c r="M433" t="inlineStr">
        <is>
          <t>https://fixturedownload.com/download/nba-2024-UTC.csv</t>
        </is>
      </c>
    </row>
    <row r="434">
      <c r="A434" t="n">
        <v>402</v>
      </c>
      <c r="B434" t="n">
        <v>8</v>
      </c>
      <c r="C434" t="inlineStr">
        <is>
          <t>24/12/2024 03:00</t>
        </is>
      </c>
      <c r="D434" t="inlineStr">
        <is>
          <t>Ball Arena</t>
        </is>
      </c>
      <c r="E434" t="inlineStr">
        <is>
          <t>Denver Nuggets</t>
        </is>
      </c>
      <c r="F434" t="inlineStr">
        <is>
          <t>Phoenix Suns</t>
        </is>
      </c>
      <c r="G434" t="n">
        <v>117</v>
      </c>
      <c r="H434" t="n">
        <v>90</v>
      </c>
      <c r="I434" t="inlineStr">
        <is>
          <t>Denver Nuggets</t>
        </is>
      </c>
      <c r="J434" t="inlineStr">
        <is>
          <t>Phoenix Suns</t>
        </is>
      </c>
      <c r="K434" t="inlineStr">
        <is>
          <t>Yes</t>
        </is>
      </c>
      <c r="L434" t="inlineStr"/>
      <c r="M434" t="inlineStr">
        <is>
          <t>https://fixturedownload.com/download/nba-2024-UTC.csv</t>
        </is>
      </c>
    </row>
    <row r="435">
      <c r="A435" t="n">
        <v>403</v>
      </c>
      <c r="B435" t="n">
        <v>8</v>
      </c>
      <c r="C435" t="inlineStr">
        <is>
          <t>24/12/2024 03:00</t>
        </is>
      </c>
      <c r="D435" t="inlineStr">
        <is>
          <t>Chase Center</t>
        </is>
      </c>
      <c r="E435" t="inlineStr">
        <is>
          <t>Golden State Warriors</t>
        </is>
      </c>
      <c r="F435" t="inlineStr">
        <is>
          <t>Indiana Pacers</t>
        </is>
      </c>
      <c r="G435" t="n">
        <v>105</v>
      </c>
      <c r="H435" t="n">
        <v>111</v>
      </c>
      <c r="I435" t="inlineStr">
        <is>
          <t>Indiana Pacers</t>
        </is>
      </c>
      <c r="J435" t="inlineStr">
        <is>
          <t>Golden State Warriors</t>
        </is>
      </c>
      <c r="K435" t="inlineStr">
        <is>
          <t>Yes</t>
        </is>
      </c>
      <c r="L435" t="inlineStr"/>
      <c r="M435" t="inlineStr">
        <is>
          <t>https://fixturedownload.com/download/nba-2024-UTC.csv</t>
        </is>
      </c>
    </row>
    <row r="436">
      <c r="A436" t="n">
        <v>404</v>
      </c>
      <c r="B436" t="n">
        <v>8</v>
      </c>
      <c r="C436" t="inlineStr">
        <is>
          <t>24/12/2024 03:30</t>
        </is>
      </c>
      <c r="D436" t="inlineStr">
        <is>
          <t>Crypto.com Arena</t>
        </is>
      </c>
      <c r="E436" t="inlineStr">
        <is>
          <t>Los Angeles Lakers</t>
        </is>
      </c>
      <c r="F436" t="inlineStr">
        <is>
          <t>Detroit Pistons</t>
        </is>
      </c>
      <c r="G436" t="n">
        <v>114</v>
      </c>
      <c r="H436" t="n">
        <v>117</v>
      </c>
      <c r="I436" t="inlineStr">
        <is>
          <t>Detroit Pistons</t>
        </is>
      </c>
      <c r="J436" t="inlineStr">
        <is>
          <t>Los Angeles Lakers</t>
        </is>
      </c>
      <c r="K436" t="inlineStr">
        <is>
          <t>Yes</t>
        </is>
      </c>
      <c r="L436" t="inlineStr"/>
      <c r="M436" t="inlineStr">
        <is>
          <t>https://fixturedownload.com/download/nba-2024-UTC.csv</t>
        </is>
      </c>
    </row>
    <row r="437">
      <c r="A437" t="n">
        <v>405</v>
      </c>
      <c r="B437" t="n">
        <v>9</v>
      </c>
      <c r="C437" t="inlineStr">
        <is>
          <t>25/12/2024 17:00</t>
        </is>
      </c>
      <c r="D437" t="inlineStr">
        <is>
          <t>Madison Square Garden</t>
        </is>
      </c>
      <c r="E437" t="inlineStr">
        <is>
          <t>New York Knicks</t>
        </is>
      </c>
      <c r="F437" t="inlineStr">
        <is>
          <t>San Antonio Spurs</t>
        </is>
      </c>
      <c r="G437" t="n">
        <v>117</v>
      </c>
      <c r="H437" t="n">
        <v>114</v>
      </c>
      <c r="I437" t="inlineStr">
        <is>
          <t>New York Knicks</t>
        </is>
      </c>
      <c r="J437" t="inlineStr">
        <is>
          <t>San Antonio Spurs</t>
        </is>
      </c>
      <c r="K437" t="inlineStr">
        <is>
          <t>Yes</t>
        </is>
      </c>
      <c r="L437" t="inlineStr"/>
      <c r="M437" t="inlineStr">
        <is>
          <t>https://fixturedownload.com/download/nba-2024-UTC.csv</t>
        </is>
      </c>
    </row>
    <row r="438">
      <c r="A438" t="n">
        <v>406</v>
      </c>
      <c r="B438" t="n">
        <v>9</v>
      </c>
      <c r="C438" t="inlineStr">
        <is>
          <t>25/12/2024 19:30</t>
        </is>
      </c>
      <c r="D438" t="inlineStr">
        <is>
          <t>American Airlines Center</t>
        </is>
      </c>
      <c r="E438" t="inlineStr">
        <is>
          <t>Dallas Mavericks</t>
        </is>
      </c>
      <c r="F438" t="inlineStr">
        <is>
          <t>Minnesota Timberwolves</t>
        </is>
      </c>
      <c r="G438" t="n">
        <v>99</v>
      </c>
      <c r="H438" t="n">
        <v>105</v>
      </c>
      <c r="I438" t="inlineStr">
        <is>
          <t>Minnesota Timberwolves</t>
        </is>
      </c>
      <c r="J438" t="inlineStr">
        <is>
          <t>Dallas Mavericks</t>
        </is>
      </c>
      <c r="K438" t="inlineStr">
        <is>
          <t>Yes</t>
        </is>
      </c>
      <c r="L438" t="inlineStr"/>
      <c r="M438" t="inlineStr">
        <is>
          <t>https://fixturedownload.com/download/nba-2024-UTC.csv</t>
        </is>
      </c>
    </row>
    <row r="439">
      <c r="A439" t="n">
        <v>407</v>
      </c>
      <c r="B439" t="n">
        <v>9</v>
      </c>
      <c r="C439" t="inlineStr">
        <is>
          <t>25/12/2024 22:00</t>
        </is>
      </c>
      <c r="D439" t="inlineStr">
        <is>
          <t>TD Garden</t>
        </is>
      </c>
      <c r="E439" t="inlineStr">
        <is>
          <t>Boston Celtics</t>
        </is>
      </c>
      <c r="F439" t="inlineStr">
        <is>
          <t>Philadelphia 76ers</t>
        </is>
      </c>
      <c r="G439" t="n">
        <v>114</v>
      </c>
      <c r="H439" t="n">
        <v>118</v>
      </c>
      <c r="I439" t="inlineStr">
        <is>
          <t>Philadelphia 76ers</t>
        </is>
      </c>
      <c r="J439" t="inlineStr">
        <is>
          <t>Boston Celtics</t>
        </is>
      </c>
      <c r="K439" t="inlineStr">
        <is>
          <t>Yes</t>
        </is>
      </c>
      <c r="L439" t="inlineStr"/>
      <c r="M439" t="inlineStr">
        <is>
          <t>https://fixturedownload.com/download/nba-2024-UTC.csv</t>
        </is>
      </c>
    </row>
    <row r="440">
      <c r="A440" t="n">
        <v>408</v>
      </c>
      <c r="B440" t="n">
        <v>9</v>
      </c>
      <c r="C440" t="inlineStr">
        <is>
          <t>26/12/2024 01:00</t>
        </is>
      </c>
      <c r="D440" t="inlineStr">
        <is>
          <t>Chase Center</t>
        </is>
      </c>
      <c r="E440" t="inlineStr">
        <is>
          <t>Golden State Warriors</t>
        </is>
      </c>
      <c r="F440" t="inlineStr">
        <is>
          <t>Los Angeles Lakers</t>
        </is>
      </c>
      <c r="G440" t="n">
        <v>113</v>
      </c>
      <c r="H440" t="n">
        <v>115</v>
      </c>
      <c r="I440" t="inlineStr">
        <is>
          <t>Los Angeles Lakers</t>
        </is>
      </c>
      <c r="J440" t="inlineStr">
        <is>
          <t>Golden State Warriors</t>
        </is>
      </c>
      <c r="K440" t="inlineStr">
        <is>
          <t>Yes</t>
        </is>
      </c>
      <c r="L440" t="inlineStr"/>
      <c r="M440" t="inlineStr">
        <is>
          <t>https://fixturedownload.com/download/nba-2024-UTC.csv</t>
        </is>
      </c>
    </row>
    <row r="441">
      <c r="A441" t="n">
        <v>409</v>
      </c>
      <c r="B441" t="n">
        <v>9</v>
      </c>
      <c r="C441" t="inlineStr">
        <is>
          <t>26/12/2024 03:30</t>
        </is>
      </c>
      <c r="D441" t="inlineStr">
        <is>
          <t>PHX Arena</t>
        </is>
      </c>
      <c r="E441" t="inlineStr">
        <is>
          <t>Phoenix Suns</t>
        </is>
      </c>
      <c r="F441" t="inlineStr">
        <is>
          <t>Denver Nuggets</t>
        </is>
      </c>
      <c r="G441" t="n">
        <v>110</v>
      </c>
      <c r="H441" t="n">
        <v>100</v>
      </c>
      <c r="I441" t="inlineStr">
        <is>
          <t>Phoenix Suns</t>
        </is>
      </c>
      <c r="J441" t="inlineStr">
        <is>
          <t>Denver Nuggets</t>
        </is>
      </c>
      <c r="K441" t="inlineStr">
        <is>
          <t>Yes</t>
        </is>
      </c>
      <c r="L441" t="inlineStr"/>
      <c r="M441" t="inlineStr">
        <is>
          <t>https://fixturedownload.com/download/nba-2024-UTC.csv</t>
        </is>
      </c>
    </row>
    <row r="442">
      <c r="A442" t="n">
        <v>410</v>
      </c>
      <c r="B442" t="n">
        <v>9</v>
      </c>
      <c r="C442" t="inlineStr">
        <is>
          <t>27/12/2024 00:00</t>
        </is>
      </c>
      <c r="D442" t="inlineStr">
        <is>
          <t>Gainbridge Fieldhouse</t>
        </is>
      </c>
      <c r="E442" t="inlineStr">
        <is>
          <t>Indiana Pacers</t>
        </is>
      </c>
      <c r="F442" t="inlineStr">
        <is>
          <t>Oklahoma City Thunder</t>
        </is>
      </c>
      <c r="G442" t="n">
        <v>114</v>
      </c>
      <c r="H442" t="n">
        <v>120</v>
      </c>
      <c r="I442" t="inlineStr">
        <is>
          <t>Oklahoma City Thunder</t>
        </is>
      </c>
      <c r="J442" t="inlineStr">
        <is>
          <t>Indiana Pacers</t>
        </is>
      </c>
      <c r="K442" t="inlineStr">
        <is>
          <t>Yes</t>
        </is>
      </c>
      <c r="L442" t="inlineStr"/>
      <c r="M442" t="inlineStr">
        <is>
          <t>https://fixturedownload.com/download/nba-2024-UTC.csv</t>
        </is>
      </c>
    </row>
    <row r="443">
      <c r="A443" t="n">
        <v>411</v>
      </c>
      <c r="B443" t="n">
        <v>9</v>
      </c>
      <c r="C443" t="inlineStr">
        <is>
          <t>27/12/2024 00:00</t>
        </is>
      </c>
      <c r="D443" t="inlineStr">
        <is>
          <t>Kia Center</t>
        </is>
      </c>
      <c r="E443" t="inlineStr">
        <is>
          <t>Orlando Magic</t>
        </is>
      </c>
      <c r="F443" t="inlineStr">
        <is>
          <t>Miami Heat</t>
        </is>
      </c>
      <c r="G443" t="n">
        <v>88</v>
      </c>
      <c r="H443" t="n">
        <v>89</v>
      </c>
      <c r="I443" t="inlineStr">
        <is>
          <t>Miami Heat</t>
        </is>
      </c>
      <c r="J443" t="inlineStr">
        <is>
          <t>Orlando Magic</t>
        </is>
      </c>
      <c r="K443" t="inlineStr">
        <is>
          <t>Yes</t>
        </is>
      </c>
      <c r="L443" t="inlineStr"/>
      <c r="M443" t="inlineStr">
        <is>
          <t>https://fixturedownload.com/download/nba-2024-UTC.csv</t>
        </is>
      </c>
    </row>
    <row r="444">
      <c r="A444" t="n">
        <v>412</v>
      </c>
      <c r="B444" t="n">
        <v>9</v>
      </c>
      <c r="C444" t="inlineStr">
        <is>
          <t>27/12/2024 00:00</t>
        </is>
      </c>
      <c r="D444" t="inlineStr">
        <is>
          <t>Capital One Arena</t>
        </is>
      </c>
      <c r="E444" t="inlineStr">
        <is>
          <t>Washington Wizards</t>
        </is>
      </c>
      <c r="F444" t="inlineStr">
        <is>
          <t>Charlotte Hornets</t>
        </is>
      </c>
      <c r="G444" t="n">
        <v>113</v>
      </c>
      <c r="H444" t="n">
        <v>110</v>
      </c>
      <c r="I444" t="inlineStr">
        <is>
          <t>Washington Wizards</t>
        </is>
      </c>
      <c r="J444" t="inlineStr">
        <is>
          <t>Charlotte Hornets</t>
        </is>
      </c>
      <c r="K444" t="inlineStr">
        <is>
          <t>Yes</t>
        </is>
      </c>
      <c r="L444" t="inlineStr"/>
      <c r="M444" t="inlineStr">
        <is>
          <t>https://fixturedownload.com/download/nba-2024-UTC.csv</t>
        </is>
      </c>
    </row>
    <row r="445">
      <c r="A445" t="n">
        <v>413</v>
      </c>
      <c r="B445" t="n">
        <v>9</v>
      </c>
      <c r="C445" t="inlineStr">
        <is>
          <t>27/12/2024 00:30</t>
        </is>
      </c>
      <c r="D445" t="inlineStr">
        <is>
          <t>State Farm Arena</t>
        </is>
      </c>
      <c r="E445" t="inlineStr">
        <is>
          <t>Atlanta Hawks</t>
        </is>
      </c>
      <c r="F445" t="inlineStr">
        <is>
          <t>Chicago Bulls</t>
        </is>
      </c>
      <c r="G445" t="n">
        <v>141</v>
      </c>
      <c r="H445" t="n">
        <v>133</v>
      </c>
      <c r="I445" t="inlineStr">
        <is>
          <t>Atlanta Hawks</t>
        </is>
      </c>
      <c r="J445" t="inlineStr">
        <is>
          <t>Chicago Bulls</t>
        </is>
      </c>
      <c r="K445" t="inlineStr">
        <is>
          <t>Yes</t>
        </is>
      </c>
      <c r="L445" t="inlineStr"/>
      <c r="M445" t="inlineStr">
        <is>
          <t>https://fixturedownload.com/download/nba-2024-UTC.csv</t>
        </is>
      </c>
    </row>
    <row r="446">
      <c r="A446" t="n">
        <v>414</v>
      </c>
      <c r="B446" t="n">
        <v>9</v>
      </c>
      <c r="C446" t="inlineStr">
        <is>
          <t>27/12/2024 01:00</t>
        </is>
      </c>
      <c r="D446" t="inlineStr">
        <is>
          <t>FedExForum</t>
        </is>
      </c>
      <c r="E446" t="inlineStr">
        <is>
          <t>Memphis Grizzlies</t>
        </is>
      </c>
      <c r="F446" t="inlineStr">
        <is>
          <t>Toronto Raptors</t>
        </is>
      </c>
      <c r="G446" t="n">
        <v>155</v>
      </c>
      <c r="H446" t="n">
        <v>126</v>
      </c>
      <c r="I446" t="inlineStr">
        <is>
          <t>Memphis Grizzlies</t>
        </is>
      </c>
      <c r="J446" t="inlineStr">
        <is>
          <t>Toronto Raptors</t>
        </is>
      </c>
      <c r="K446" t="inlineStr">
        <is>
          <t>Yes</t>
        </is>
      </c>
      <c r="L446" t="inlineStr"/>
      <c r="M446" t="inlineStr">
        <is>
          <t>https://fixturedownload.com/download/nba-2024-UTC.csv</t>
        </is>
      </c>
    </row>
    <row r="447">
      <c r="A447" t="n">
        <v>415</v>
      </c>
      <c r="B447" t="n">
        <v>9</v>
      </c>
      <c r="C447" t="inlineStr">
        <is>
          <t>27/12/2024 01:00</t>
        </is>
      </c>
      <c r="D447" t="inlineStr">
        <is>
          <t>Fiserv Forum</t>
        </is>
      </c>
      <c r="E447" t="inlineStr">
        <is>
          <t>Milwaukee Bucks</t>
        </is>
      </c>
      <c r="F447" t="inlineStr">
        <is>
          <t>Brooklyn Nets</t>
        </is>
      </c>
      <c r="G447" t="n">
        <v>105</v>
      </c>
      <c r="H447" t="n">
        <v>111</v>
      </c>
      <c r="I447" t="inlineStr">
        <is>
          <t>Brooklyn Nets</t>
        </is>
      </c>
      <c r="J447" t="inlineStr">
        <is>
          <t>Milwaukee Bucks</t>
        </is>
      </c>
      <c r="K447" t="inlineStr">
        <is>
          <t>Yes</t>
        </is>
      </c>
      <c r="L447" t="inlineStr"/>
      <c r="M447" t="inlineStr">
        <is>
          <t>https://fixturedownload.com/download/nba-2024-UTC.csv</t>
        </is>
      </c>
    </row>
    <row r="448">
      <c r="A448" t="n">
        <v>416</v>
      </c>
      <c r="B448" t="n">
        <v>9</v>
      </c>
      <c r="C448" t="inlineStr">
        <is>
          <t>27/12/2024 01:00</t>
        </is>
      </c>
      <c r="D448" t="inlineStr">
        <is>
          <t>Smoothie King Center</t>
        </is>
      </c>
      <c r="E448" t="inlineStr">
        <is>
          <t>New Orleans Pelicans</t>
        </is>
      </c>
      <c r="F448" t="inlineStr">
        <is>
          <t>Houston Rockets</t>
        </is>
      </c>
      <c r="G448" t="n">
        <v>111</v>
      </c>
      <c r="H448" t="n">
        <v>128</v>
      </c>
      <c r="I448" t="inlineStr">
        <is>
          <t>Houston Rockets</t>
        </is>
      </c>
      <c r="J448" t="inlineStr">
        <is>
          <t>New Orleans Pelicans</t>
        </is>
      </c>
      <c r="K448" t="inlineStr">
        <is>
          <t>Yes</t>
        </is>
      </c>
      <c r="L448" t="inlineStr"/>
      <c r="M448" t="inlineStr">
        <is>
          <t>https://fixturedownload.com/download/nba-2024-UTC.csv</t>
        </is>
      </c>
    </row>
    <row r="449">
      <c r="A449" t="n">
        <v>417</v>
      </c>
      <c r="B449" t="n">
        <v>9</v>
      </c>
      <c r="C449" t="inlineStr">
        <is>
          <t>27/12/2024 03:00</t>
        </is>
      </c>
      <c r="D449" t="inlineStr">
        <is>
          <t>Moda Center</t>
        </is>
      </c>
      <c r="E449" t="inlineStr">
        <is>
          <t>Portland Trail Blazers</t>
        </is>
      </c>
      <c r="F449" t="inlineStr">
        <is>
          <t>Utah Jazz</t>
        </is>
      </c>
      <c r="G449" t="n">
        <v>122</v>
      </c>
      <c r="H449" t="n">
        <v>120</v>
      </c>
      <c r="I449" t="inlineStr">
        <is>
          <t>Portland Trail Blazers</t>
        </is>
      </c>
      <c r="J449" t="inlineStr">
        <is>
          <t>Utah Jazz</t>
        </is>
      </c>
      <c r="K449" t="inlineStr">
        <is>
          <t>Yes</t>
        </is>
      </c>
      <c r="L449" t="inlineStr"/>
      <c r="M449" t="inlineStr">
        <is>
          <t>https://fixturedownload.com/download/nba-2024-UTC.csv</t>
        </is>
      </c>
    </row>
    <row r="450">
      <c r="A450" t="n">
        <v>418</v>
      </c>
      <c r="B450" t="n">
        <v>9</v>
      </c>
      <c r="C450" t="inlineStr">
        <is>
          <t>27/12/2024 03:00</t>
        </is>
      </c>
      <c r="D450" t="inlineStr">
        <is>
          <t>Golden 1 Center</t>
        </is>
      </c>
      <c r="E450" t="inlineStr">
        <is>
          <t>Sacramento Kings</t>
        </is>
      </c>
      <c r="F450" t="inlineStr">
        <is>
          <t>Detroit Pistons</t>
        </is>
      </c>
      <c r="G450" t="n">
        <v>113</v>
      </c>
      <c r="H450" t="n">
        <v>114</v>
      </c>
      <c r="I450" t="inlineStr">
        <is>
          <t>Detroit Pistons</t>
        </is>
      </c>
      <c r="J450" t="inlineStr">
        <is>
          <t>Sacramento Kings</t>
        </is>
      </c>
      <c r="K450" t="inlineStr">
        <is>
          <t>Yes</t>
        </is>
      </c>
      <c r="L450" t="inlineStr"/>
      <c r="M450" t="inlineStr">
        <is>
          <t>https://fixturedownload.com/download/nba-2024-UTC.csv</t>
        </is>
      </c>
    </row>
    <row r="451">
      <c r="A451" t="n">
        <v>419</v>
      </c>
      <c r="B451" t="n">
        <v>9</v>
      </c>
      <c r="C451" t="inlineStr">
        <is>
          <t>28/12/2024 00:00</t>
        </is>
      </c>
      <c r="D451" t="inlineStr">
        <is>
          <t>Kia Center</t>
        </is>
      </c>
      <c r="E451" t="inlineStr">
        <is>
          <t>Orlando Magic</t>
        </is>
      </c>
      <c r="F451" t="inlineStr">
        <is>
          <t>New York Knicks</t>
        </is>
      </c>
      <c r="G451" t="n">
        <v>85</v>
      </c>
      <c r="H451" t="n">
        <v>108</v>
      </c>
      <c r="I451" t="inlineStr">
        <is>
          <t>New York Knicks</t>
        </is>
      </c>
      <c r="J451" t="inlineStr">
        <is>
          <t>Orlando Magic</t>
        </is>
      </c>
      <c r="K451" t="inlineStr">
        <is>
          <t>Yes</t>
        </is>
      </c>
      <c r="L451" t="inlineStr"/>
      <c r="M451" t="inlineStr">
        <is>
          <t>https://fixturedownload.com/download/nba-2024-UTC.csv</t>
        </is>
      </c>
    </row>
    <row r="452">
      <c r="A452" t="n">
        <v>420</v>
      </c>
      <c r="B452" t="n">
        <v>9</v>
      </c>
      <c r="C452" t="inlineStr">
        <is>
          <t>28/12/2024 00:30</t>
        </is>
      </c>
      <c r="D452" t="inlineStr">
        <is>
          <t>TD Garden</t>
        </is>
      </c>
      <c r="E452" t="inlineStr">
        <is>
          <t>Boston Celtics</t>
        </is>
      </c>
      <c r="F452" t="inlineStr">
        <is>
          <t>Indiana Pacers</t>
        </is>
      </c>
      <c r="G452" t="n">
        <v>142</v>
      </c>
      <c r="H452" t="n">
        <v>105</v>
      </c>
      <c r="I452" t="inlineStr">
        <is>
          <t>Boston Celtics</t>
        </is>
      </c>
      <c r="J452" t="inlineStr">
        <is>
          <t>Indiana Pacers</t>
        </is>
      </c>
      <c r="K452" t="inlineStr">
        <is>
          <t>Yes</t>
        </is>
      </c>
      <c r="L452" t="inlineStr"/>
      <c r="M452" t="inlineStr">
        <is>
          <t>https://fixturedownload.com/download/nba-2024-UTC.csv</t>
        </is>
      </c>
    </row>
    <row r="453">
      <c r="A453" t="n">
        <v>421</v>
      </c>
      <c r="B453" t="n">
        <v>9</v>
      </c>
      <c r="C453" t="inlineStr">
        <is>
          <t>28/12/2024 00:30</t>
        </is>
      </c>
      <c r="D453" t="inlineStr">
        <is>
          <t>Barclays Center</t>
        </is>
      </c>
      <c r="E453" t="inlineStr">
        <is>
          <t>Brooklyn Nets</t>
        </is>
      </c>
      <c r="F453" t="inlineStr">
        <is>
          <t>San Antonio Spurs</t>
        </is>
      </c>
      <c r="G453" t="n">
        <v>87</v>
      </c>
      <c r="H453" t="n">
        <v>95</v>
      </c>
      <c r="I453" t="inlineStr">
        <is>
          <t>San Antonio Spurs</t>
        </is>
      </c>
      <c r="J453" t="inlineStr">
        <is>
          <t>Brooklyn Nets</t>
        </is>
      </c>
      <c r="K453" t="inlineStr">
        <is>
          <t>Yes</t>
        </is>
      </c>
      <c r="L453" t="inlineStr"/>
      <c r="M453" t="inlineStr">
        <is>
          <t>https://fixturedownload.com/download/nba-2024-UTC.csv</t>
        </is>
      </c>
    </row>
    <row r="454">
      <c r="A454" t="n">
        <v>422</v>
      </c>
      <c r="B454" t="n">
        <v>9</v>
      </c>
      <c r="C454" t="inlineStr">
        <is>
          <t>28/12/2024 01:00</t>
        </is>
      </c>
      <c r="D454" t="inlineStr">
        <is>
          <t>Toyota Center</t>
        </is>
      </c>
      <c r="E454" t="inlineStr">
        <is>
          <t>Houston Rockets</t>
        </is>
      </c>
      <c r="F454" t="inlineStr">
        <is>
          <t>Minnesota Timberwolves</t>
        </is>
      </c>
      <c r="G454" t="n">
        <v>112</v>
      </c>
      <c r="H454" t="n">
        <v>113</v>
      </c>
      <c r="I454" t="inlineStr">
        <is>
          <t>Minnesota Timberwolves</t>
        </is>
      </c>
      <c r="J454" t="inlineStr">
        <is>
          <t>Houston Rockets</t>
        </is>
      </c>
      <c r="K454" t="inlineStr">
        <is>
          <t>Yes</t>
        </is>
      </c>
      <c r="L454" t="inlineStr"/>
      <c r="M454" t="inlineStr">
        <is>
          <t>https://fixturedownload.com/download/nba-2024-UTC.csv</t>
        </is>
      </c>
    </row>
    <row r="455">
      <c r="A455" t="n">
        <v>423</v>
      </c>
      <c r="B455" t="n">
        <v>9</v>
      </c>
      <c r="C455" t="inlineStr">
        <is>
          <t>28/12/2024 01:00</t>
        </is>
      </c>
      <c r="D455" t="inlineStr">
        <is>
          <t>Smoothie King Center</t>
        </is>
      </c>
      <c r="E455" t="inlineStr">
        <is>
          <t>New Orleans Pelicans</t>
        </is>
      </c>
      <c r="F455" t="inlineStr">
        <is>
          <t>Memphis Grizzlies</t>
        </is>
      </c>
      <c r="G455" t="n">
        <v>124</v>
      </c>
      <c r="H455" t="n">
        <v>132</v>
      </c>
      <c r="I455" t="inlineStr">
        <is>
          <t>Memphis Grizzlies</t>
        </is>
      </c>
      <c r="J455" t="inlineStr">
        <is>
          <t>New Orleans Pelicans</t>
        </is>
      </c>
      <c r="K455" t="inlineStr">
        <is>
          <t>Yes</t>
        </is>
      </c>
      <c r="L455" t="inlineStr"/>
      <c r="M455" t="inlineStr">
        <is>
          <t>https://fixturedownload.com/download/nba-2024-UTC.csv</t>
        </is>
      </c>
    </row>
    <row r="456">
      <c r="A456" t="n">
        <v>424</v>
      </c>
      <c r="B456" t="n">
        <v>9</v>
      </c>
      <c r="C456" t="inlineStr">
        <is>
          <t>28/12/2024 02:00</t>
        </is>
      </c>
      <c r="D456" t="inlineStr">
        <is>
          <t>Ball Arena</t>
        </is>
      </c>
      <c r="E456" t="inlineStr">
        <is>
          <t>Denver Nuggets</t>
        </is>
      </c>
      <c r="F456" t="inlineStr">
        <is>
          <t>Cleveland Cavaliers</t>
        </is>
      </c>
      <c r="G456" t="n">
        <v>135</v>
      </c>
      <c r="H456" t="n">
        <v>149</v>
      </c>
      <c r="I456" t="inlineStr">
        <is>
          <t>Cleveland Cavaliers</t>
        </is>
      </c>
      <c r="J456" t="inlineStr">
        <is>
          <t>Denver Nuggets</t>
        </is>
      </c>
      <c r="K456" t="inlineStr">
        <is>
          <t>Yes</t>
        </is>
      </c>
      <c r="L456" t="inlineStr"/>
      <c r="M456" t="inlineStr">
        <is>
          <t>https://fixturedownload.com/download/nba-2024-UTC.csv</t>
        </is>
      </c>
    </row>
    <row r="457">
      <c r="A457" t="n">
        <v>425</v>
      </c>
      <c r="B457" t="n">
        <v>9</v>
      </c>
      <c r="C457" t="inlineStr">
        <is>
          <t>28/12/2024 02:00</t>
        </is>
      </c>
      <c r="D457" t="inlineStr">
        <is>
          <t>PHX Arena</t>
        </is>
      </c>
      <c r="E457" t="inlineStr">
        <is>
          <t>Phoenix Suns</t>
        </is>
      </c>
      <c r="F457" t="inlineStr">
        <is>
          <t>Dallas Mavericks</t>
        </is>
      </c>
      <c r="G457" t="n">
        <v>89</v>
      </c>
      <c r="H457" t="n">
        <v>98</v>
      </c>
      <c r="I457" t="inlineStr">
        <is>
          <t>Dallas Mavericks</t>
        </is>
      </c>
      <c r="J457" t="inlineStr">
        <is>
          <t>Phoenix Suns</t>
        </is>
      </c>
      <c r="K457" t="inlineStr">
        <is>
          <t>Yes</t>
        </is>
      </c>
      <c r="L457" t="inlineStr"/>
      <c r="M457" t="inlineStr">
        <is>
          <t>https://fixturedownload.com/download/nba-2024-UTC.csv</t>
        </is>
      </c>
    </row>
    <row r="458">
      <c r="A458" t="n">
        <v>426</v>
      </c>
      <c r="B458" t="n">
        <v>9</v>
      </c>
      <c r="C458" t="inlineStr">
        <is>
          <t>28/12/2024 03:00</t>
        </is>
      </c>
      <c r="D458" t="inlineStr">
        <is>
          <t>Intuit Dome</t>
        </is>
      </c>
      <c r="E458" t="inlineStr">
        <is>
          <t>LA Clippers</t>
        </is>
      </c>
      <c r="F458" t="inlineStr">
        <is>
          <t>Golden State Warriors</t>
        </is>
      </c>
      <c r="G458" t="n">
        <v>102</v>
      </c>
      <c r="H458" t="n">
        <v>92</v>
      </c>
      <c r="I458" t="inlineStr">
        <is>
          <t>LA Clippers</t>
        </is>
      </c>
      <c r="J458" t="inlineStr">
        <is>
          <t>Golden State Warriors</t>
        </is>
      </c>
      <c r="K458" t="inlineStr">
        <is>
          <t>Yes</t>
        </is>
      </c>
      <c r="L458" t="inlineStr"/>
      <c r="M458" t="inlineStr">
        <is>
          <t>https://fixturedownload.com/download/nba-2024-UTC.csv</t>
        </is>
      </c>
    </row>
    <row r="459">
      <c r="A459" t="n">
        <v>427</v>
      </c>
      <c r="B459" t="n">
        <v>9</v>
      </c>
      <c r="C459" t="inlineStr">
        <is>
          <t>28/12/2024 20:00</t>
        </is>
      </c>
      <c r="D459" t="inlineStr">
        <is>
          <t>State Farm Arena</t>
        </is>
      </c>
      <c r="E459" t="inlineStr">
        <is>
          <t>Atlanta Hawks</t>
        </is>
      </c>
      <c r="F459" t="inlineStr">
        <is>
          <t>Miami Heat</t>
        </is>
      </c>
      <c r="G459" t="n">
        <v>120</v>
      </c>
      <c r="H459" t="n">
        <v>110</v>
      </c>
      <c r="I459" t="inlineStr">
        <is>
          <t>Atlanta Hawks</t>
        </is>
      </c>
      <c r="J459" t="inlineStr">
        <is>
          <t>Miami Heat</t>
        </is>
      </c>
      <c r="K459" t="inlineStr">
        <is>
          <t>Yes</t>
        </is>
      </c>
      <c r="L459" t="inlineStr"/>
      <c r="M459" t="inlineStr">
        <is>
          <t>https://fixturedownload.com/download/nba-2024-UTC.csv</t>
        </is>
      </c>
    </row>
    <row r="460">
      <c r="A460" t="n">
        <v>428</v>
      </c>
      <c r="B460" t="n">
        <v>9</v>
      </c>
      <c r="C460" t="inlineStr">
        <is>
          <t>28/12/2024 23:00</t>
        </is>
      </c>
      <c r="D460" t="inlineStr">
        <is>
          <t>Spectrum Center</t>
        </is>
      </c>
      <c r="E460" t="inlineStr">
        <is>
          <t>Charlotte Hornets</t>
        </is>
      </c>
      <c r="F460" t="inlineStr">
        <is>
          <t>Oklahoma City Thunder</t>
        </is>
      </c>
      <c r="G460" t="n">
        <v>94</v>
      </c>
      <c r="H460" t="n">
        <v>106</v>
      </c>
      <c r="I460" t="inlineStr">
        <is>
          <t>Oklahoma City Thunder</t>
        </is>
      </c>
      <c r="J460" t="inlineStr">
        <is>
          <t>Charlotte Hornets</t>
        </is>
      </c>
      <c r="K460" t="inlineStr">
        <is>
          <t>Yes</t>
        </is>
      </c>
      <c r="L460" t="inlineStr"/>
      <c r="M460" t="inlineStr">
        <is>
          <t>https://fixturedownload.com/download/nba-2024-UTC.csv</t>
        </is>
      </c>
    </row>
    <row r="461">
      <c r="A461" t="n">
        <v>429</v>
      </c>
      <c r="B461" t="n">
        <v>9</v>
      </c>
      <c r="C461" t="inlineStr">
        <is>
          <t>29/12/2024 00:00</t>
        </is>
      </c>
      <c r="D461" t="inlineStr">
        <is>
          <t>Capital One Arena</t>
        </is>
      </c>
      <c r="E461" t="inlineStr">
        <is>
          <t>Washington Wizards</t>
        </is>
      </c>
      <c r="F461" t="inlineStr">
        <is>
          <t>New York Knicks</t>
        </is>
      </c>
      <c r="G461" t="n">
        <v>132</v>
      </c>
      <c r="H461" t="n">
        <v>136</v>
      </c>
      <c r="I461" t="inlineStr">
        <is>
          <t>New York Knicks</t>
        </is>
      </c>
      <c r="J461" t="inlineStr">
        <is>
          <t>Washington Wizards</t>
        </is>
      </c>
      <c r="K461" t="inlineStr">
        <is>
          <t>Yes</t>
        </is>
      </c>
      <c r="L461" t="inlineStr"/>
      <c r="M461" t="inlineStr">
        <is>
          <t>https://fixturedownload.com/download/nba-2024-UTC.csv</t>
        </is>
      </c>
    </row>
    <row r="462">
      <c r="A462" t="n">
        <v>430</v>
      </c>
      <c r="B462" t="n">
        <v>9</v>
      </c>
      <c r="C462" t="inlineStr">
        <is>
          <t>29/12/2024 01:00</t>
        </is>
      </c>
      <c r="D462" t="inlineStr">
        <is>
          <t>United Center</t>
        </is>
      </c>
      <c r="E462" t="inlineStr">
        <is>
          <t>Chicago Bulls</t>
        </is>
      </c>
      <c r="F462" t="inlineStr">
        <is>
          <t>Milwaukee Bucks</t>
        </is>
      </c>
      <c r="G462" t="n">
        <v>116</v>
      </c>
      <c r="H462" t="n">
        <v>111</v>
      </c>
      <c r="I462" t="inlineStr">
        <is>
          <t>Chicago Bulls</t>
        </is>
      </c>
      <c r="J462" t="inlineStr">
        <is>
          <t>Milwaukee Bucks</t>
        </is>
      </c>
      <c r="K462" t="inlineStr">
        <is>
          <t>Yes</t>
        </is>
      </c>
      <c r="L462" t="inlineStr"/>
      <c r="M462" t="inlineStr">
        <is>
          <t>https://fixturedownload.com/download/nba-2024-UTC.csv</t>
        </is>
      </c>
    </row>
    <row r="463">
      <c r="A463" t="n">
        <v>431</v>
      </c>
      <c r="B463" t="n">
        <v>9</v>
      </c>
      <c r="C463" t="inlineStr">
        <is>
          <t>29/12/2024 01:30</t>
        </is>
      </c>
      <c r="D463" t="inlineStr">
        <is>
          <t>Chase Center</t>
        </is>
      </c>
      <c r="E463" t="inlineStr">
        <is>
          <t>Golden State Warriors</t>
        </is>
      </c>
      <c r="F463" t="inlineStr">
        <is>
          <t>Phoenix Suns</t>
        </is>
      </c>
      <c r="G463" t="n">
        <v>109</v>
      </c>
      <c r="H463" t="n">
        <v>105</v>
      </c>
      <c r="I463" t="inlineStr">
        <is>
          <t>Golden State Warriors</t>
        </is>
      </c>
      <c r="J463" t="inlineStr">
        <is>
          <t>Phoenix Suns</t>
        </is>
      </c>
      <c r="K463" t="inlineStr">
        <is>
          <t>Yes</t>
        </is>
      </c>
      <c r="L463" t="inlineStr"/>
      <c r="M463" t="inlineStr">
        <is>
          <t>https://fixturedownload.com/download/nba-2024-UTC.csv</t>
        </is>
      </c>
    </row>
    <row r="464">
      <c r="A464" t="n">
        <v>432</v>
      </c>
      <c r="B464" t="n">
        <v>9</v>
      </c>
      <c r="C464" t="inlineStr">
        <is>
          <t>29/12/2024 02:00</t>
        </is>
      </c>
      <c r="D464" t="inlineStr">
        <is>
          <t>Ball Arena</t>
        </is>
      </c>
      <c r="E464" t="inlineStr">
        <is>
          <t>Denver Nuggets</t>
        </is>
      </c>
      <c r="F464" t="inlineStr">
        <is>
          <t>Detroit Pistons</t>
        </is>
      </c>
      <c r="G464" t="n">
        <v>134</v>
      </c>
      <c r="H464" t="n">
        <v>121</v>
      </c>
      <c r="I464" t="inlineStr">
        <is>
          <t>Denver Nuggets</t>
        </is>
      </c>
      <c r="J464" t="inlineStr">
        <is>
          <t>Detroit Pistons</t>
        </is>
      </c>
      <c r="K464" t="inlineStr">
        <is>
          <t>Yes</t>
        </is>
      </c>
      <c r="L464" t="inlineStr"/>
      <c r="M464" t="inlineStr">
        <is>
          <t>https://fixturedownload.com/download/nba-2024-UTC.csv</t>
        </is>
      </c>
    </row>
    <row r="465">
      <c r="A465" t="n">
        <v>433</v>
      </c>
      <c r="B465" t="n">
        <v>9</v>
      </c>
      <c r="C465" t="inlineStr">
        <is>
          <t>29/12/2024 02:30</t>
        </is>
      </c>
      <c r="D465" t="inlineStr">
        <is>
          <t>Delta Center</t>
        </is>
      </c>
      <c r="E465" t="inlineStr">
        <is>
          <t>Utah Jazz</t>
        </is>
      </c>
      <c r="F465" t="inlineStr">
        <is>
          <t>Philadelphia 76ers</t>
        </is>
      </c>
      <c r="G465" t="n">
        <v>111</v>
      </c>
      <c r="H465" t="n">
        <v>114</v>
      </c>
      <c r="I465" t="inlineStr">
        <is>
          <t>Philadelphia 76ers</t>
        </is>
      </c>
      <c r="J465" t="inlineStr">
        <is>
          <t>Utah Jazz</t>
        </is>
      </c>
      <c r="K465" t="inlineStr">
        <is>
          <t>Yes</t>
        </is>
      </c>
      <c r="L465" t="inlineStr"/>
      <c r="M465" t="inlineStr">
        <is>
          <t>https://fixturedownload.com/download/nba-2024-UTC.csv</t>
        </is>
      </c>
    </row>
    <row r="466">
      <c r="A466" t="n">
        <v>434</v>
      </c>
      <c r="B466" t="n">
        <v>9</v>
      </c>
      <c r="C466" t="inlineStr">
        <is>
          <t>29/12/2024 03:00</t>
        </is>
      </c>
      <c r="D466" t="inlineStr">
        <is>
          <t>Moda Center</t>
        </is>
      </c>
      <c r="E466" t="inlineStr">
        <is>
          <t>Portland Trail Blazers</t>
        </is>
      </c>
      <c r="F466" t="inlineStr">
        <is>
          <t>Dallas Mavericks</t>
        </is>
      </c>
      <c r="G466" t="n">
        <v>126</v>
      </c>
      <c r="H466" t="n">
        <v>122</v>
      </c>
      <c r="I466" t="inlineStr">
        <is>
          <t>Portland Trail Blazers</t>
        </is>
      </c>
      <c r="J466" t="inlineStr">
        <is>
          <t>Dallas Mavericks</t>
        </is>
      </c>
      <c r="K466" t="inlineStr">
        <is>
          <t>Yes</t>
        </is>
      </c>
      <c r="L466" t="inlineStr"/>
      <c r="M466" t="inlineStr">
        <is>
          <t>https://fixturedownload.com/download/nba-2024-UTC.csv</t>
        </is>
      </c>
    </row>
    <row r="467">
      <c r="A467" t="n">
        <v>435</v>
      </c>
      <c r="B467" t="n">
        <v>9</v>
      </c>
      <c r="C467" t="inlineStr">
        <is>
          <t>29/12/2024 03:30</t>
        </is>
      </c>
      <c r="D467" t="inlineStr">
        <is>
          <t>Crypto.com Arena</t>
        </is>
      </c>
      <c r="E467" t="inlineStr">
        <is>
          <t>Los Angeles Lakers</t>
        </is>
      </c>
      <c r="F467" t="inlineStr">
        <is>
          <t>Sacramento Kings</t>
        </is>
      </c>
      <c r="G467" t="n">
        <v>132</v>
      </c>
      <c r="H467" t="n">
        <v>122</v>
      </c>
      <c r="I467" t="inlineStr">
        <is>
          <t>Los Angeles Lakers</t>
        </is>
      </c>
      <c r="J467" t="inlineStr">
        <is>
          <t>Sacramento Kings</t>
        </is>
      </c>
      <c r="K467" t="inlineStr">
        <is>
          <t>Yes</t>
        </is>
      </c>
      <c r="L467" t="inlineStr"/>
      <c r="M467" t="inlineStr">
        <is>
          <t>https://fixturedownload.com/download/nba-2024-UTC.csv</t>
        </is>
      </c>
    </row>
    <row r="468">
      <c r="A468" t="n">
        <v>436</v>
      </c>
      <c r="B468" t="n">
        <v>9</v>
      </c>
      <c r="C468" t="inlineStr">
        <is>
          <t>29/12/2024 20:30</t>
        </is>
      </c>
      <c r="D468" t="inlineStr">
        <is>
          <t>Kia Center</t>
        </is>
      </c>
      <c r="E468" t="inlineStr">
        <is>
          <t>Orlando Magic</t>
        </is>
      </c>
      <c r="F468" t="inlineStr">
        <is>
          <t>Brooklyn Nets</t>
        </is>
      </c>
      <c r="G468" t="n">
        <v>102</v>
      </c>
      <c r="H468" t="n">
        <v>101</v>
      </c>
      <c r="I468" t="inlineStr">
        <is>
          <t>Orlando Magic</t>
        </is>
      </c>
      <c r="J468" t="inlineStr">
        <is>
          <t>Brooklyn Nets</t>
        </is>
      </c>
      <c r="K468" t="inlineStr">
        <is>
          <t>Yes</t>
        </is>
      </c>
      <c r="L468" t="inlineStr"/>
      <c r="M468" t="inlineStr">
        <is>
          <t>https://fixturedownload.com/download/nba-2024-UTC.csv</t>
        </is>
      </c>
    </row>
    <row r="469">
      <c r="A469" t="n">
        <v>437</v>
      </c>
      <c r="B469" t="n">
        <v>9</v>
      </c>
      <c r="C469" t="inlineStr">
        <is>
          <t>29/12/2024 23:00</t>
        </is>
      </c>
      <c r="D469" t="inlineStr">
        <is>
          <t>TD Garden</t>
        </is>
      </c>
      <c r="E469" t="inlineStr">
        <is>
          <t>Boston Celtics</t>
        </is>
      </c>
      <c r="F469" t="inlineStr">
        <is>
          <t>Indiana Pacers</t>
        </is>
      </c>
      <c r="G469" t="n">
        <v>114</v>
      </c>
      <c r="H469" t="n">
        <v>123</v>
      </c>
      <c r="I469" t="inlineStr">
        <is>
          <t>Indiana Pacers</t>
        </is>
      </c>
      <c r="J469" t="inlineStr">
        <is>
          <t>Boston Celtics</t>
        </is>
      </c>
      <c r="K469" t="inlineStr">
        <is>
          <t>Yes</t>
        </is>
      </c>
      <c r="L469" t="inlineStr"/>
      <c r="M469" t="inlineStr">
        <is>
          <t>https://fixturedownload.com/download/nba-2024-UTC.csv</t>
        </is>
      </c>
    </row>
    <row r="470">
      <c r="A470" t="n">
        <v>438</v>
      </c>
      <c r="B470" t="n">
        <v>9</v>
      </c>
      <c r="C470" t="inlineStr">
        <is>
          <t>29/12/2024 23:00</t>
        </is>
      </c>
      <c r="D470" t="inlineStr">
        <is>
          <t>Scotiabank Arena</t>
        </is>
      </c>
      <c r="E470" t="inlineStr">
        <is>
          <t>Toronto Raptors</t>
        </is>
      </c>
      <c r="F470" t="inlineStr">
        <is>
          <t>Atlanta Hawks</t>
        </is>
      </c>
      <c r="G470" t="n">
        <v>107</v>
      </c>
      <c r="H470" t="n">
        <v>136</v>
      </c>
      <c r="I470" t="inlineStr">
        <is>
          <t>Atlanta Hawks</t>
        </is>
      </c>
      <c r="J470" t="inlineStr">
        <is>
          <t>Toronto Raptors</t>
        </is>
      </c>
      <c r="K470" t="inlineStr">
        <is>
          <t>Yes</t>
        </is>
      </c>
      <c r="L470" t="inlineStr"/>
      <c r="M470" t="inlineStr">
        <is>
          <t>https://fixturedownload.com/download/nba-2024-UTC.csv</t>
        </is>
      </c>
    </row>
    <row r="471">
      <c r="A471" t="n">
        <v>439</v>
      </c>
      <c r="B471" t="n">
        <v>9</v>
      </c>
      <c r="C471" t="inlineStr">
        <is>
          <t>30/12/2024 00:00</t>
        </is>
      </c>
      <c r="D471" t="inlineStr">
        <is>
          <t>Toyota Center</t>
        </is>
      </c>
      <c r="E471" t="inlineStr">
        <is>
          <t>Houston Rockets</t>
        </is>
      </c>
      <c r="F471" t="inlineStr">
        <is>
          <t>Miami Heat</t>
        </is>
      </c>
      <c r="G471" t="n">
        <v>100</v>
      </c>
      <c r="H471" t="n">
        <v>104</v>
      </c>
      <c r="I471" t="inlineStr">
        <is>
          <t>Miami Heat</t>
        </is>
      </c>
      <c r="J471" t="inlineStr">
        <is>
          <t>Houston Rockets</t>
        </is>
      </c>
      <c r="K471" t="inlineStr">
        <is>
          <t>Yes</t>
        </is>
      </c>
      <c r="L471" t="inlineStr"/>
      <c r="M471" t="inlineStr">
        <is>
          <t>https://fixturedownload.com/download/nba-2024-UTC.csv</t>
        </is>
      </c>
    </row>
    <row r="472">
      <c r="A472" t="n">
        <v>440</v>
      </c>
      <c r="B472" t="n">
        <v>9</v>
      </c>
      <c r="C472" t="inlineStr">
        <is>
          <t>30/12/2024 00:00</t>
        </is>
      </c>
      <c r="D472" t="inlineStr">
        <is>
          <t>Paycom Center</t>
        </is>
      </c>
      <c r="E472" t="inlineStr">
        <is>
          <t>Oklahoma City Thunder</t>
        </is>
      </c>
      <c r="F472" t="inlineStr">
        <is>
          <t>Memphis Grizzlies</t>
        </is>
      </c>
      <c r="G472" t="n">
        <v>130</v>
      </c>
      <c r="H472" t="n">
        <v>106</v>
      </c>
      <c r="I472" t="inlineStr">
        <is>
          <t>Oklahoma City Thunder</t>
        </is>
      </c>
      <c r="J472" t="inlineStr">
        <is>
          <t>Memphis Grizzlies</t>
        </is>
      </c>
      <c r="K472" t="inlineStr">
        <is>
          <t>Yes</t>
        </is>
      </c>
      <c r="L472" t="inlineStr"/>
      <c r="M472" t="inlineStr">
        <is>
          <t>https://fixturedownload.com/download/nba-2024-UTC.csv</t>
        </is>
      </c>
    </row>
    <row r="473">
      <c r="A473" t="n">
        <v>441</v>
      </c>
      <c r="B473" t="n">
        <v>9</v>
      </c>
      <c r="C473" t="inlineStr">
        <is>
          <t>30/12/2024 02:00</t>
        </is>
      </c>
      <c r="D473" t="inlineStr">
        <is>
          <t>Target Center</t>
        </is>
      </c>
      <c r="E473" t="inlineStr">
        <is>
          <t>Minnesota Timberwolves</t>
        </is>
      </c>
      <c r="F473" t="inlineStr">
        <is>
          <t>San Antonio Spurs</t>
        </is>
      </c>
      <c r="G473" t="n">
        <v>112</v>
      </c>
      <c r="H473" t="n">
        <v>110</v>
      </c>
      <c r="I473" t="inlineStr">
        <is>
          <t>Minnesota Timberwolves</t>
        </is>
      </c>
      <c r="J473" t="inlineStr">
        <is>
          <t>San Antonio Spurs</t>
        </is>
      </c>
      <c r="K473" t="inlineStr">
        <is>
          <t>Yes</t>
        </is>
      </c>
      <c r="L473" t="inlineStr"/>
      <c r="M473" t="inlineStr">
        <is>
          <t>https://fixturedownload.com/download/nba-2024-UTC.csv</t>
        </is>
      </c>
    </row>
    <row r="474">
      <c r="A474" t="n">
        <v>442</v>
      </c>
      <c r="B474" t="n">
        <v>9</v>
      </c>
      <c r="C474" t="inlineStr">
        <is>
          <t>31/12/2024 00:00</t>
        </is>
      </c>
      <c r="D474" t="inlineStr">
        <is>
          <t>Spectrum Center</t>
        </is>
      </c>
      <c r="E474" t="inlineStr">
        <is>
          <t>Charlotte Hornets</t>
        </is>
      </c>
      <c r="F474" t="inlineStr">
        <is>
          <t>Chicago Bulls</t>
        </is>
      </c>
      <c r="G474" t="n">
        <v>108</v>
      </c>
      <c r="H474" t="n">
        <v>115</v>
      </c>
      <c r="I474" t="inlineStr">
        <is>
          <t>Chicago Bulls</t>
        </is>
      </c>
      <c r="J474" t="inlineStr">
        <is>
          <t>Charlotte Hornets</t>
        </is>
      </c>
      <c r="K474" t="inlineStr">
        <is>
          <t>Yes</t>
        </is>
      </c>
      <c r="L474" t="inlineStr"/>
      <c r="M474" t="inlineStr">
        <is>
          <t>https://fixturedownload.com/download/nba-2024-UTC.csv</t>
        </is>
      </c>
    </row>
    <row r="475">
      <c r="A475" t="n">
        <v>443</v>
      </c>
      <c r="B475" t="n">
        <v>9</v>
      </c>
      <c r="C475" t="inlineStr">
        <is>
          <t>31/12/2024 00:00</t>
        </is>
      </c>
      <c r="D475" t="inlineStr">
        <is>
          <t>Capital One Arena</t>
        </is>
      </c>
      <c r="E475" t="inlineStr">
        <is>
          <t>Washington Wizards</t>
        </is>
      </c>
      <c r="F475" t="inlineStr">
        <is>
          <t>New York Knicks</t>
        </is>
      </c>
      <c r="G475" t="n">
        <v>106</v>
      </c>
      <c r="H475" t="n">
        <v>126</v>
      </c>
      <c r="I475" t="inlineStr">
        <is>
          <t>New York Knicks</t>
        </is>
      </c>
      <c r="J475" t="inlineStr">
        <is>
          <t>Washington Wizards</t>
        </is>
      </c>
      <c r="K475" t="inlineStr">
        <is>
          <t>Yes</t>
        </is>
      </c>
      <c r="L475" t="inlineStr"/>
      <c r="M475" t="inlineStr">
        <is>
          <t>https://fixturedownload.com/download/nba-2024-UTC.csv</t>
        </is>
      </c>
    </row>
    <row r="476">
      <c r="A476" t="n">
        <v>444</v>
      </c>
      <c r="B476" t="n">
        <v>9</v>
      </c>
      <c r="C476" t="inlineStr">
        <is>
          <t>31/12/2024 01:00</t>
        </is>
      </c>
      <c r="D476" t="inlineStr">
        <is>
          <t>Smoothie King Center</t>
        </is>
      </c>
      <c r="E476" t="inlineStr">
        <is>
          <t>New Orleans Pelicans</t>
        </is>
      </c>
      <c r="F476" t="inlineStr">
        <is>
          <t>LA Clippers</t>
        </is>
      </c>
      <c r="G476" t="n">
        <v>113</v>
      </c>
      <c r="H476" t="n">
        <v>116</v>
      </c>
      <c r="I476" t="inlineStr">
        <is>
          <t>LA Clippers</t>
        </is>
      </c>
      <c r="J476" t="inlineStr">
        <is>
          <t>New Orleans Pelicans</t>
        </is>
      </c>
      <c r="K476" t="inlineStr">
        <is>
          <t>Yes</t>
        </is>
      </c>
      <c r="L476" t="inlineStr"/>
      <c r="M476" t="inlineStr">
        <is>
          <t>https://fixturedownload.com/download/nba-2024-UTC.csv</t>
        </is>
      </c>
    </row>
    <row r="477">
      <c r="A477" t="n">
        <v>445</v>
      </c>
      <c r="B477" t="n">
        <v>9</v>
      </c>
      <c r="C477" t="inlineStr">
        <is>
          <t>31/12/2024 02:00</t>
        </is>
      </c>
      <c r="D477" t="inlineStr">
        <is>
          <t>Delta Center</t>
        </is>
      </c>
      <c r="E477" t="inlineStr">
        <is>
          <t>Utah Jazz</t>
        </is>
      </c>
      <c r="F477" t="inlineStr">
        <is>
          <t>Denver Nuggets</t>
        </is>
      </c>
      <c r="G477" t="n">
        <v>121</v>
      </c>
      <c r="H477" t="n">
        <v>132</v>
      </c>
      <c r="I477" t="inlineStr">
        <is>
          <t>Denver Nuggets</t>
        </is>
      </c>
      <c r="J477" t="inlineStr">
        <is>
          <t>Utah Jazz</t>
        </is>
      </c>
      <c r="K477" t="inlineStr">
        <is>
          <t>Yes</t>
        </is>
      </c>
      <c r="L477" t="inlineStr"/>
      <c r="M477" t="inlineStr">
        <is>
          <t>https://fixturedownload.com/download/nba-2024-UTC.csv</t>
        </is>
      </c>
    </row>
    <row r="478">
      <c r="A478" t="n">
        <v>446</v>
      </c>
      <c r="B478" t="n">
        <v>9</v>
      </c>
      <c r="C478" t="inlineStr">
        <is>
          <t>31/12/2024 03:00</t>
        </is>
      </c>
      <c r="D478" t="inlineStr">
        <is>
          <t>Chase Center</t>
        </is>
      </c>
      <c r="E478" t="inlineStr">
        <is>
          <t>Golden State Warriors</t>
        </is>
      </c>
      <c r="F478" t="inlineStr">
        <is>
          <t>Cleveland Cavaliers</t>
        </is>
      </c>
      <c r="G478" t="n">
        <v>95</v>
      </c>
      <c r="H478" t="n">
        <v>113</v>
      </c>
      <c r="I478" t="inlineStr">
        <is>
          <t>Cleveland Cavaliers</t>
        </is>
      </c>
      <c r="J478" t="inlineStr">
        <is>
          <t>Golden State Warriors</t>
        </is>
      </c>
      <c r="K478" t="inlineStr">
        <is>
          <t>Yes</t>
        </is>
      </c>
      <c r="L478" t="inlineStr"/>
      <c r="M478" t="inlineStr">
        <is>
          <t>https://fixturedownload.com/download/nba-2024-UTC.csv</t>
        </is>
      </c>
    </row>
    <row r="479">
      <c r="A479" t="n">
        <v>447</v>
      </c>
      <c r="B479" t="n">
        <v>9</v>
      </c>
      <c r="C479" t="inlineStr">
        <is>
          <t>31/12/2024 03:00</t>
        </is>
      </c>
      <c r="D479" t="inlineStr">
        <is>
          <t>Moda Center</t>
        </is>
      </c>
      <c r="E479" t="inlineStr">
        <is>
          <t>Portland Trail Blazers</t>
        </is>
      </c>
      <c r="F479" t="inlineStr">
        <is>
          <t>Philadelphia 76ers</t>
        </is>
      </c>
      <c r="G479" t="n">
        <v>103</v>
      </c>
      <c r="H479" t="n">
        <v>125</v>
      </c>
      <c r="I479" t="inlineStr">
        <is>
          <t>Philadelphia 76ers</t>
        </is>
      </c>
      <c r="J479" t="inlineStr">
        <is>
          <t>Portland Trail Blazers</t>
        </is>
      </c>
      <c r="K479" t="inlineStr">
        <is>
          <t>Yes</t>
        </is>
      </c>
      <c r="L479" t="inlineStr"/>
      <c r="M479" t="inlineStr">
        <is>
          <t>https://fixturedownload.com/download/nba-2024-UTC.csv</t>
        </is>
      </c>
    </row>
    <row r="480">
      <c r="A480" t="n">
        <v>448</v>
      </c>
      <c r="B480" t="n">
        <v>9</v>
      </c>
      <c r="C480" t="inlineStr">
        <is>
          <t>31/12/2024 03:00</t>
        </is>
      </c>
      <c r="D480" t="inlineStr">
        <is>
          <t>Golden 1 Center</t>
        </is>
      </c>
      <c r="E480" t="inlineStr">
        <is>
          <t>Sacramento Kings</t>
        </is>
      </c>
      <c r="F480" t="inlineStr">
        <is>
          <t>Dallas Mavericks</t>
        </is>
      </c>
      <c r="G480" t="n">
        <v>110</v>
      </c>
      <c r="H480" t="n">
        <v>100</v>
      </c>
      <c r="I480" t="inlineStr">
        <is>
          <t>Sacramento Kings</t>
        </is>
      </c>
      <c r="J480" t="inlineStr">
        <is>
          <t>Dallas Mavericks</t>
        </is>
      </c>
      <c r="K480" t="inlineStr">
        <is>
          <t>Yes</t>
        </is>
      </c>
      <c r="L480" t="inlineStr"/>
      <c r="M480" t="inlineStr">
        <is>
          <t>https://fixturedownload.com/download/nba-2024-UTC.csv</t>
        </is>
      </c>
    </row>
    <row r="481">
      <c r="A481" t="n">
        <v>449</v>
      </c>
      <c r="B481" t="n">
        <v>9</v>
      </c>
      <c r="C481" t="inlineStr">
        <is>
          <t>31/12/2024 20:00</t>
        </is>
      </c>
      <c r="D481" t="inlineStr">
        <is>
          <t>TD Garden</t>
        </is>
      </c>
      <c r="E481" t="inlineStr">
        <is>
          <t>Boston Celtics</t>
        </is>
      </c>
      <c r="F481" t="inlineStr">
        <is>
          <t>Toronto Raptors</t>
        </is>
      </c>
      <c r="G481" t="n">
        <v>125</v>
      </c>
      <c r="H481" t="n">
        <v>71</v>
      </c>
      <c r="I481" t="inlineStr">
        <is>
          <t>Boston Celtics</t>
        </is>
      </c>
      <c r="J481" t="inlineStr">
        <is>
          <t>Toronto Raptors</t>
        </is>
      </c>
      <c r="K481" t="inlineStr">
        <is>
          <t>Yes</t>
        </is>
      </c>
      <c r="L481" t="inlineStr"/>
      <c r="M481" t="inlineStr">
        <is>
          <t>https://fixturedownload.com/download/nba-2024-UTC.csv</t>
        </is>
      </c>
    </row>
    <row r="482">
      <c r="A482" t="n">
        <v>450</v>
      </c>
      <c r="B482" t="n">
        <v>9</v>
      </c>
      <c r="C482" t="inlineStr">
        <is>
          <t>31/12/2024 20:00</t>
        </is>
      </c>
      <c r="D482" t="inlineStr">
        <is>
          <t>Gainbridge Fieldhouse</t>
        </is>
      </c>
      <c r="E482" t="inlineStr">
        <is>
          <t>Indiana Pacers</t>
        </is>
      </c>
      <c r="F482" t="inlineStr">
        <is>
          <t>Milwaukee Bucks</t>
        </is>
      </c>
      <c r="G482" t="n">
        <v>112</v>
      </c>
      <c r="H482" t="n">
        <v>120</v>
      </c>
      <c r="I482" t="inlineStr">
        <is>
          <t>Milwaukee Bucks</t>
        </is>
      </c>
      <c r="J482" t="inlineStr">
        <is>
          <t>Indiana Pacers</t>
        </is>
      </c>
      <c r="K482" t="inlineStr">
        <is>
          <t>Yes</t>
        </is>
      </c>
      <c r="L482" t="inlineStr"/>
      <c r="M482" t="inlineStr">
        <is>
          <t>https://fixturedownload.com/download/nba-2024-UTC.csv</t>
        </is>
      </c>
    </row>
    <row r="483">
      <c r="A483" t="n">
        <v>451</v>
      </c>
      <c r="B483" t="n">
        <v>9</v>
      </c>
      <c r="C483" t="inlineStr">
        <is>
          <t>01/01/2025 00:00</t>
        </is>
      </c>
      <c r="D483" t="inlineStr">
        <is>
          <t>Frost Bank Center</t>
        </is>
      </c>
      <c r="E483" t="inlineStr">
        <is>
          <t>San Antonio Spurs</t>
        </is>
      </c>
      <c r="F483" t="inlineStr">
        <is>
          <t>LA Clippers</t>
        </is>
      </c>
      <c r="G483" t="n">
        <v>122</v>
      </c>
      <c r="H483" t="n">
        <v>86</v>
      </c>
      <c r="I483" t="inlineStr">
        <is>
          <t>San Antonio Spurs</t>
        </is>
      </c>
      <c r="J483" t="inlineStr">
        <is>
          <t>LA Clippers</t>
        </is>
      </c>
      <c r="K483" t="inlineStr">
        <is>
          <t>Yes</t>
        </is>
      </c>
      <c r="L483" t="inlineStr"/>
      <c r="M483" t="inlineStr">
        <is>
          <t>https://fixturedownload.com/download/nba-2024-UTC.csv</t>
        </is>
      </c>
    </row>
    <row r="484">
      <c r="A484" t="n">
        <v>452</v>
      </c>
      <c r="B484" t="n">
        <v>9</v>
      </c>
      <c r="C484" t="inlineStr">
        <is>
          <t>01/01/2025 01:00</t>
        </is>
      </c>
      <c r="D484" t="inlineStr">
        <is>
          <t>Paycom Center</t>
        </is>
      </c>
      <c r="E484" t="inlineStr">
        <is>
          <t>Oklahoma City Thunder</t>
        </is>
      </c>
      <c r="F484" t="inlineStr">
        <is>
          <t>Minnesota Timberwolves</t>
        </is>
      </c>
      <c r="G484" t="n">
        <v>113</v>
      </c>
      <c r="H484" t="n">
        <v>105</v>
      </c>
      <c r="I484" t="inlineStr">
        <is>
          <t>Oklahoma City Thunder</t>
        </is>
      </c>
      <c r="J484" t="inlineStr">
        <is>
          <t>Minnesota Timberwolves</t>
        </is>
      </c>
      <c r="K484" t="inlineStr">
        <is>
          <t>Yes</t>
        </is>
      </c>
      <c r="L484" t="inlineStr"/>
      <c r="M484" t="inlineStr">
        <is>
          <t>https://fixturedownload.com/download/nba-2024-UTC.csv</t>
        </is>
      </c>
    </row>
    <row r="485">
      <c r="A485" t="n">
        <v>453</v>
      </c>
      <c r="B485" t="n">
        <v>9</v>
      </c>
      <c r="C485" t="inlineStr">
        <is>
          <t>01/01/2025 02:00</t>
        </is>
      </c>
      <c r="D485" t="inlineStr">
        <is>
          <t>PHX Arena</t>
        </is>
      </c>
      <c r="E485" t="inlineStr">
        <is>
          <t>Phoenix Suns</t>
        </is>
      </c>
      <c r="F485" t="inlineStr">
        <is>
          <t>Memphis Grizzlies</t>
        </is>
      </c>
      <c r="G485" t="n">
        <v>112</v>
      </c>
      <c r="H485" t="n">
        <v>117</v>
      </c>
      <c r="I485" t="inlineStr">
        <is>
          <t>Memphis Grizzlies</t>
        </is>
      </c>
      <c r="J485" t="inlineStr">
        <is>
          <t>Phoenix Suns</t>
        </is>
      </c>
      <c r="K485" t="inlineStr">
        <is>
          <t>Yes</t>
        </is>
      </c>
      <c r="L485" t="inlineStr"/>
      <c r="M485" t="inlineStr">
        <is>
          <t>https://fixturedownload.com/download/nba-2024-UTC.csv</t>
        </is>
      </c>
    </row>
    <row r="486">
      <c r="A486" t="n">
        <v>454</v>
      </c>
      <c r="B486" t="n">
        <v>9</v>
      </c>
      <c r="C486" t="inlineStr">
        <is>
          <t>01/01/2025 02:00</t>
        </is>
      </c>
      <c r="D486" t="inlineStr">
        <is>
          <t>Crypto.com Arena</t>
        </is>
      </c>
      <c r="E486" t="inlineStr">
        <is>
          <t>Los Angeles Lakers</t>
        </is>
      </c>
      <c r="F486" t="inlineStr">
        <is>
          <t>Cleveland Cavaliers</t>
        </is>
      </c>
      <c r="G486" t="n">
        <v>110</v>
      </c>
      <c r="H486" t="n">
        <v>122</v>
      </c>
      <c r="I486" t="inlineStr">
        <is>
          <t>Cleveland Cavaliers</t>
        </is>
      </c>
      <c r="J486" t="inlineStr">
        <is>
          <t>Los Angeles Lakers</t>
        </is>
      </c>
      <c r="K486" t="inlineStr">
        <is>
          <t>Yes</t>
        </is>
      </c>
      <c r="L486" t="inlineStr"/>
      <c r="M486" t="inlineStr">
        <is>
          <t>https://fixturedownload.com/download/nba-2024-UTC.csv</t>
        </is>
      </c>
    </row>
    <row r="487">
      <c r="A487" t="n">
        <v>455</v>
      </c>
      <c r="B487" t="n">
        <v>10</v>
      </c>
      <c r="C487" t="inlineStr">
        <is>
          <t>02/01/2025 00:00</t>
        </is>
      </c>
      <c r="D487" t="inlineStr">
        <is>
          <t>Little Caesars Arena</t>
        </is>
      </c>
      <c r="E487" t="inlineStr">
        <is>
          <t>Detroit Pistons</t>
        </is>
      </c>
      <c r="F487" t="inlineStr">
        <is>
          <t>Orlando Magic</t>
        </is>
      </c>
      <c r="G487" t="n">
        <v>105</v>
      </c>
      <c r="H487" t="n">
        <v>96</v>
      </c>
      <c r="I487" t="inlineStr">
        <is>
          <t>Detroit Pistons</t>
        </is>
      </c>
      <c r="J487" t="inlineStr">
        <is>
          <t>Orlando Magic</t>
        </is>
      </c>
      <c r="K487" t="inlineStr">
        <is>
          <t>Yes</t>
        </is>
      </c>
      <c r="L487" t="inlineStr"/>
      <c r="M487" t="inlineStr">
        <is>
          <t>https://fixturedownload.com/download/nba-2024-UTC.csv</t>
        </is>
      </c>
    </row>
    <row r="488">
      <c r="A488" t="n">
        <v>456</v>
      </c>
      <c r="B488" t="n">
        <v>10</v>
      </c>
      <c r="C488" t="inlineStr">
        <is>
          <t>02/01/2025 00:00</t>
        </is>
      </c>
      <c r="D488" t="inlineStr">
        <is>
          <t>Capital One Arena</t>
        </is>
      </c>
      <c r="E488" t="inlineStr">
        <is>
          <t>Washington Wizards</t>
        </is>
      </c>
      <c r="F488" t="inlineStr">
        <is>
          <t>Chicago Bulls</t>
        </is>
      </c>
      <c r="G488" t="n">
        <v>125</v>
      </c>
      <c r="H488" t="n">
        <v>107</v>
      </c>
      <c r="I488" t="inlineStr">
        <is>
          <t>Washington Wizards</t>
        </is>
      </c>
      <c r="J488" t="inlineStr">
        <is>
          <t>Chicago Bulls</t>
        </is>
      </c>
      <c r="K488" t="inlineStr">
        <is>
          <t>Yes</t>
        </is>
      </c>
      <c r="L488" t="inlineStr"/>
      <c r="M488" t="inlineStr">
        <is>
          <t>https://fixturedownload.com/download/nba-2024-UTC.csv</t>
        </is>
      </c>
    </row>
    <row r="489">
      <c r="A489" t="n">
        <v>457</v>
      </c>
      <c r="B489" t="n">
        <v>10</v>
      </c>
      <c r="C489" t="inlineStr">
        <is>
          <t>02/01/2025 00:30</t>
        </is>
      </c>
      <c r="D489" t="inlineStr">
        <is>
          <t>Kaseya Center</t>
        </is>
      </c>
      <c r="E489" t="inlineStr">
        <is>
          <t>Miami Heat</t>
        </is>
      </c>
      <c r="F489" t="inlineStr">
        <is>
          <t>New Orleans Pelicans</t>
        </is>
      </c>
      <c r="G489" t="n">
        <v>119</v>
      </c>
      <c r="H489" t="n">
        <v>108</v>
      </c>
      <c r="I489" t="inlineStr">
        <is>
          <t>Miami Heat</t>
        </is>
      </c>
      <c r="J489" t="inlineStr">
        <is>
          <t>New Orleans Pelicans</t>
        </is>
      </c>
      <c r="K489" t="inlineStr">
        <is>
          <t>Yes</t>
        </is>
      </c>
      <c r="L489" t="inlineStr"/>
      <c r="M489" t="inlineStr">
        <is>
          <t>https://fixturedownload.com/download/nba-2024-UTC.csv</t>
        </is>
      </c>
    </row>
    <row r="490">
      <c r="A490" t="n">
        <v>458</v>
      </c>
      <c r="B490" t="n">
        <v>10</v>
      </c>
      <c r="C490" t="inlineStr">
        <is>
          <t>02/01/2025 00:30</t>
        </is>
      </c>
      <c r="D490" t="inlineStr">
        <is>
          <t>Madison Square Garden</t>
        </is>
      </c>
      <c r="E490" t="inlineStr">
        <is>
          <t>New York Knicks</t>
        </is>
      </c>
      <c r="F490" t="inlineStr">
        <is>
          <t>Utah Jazz</t>
        </is>
      </c>
      <c r="G490" t="n">
        <v>119</v>
      </c>
      <c r="H490" t="n">
        <v>103</v>
      </c>
      <c r="I490" t="inlineStr">
        <is>
          <t>New York Knicks</t>
        </is>
      </c>
      <c r="J490" t="inlineStr">
        <is>
          <t>Utah Jazz</t>
        </is>
      </c>
      <c r="K490" t="inlineStr">
        <is>
          <t>Yes</t>
        </is>
      </c>
      <c r="L490" t="inlineStr"/>
      <c r="M490" t="inlineStr">
        <is>
          <t>https://fixturedownload.com/download/nba-2024-UTC.csv</t>
        </is>
      </c>
    </row>
    <row r="491">
      <c r="A491" t="n">
        <v>459</v>
      </c>
      <c r="B491" t="n">
        <v>10</v>
      </c>
      <c r="C491" t="inlineStr">
        <is>
          <t>02/01/2025 00:30</t>
        </is>
      </c>
      <c r="D491" t="inlineStr">
        <is>
          <t>Scotiabank Arena</t>
        </is>
      </c>
      <c r="E491" t="inlineStr">
        <is>
          <t>Toronto Raptors</t>
        </is>
      </c>
      <c r="F491" t="inlineStr">
        <is>
          <t>Brooklyn Nets</t>
        </is>
      </c>
      <c r="G491" t="n">
        <v>130</v>
      </c>
      <c r="H491" t="n">
        <v>113</v>
      </c>
      <c r="I491" t="inlineStr">
        <is>
          <t>Toronto Raptors</t>
        </is>
      </c>
      <c r="J491" t="inlineStr">
        <is>
          <t>Brooklyn Nets</t>
        </is>
      </c>
      <c r="K491" t="inlineStr">
        <is>
          <t>Yes</t>
        </is>
      </c>
      <c r="L491" t="inlineStr"/>
      <c r="M491" t="inlineStr">
        <is>
          <t>https://fixturedownload.com/download/nba-2024-UTC.csv</t>
        </is>
      </c>
    </row>
    <row r="492">
      <c r="A492" t="n">
        <v>460</v>
      </c>
      <c r="B492" t="n">
        <v>10</v>
      </c>
      <c r="C492" t="inlineStr">
        <is>
          <t>02/01/2025 01:00</t>
        </is>
      </c>
      <c r="D492" t="inlineStr">
        <is>
          <t>Toyota Center</t>
        </is>
      </c>
      <c r="E492" t="inlineStr">
        <is>
          <t>Houston Rockets</t>
        </is>
      </c>
      <c r="F492" t="inlineStr">
        <is>
          <t>Dallas Mavericks</t>
        </is>
      </c>
      <c r="G492" t="n">
        <v>110</v>
      </c>
      <c r="H492" t="n">
        <v>99</v>
      </c>
      <c r="I492" t="inlineStr">
        <is>
          <t>Houston Rockets</t>
        </is>
      </c>
      <c r="J492" t="inlineStr">
        <is>
          <t>Dallas Mavericks</t>
        </is>
      </c>
      <c r="K492" t="inlineStr">
        <is>
          <t>Yes</t>
        </is>
      </c>
      <c r="L492" t="inlineStr"/>
      <c r="M492" t="inlineStr">
        <is>
          <t>https://fixturedownload.com/download/nba-2024-UTC.csv</t>
        </is>
      </c>
    </row>
    <row r="493">
      <c r="A493" t="n">
        <v>461</v>
      </c>
      <c r="B493" t="n">
        <v>10</v>
      </c>
      <c r="C493" t="inlineStr">
        <is>
          <t>02/01/2025 02:00</t>
        </is>
      </c>
      <c r="D493" t="inlineStr">
        <is>
          <t>Ball Arena</t>
        </is>
      </c>
      <c r="E493" t="inlineStr">
        <is>
          <t>Denver Nuggets</t>
        </is>
      </c>
      <c r="F493" t="inlineStr">
        <is>
          <t>Atlanta Hawks</t>
        </is>
      </c>
      <c r="G493" t="n">
        <v>139</v>
      </c>
      <c r="H493" t="n">
        <v>120</v>
      </c>
      <c r="I493" t="inlineStr">
        <is>
          <t>Denver Nuggets</t>
        </is>
      </c>
      <c r="J493" t="inlineStr">
        <is>
          <t>Atlanta Hawks</t>
        </is>
      </c>
      <c r="K493" t="inlineStr">
        <is>
          <t>Yes</t>
        </is>
      </c>
      <c r="L493" t="inlineStr"/>
      <c r="M493" t="inlineStr">
        <is>
          <t>https://fixturedownload.com/download/nba-2024-UTC.csv</t>
        </is>
      </c>
    </row>
    <row r="494">
      <c r="A494" t="n">
        <v>462</v>
      </c>
      <c r="B494" t="n">
        <v>10</v>
      </c>
      <c r="C494" t="inlineStr">
        <is>
          <t>02/01/2025 03:00</t>
        </is>
      </c>
      <c r="D494" t="inlineStr">
        <is>
          <t>Golden 1 Center</t>
        </is>
      </c>
      <c r="E494" t="inlineStr">
        <is>
          <t>Sacramento Kings</t>
        </is>
      </c>
      <c r="F494" t="inlineStr">
        <is>
          <t>Philadelphia 76ers</t>
        </is>
      </c>
      <c r="G494" t="n">
        <v>113</v>
      </c>
      <c r="H494" t="n">
        <v>107</v>
      </c>
      <c r="I494" t="inlineStr">
        <is>
          <t>Sacramento Kings</t>
        </is>
      </c>
      <c r="J494" t="inlineStr">
        <is>
          <t>Philadelphia 76ers</t>
        </is>
      </c>
      <c r="K494" t="inlineStr">
        <is>
          <t>Yes</t>
        </is>
      </c>
      <c r="L494" t="inlineStr"/>
      <c r="M494" t="inlineStr">
        <is>
          <t>https://fixturedownload.com/download/nba-2024-UTC.csv</t>
        </is>
      </c>
    </row>
    <row r="495">
      <c r="A495" t="n">
        <v>463</v>
      </c>
      <c r="B495" t="n">
        <v>10</v>
      </c>
      <c r="C495" t="inlineStr">
        <is>
          <t>03/01/2025 00:30</t>
        </is>
      </c>
      <c r="D495" t="inlineStr">
        <is>
          <t>Kaseya Center</t>
        </is>
      </c>
      <c r="E495" t="inlineStr">
        <is>
          <t>Miami Heat</t>
        </is>
      </c>
      <c r="F495" t="inlineStr">
        <is>
          <t>Indiana Pacers</t>
        </is>
      </c>
      <c r="G495" t="n">
        <v>115</v>
      </c>
      <c r="H495" t="n">
        <v>128</v>
      </c>
      <c r="I495" t="inlineStr">
        <is>
          <t>Indiana Pacers</t>
        </is>
      </c>
      <c r="J495" t="inlineStr">
        <is>
          <t>Miami Heat</t>
        </is>
      </c>
      <c r="K495" t="inlineStr">
        <is>
          <t>Yes</t>
        </is>
      </c>
      <c r="L495" t="inlineStr"/>
      <c r="M495" t="inlineStr">
        <is>
          <t>https://fixturedownload.com/download/nba-2024-UTC.csv</t>
        </is>
      </c>
    </row>
    <row r="496">
      <c r="A496" t="n">
        <v>464</v>
      </c>
      <c r="B496" t="n">
        <v>10</v>
      </c>
      <c r="C496" t="inlineStr">
        <is>
          <t>03/01/2025 00:30</t>
        </is>
      </c>
      <c r="D496" t="inlineStr">
        <is>
          <t>Target Center</t>
        </is>
      </c>
      <c r="E496" t="inlineStr">
        <is>
          <t>Minnesota Timberwolves</t>
        </is>
      </c>
      <c r="F496" t="inlineStr">
        <is>
          <t>Boston Celtics</t>
        </is>
      </c>
      <c r="G496" t="n">
        <v>115</v>
      </c>
      <c r="H496" t="n">
        <v>118</v>
      </c>
      <c r="I496" t="inlineStr">
        <is>
          <t>Boston Celtics</t>
        </is>
      </c>
      <c r="J496" t="inlineStr">
        <is>
          <t>Minnesota Timberwolves</t>
        </is>
      </c>
      <c r="K496" t="inlineStr">
        <is>
          <t>Yes</t>
        </is>
      </c>
      <c r="L496" t="inlineStr"/>
      <c r="M496" t="inlineStr">
        <is>
          <t>https://fixturedownload.com/download/nba-2024-UTC.csv</t>
        </is>
      </c>
    </row>
    <row r="497">
      <c r="A497" t="n">
        <v>465</v>
      </c>
      <c r="B497" t="n">
        <v>10</v>
      </c>
      <c r="C497" t="inlineStr">
        <is>
          <t>03/01/2025 01:00</t>
        </is>
      </c>
      <c r="D497" t="inlineStr">
        <is>
          <t>Fiserv Forum</t>
        </is>
      </c>
      <c r="E497" t="inlineStr">
        <is>
          <t>Milwaukee Bucks</t>
        </is>
      </c>
      <c r="F497" t="inlineStr">
        <is>
          <t>Brooklyn Nets</t>
        </is>
      </c>
      <c r="G497" t="n">
        <v>110</v>
      </c>
      <c r="H497" t="n">
        <v>113</v>
      </c>
      <c r="I497" t="inlineStr">
        <is>
          <t>Brooklyn Nets</t>
        </is>
      </c>
      <c r="J497" t="inlineStr">
        <is>
          <t>Milwaukee Bucks</t>
        </is>
      </c>
      <c r="K497" t="inlineStr">
        <is>
          <t>Yes</t>
        </is>
      </c>
      <c r="L497" t="inlineStr"/>
      <c r="M497" t="inlineStr">
        <is>
          <t>https://fixturedownload.com/download/nba-2024-UTC.csv</t>
        </is>
      </c>
    </row>
    <row r="498">
      <c r="A498" t="n">
        <v>466</v>
      </c>
      <c r="B498" t="n">
        <v>10</v>
      </c>
      <c r="C498" t="inlineStr">
        <is>
          <t>03/01/2025 01:00</t>
        </is>
      </c>
      <c r="D498" t="inlineStr">
        <is>
          <t>Paycom Center</t>
        </is>
      </c>
      <c r="E498" t="inlineStr">
        <is>
          <t>Oklahoma City Thunder</t>
        </is>
      </c>
      <c r="F498" t="inlineStr">
        <is>
          <t>LA Clippers</t>
        </is>
      </c>
      <c r="G498" t="n">
        <v>116</v>
      </c>
      <c r="H498" t="n">
        <v>98</v>
      </c>
      <c r="I498" t="inlineStr">
        <is>
          <t>Oklahoma City Thunder</t>
        </is>
      </c>
      <c r="J498" t="inlineStr">
        <is>
          <t>LA Clippers</t>
        </is>
      </c>
      <c r="K498" t="inlineStr">
        <is>
          <t>Yes</t>
        </is>
      </c>
      <c r="L498" t="inlineStr"/>
      <c r="M498" t="inlineStr">
        <is>
          <t>https://fixturedownload.com/download/nba-2024-UTC.csv</t>
        </is>
      </c>
    </row>
    <row r="499">
      <c r="A499" t="n">
        <v>467</v>
      </c>
      <c r="B499" t="n">
        <v>10</v>
      </c>
      <c r="C499" t="inlineStr">
        <is>
          <t>03/01/2025 03:00</t>
        </is>
      </c>
      <c r="D499" t="inlineStr">
        <is>
          <t>Chase Center</t>
        </is>
      </c>
      <c r="E499" t="inlineStr">
        <is>
          <t>Golden State Warriors</t>
        </is>
      </c>
      <c r="F499" t="inlineStr">
        <is>
          <t>Philadelphia 76ers</t>
        </is>
      </c>
      <c r="G499" t="n">
        <v>139</v>
      </c>
      <c r="H499" t="n">
        <v>105</v>
      </c>
      <c r="I499" t="inlineStr">
        <is>
          <t>Golden State Warriors</t>
        </is>
      </c>
      <c r="J499" t="inlineStr">
        <is>
          <t>Philadelphia 76ers</t>
        </is>
      </c>
      <c r="K499" t="inlineStr">
        <is>
          <t>Yes</t>
        </is>
      </c>
      <c r="L499" t="inlineStr"/>
      <c r="M499" t="inlineStr">
        <is>
          <t>https://fixturedownload.com/download/nba-2024-UTC.csv</t>
        </is>
      </c>
    </row>
    <row r="500">
      <c r="A500" t="n">
        <v>468</v>
      </c>
      <c r="B500" t="n">
        <v>10</v>
      </c>
      <c r="C500" t="inlineStr">
        <is>
          <t>03/01/2025 03:30</t>
        </is>
      </c>
      <c r="D500" t="inlineStr">
        <is>
          <t>Crypto.com Arena</t>
        </is>
      </c>
      <c r="E500" t="inlineStr">
        <is>
          <t>Los Angeles Lakers</t>
        </is>
      </c>
      <c r="F500" t="inlineStr">
        <is>
          <t>Portland Trail Blazers</t>
        </is>
      </c>
      <c r="G500" t="n">
        <v>114</v>
      </c>
      <c r="H500" t="n">
        <v>106</v>
      </c>
      <c r="I500" t="inlineStr">
        <is>
          <t>Los Angeles Lakers</t>
        </is>
      </c>
      <c r="J500" t="inlineStr">
        <is>
          <t>Portland Trail Blazers</t>
        </is>
      </c>
      <c r="K500" t="inlineStr">
        <is>
          <t>Yes</t>
        </is>
      </c>
      <c r="L500" t="inlineStr"/>
      <c r="M500" t="inlineStr">
        <is>
          <t>https://fixturedownload.com/download/nba-2024-UTC.csv</t>
        </is>
      </c>
    </row>
    <row r="501">
      <c r="A501" t="n">
        <v>469</v>
      </c>
      <c r="B501" t="n">
        <v>10</v>
      </c>
      <c r="C501" t="inlineStr">
        <is>
          <t>04/01/2025 00:00</t>
        </is>
      </c>
      <c r="D501" t="inlineStr">
        <is>
          <t>Little Caesars Arena</t>
        </is>
      </c>
      <c r="E501" t="inlineStr">
        <is>
          <t>Detroit Pistons</t>
        </is>
      </c>
      <c r="F501" t="inlineStr">
        <is>
          <t>Charlotte Hornets</t>
        </is>
      </c>
      <c r="G501" t="n">
        <v>98</v>
      </c>
      <c r="H501" t="n">
        <v>94</v>
      </c>
      <c r="I501" t="inlineStr">
        <is>
          <t>Detroit Pistons</t>
        </is>
      </c>
      <c r="J501" t="inlineStr">
        <is>
          <t>Charlotte Hornets</t>
        </is>
      </c>
      <c r="K501" t="inlineStr">
        <is>
          <t>Yes</t>
        </is>
      </c>
      <c r="L501" t="inlineStr"/>
      <c r="M501" t="inlineStr">
        <is>
          <t>https://fixturedownload.com/download/nba-2024-UTC.csv</t>
        </is>
      </c>
    </row>
    <row r="502">
      <c r="A502" t="n">
        <v>470</v>
      </c>
      <c r="B502" t="n">
        <v>10</v>
      </c>
      <c r="C502" t="inlineStr">
        <is>
          <t>04/01/2025 00:30</t>
        </is>
      </c>
      <c r="D502" t="inlineStr">
        <is>
          <t>Scotiabank Arena</t>
        </is>
      </c>
      <c r="E502" t="inlineStr">
        <is>
          <t>Toronto Raptors</t>
        </is>
      </c>
      <c r="F502" t="inlineStr">
        <is>
          <t>Orlando Magic</t>
        </is>
      </c>
      <c r="G502" t="n">
        <v>97</v>
      </c>
      <c r="H502" t="n">
        <v>106</v>
      </c>
      <c r="I502" t="inlineStr">
        <is>
          <t>Orlando Magic</t>
        </is>
      </c>
      <c r="J502" t="inlineStr">
        <is>
          <t>Toronto Raptors</t>
        </is>
      </c>
      <c r="K502" t="inlineStr">
        <is>
          <t>Yes</t>
        </is>
      </c>
      <c r="L502" t="inlineStr"/>
      <c r="M502" t="inlineStr">
        <is>
          <t>https://fixturedownload.com/download/nba-2024-UTC.csv</t>
        </is>
      </c>
    </row>
    <row r="503">
      <c r="A503" t="n">
        <v>471</v>
      </c>
      <c r="B503" t="n">
        <v>10</v>
      </c>
      <c r="C503" t="inlineStr">
        <is>
          <t>04/01/2025 01:00</t>
        </is>
      </c>
      <c r="D503" t="inlineStr">
        <is>
          <t>Toyota Center</t>
        </is>
      </c>
      <c r="E503" t="inlineStr">
        <is>
          <t>Houston Rockets</t>
        </is>
      </c>
      <c r="F503" t="inlineStr">
        <is>
          <t>Boston Celtics</t>
        </is>
      </c>
      <c r="G503" t="n">
        <v>86</v>
      </c>
      <c r="H503" t="n">
        <v>109</v>
      </c>
      <c r="I503" t="inlineStr">
        <is>
          <t>Boston Celtics</t>
        </is>
      </c>
      <c r="J503" t="inlineStr">
        <is>
          <t>Houston Rockets</t>
        </is>
      </c>
      <c r="K503" t="inlineStr">
        <is>
          <t>Yes</t>
        </is>
      </c>
      <c r="L503" t="inlineStr"/>
      <c r="M503" t="inlineStr">
        <is>
          <t>https://fixturedownload.com/download/nba-2024-UTC.csv</t>
        </is>
      </c>
    </row>
    <row r="504">
      <c r="A504" t="n">
        <v>472</v>
      </c>
      <c r="B504" t="n">
        <v>10</v>
      </c>
      <c r="C504" t="inlineStr">
        <is>
          <t>04/01/2025 01:00</t>
        </is>
      </c>
      <c r="D504" t="inlineStr">
        <is>
          <t>Smoothie King Center</t>
        </is>
      </c>
      <c r="E504" t="inlineStr">
        <is>
          <t>New Orleans Pelicans</t>
        </is>
      </c>
      <c r="F504" t="inlineStr">
        <is>
          <t>Washington Wizards</t>
        </is>
      </c>
      <c r="G504" t="n">
        <v>132</v>
      </c>
      <c r="H504" t="n">
        <v>120</v>
      </c>
      <c r="I504" t="inlineStr">
        <is>
          <t>New Orleans Pelicans</t>
        </is>
      </c>
      <c r="J504" t="inlineStr">
        <is>
          <t>Washington Wizards</t>
        </is>
      </c>
      <c r="K504" t="inlineStr">
        <is>
          <t>Yes</t>
        </is>
      </c>
      <c r="L504" t="inlineStr"/>
      <c r="M504" t="inlineStr">
        <is>
          <t>https://fixturedownload.com/download/nba-2024-UTC.csv</t>
        </is>
      </c>
    </row>
    <row r="505">
      <c r="A505" t="n">
        <v>473</v>
      </c>
      <c r="B505" t="n">
        <v>10</v>
      </c>
      <c r="C505" t="inlineStr">
        <is>
          <t>04/01/2025 01:00</t>
        </is>
      </c>
      <c r="D505" t="inlineStr">
        <is>
          <t>Paycom Center</t>
        </is>
      </c>
      <c r="E505" t="inlineStr">
        <is>
          <t>Oklahoma City Thunder</t>
        </is>
      </c>
      <c r="F505" t="inlineStr">
        <is>
          <t>New York Knicks</t>
        </is>
      </c>
      <c r="G505" t="n">
        <v>117</v>
      </c>
      <c r="H505" t="n">
        <v>107</v>
      </c>
      <c r="I505" t="inlineStr">
        <is>
          <t>Oklahoma City Thunder</t>
        </is>
      </c>
      <c r="J505" t="inlineStr">
        <is>
          <t>New York Knicks</t>
        </is>
      </c>
      <c r="K505" t="inlineStr">
        <is>
          <t>Yes</t>
        </is>
      </c>
      <c r="L505" t="inlineStr"/>
      <c r="M505" t="inlineStr">
        <is>
          <t>https://fixturedownload.com/download/nba-2024-UTC.csv</t>
        </is>
      </c>
    </row>
    <row r="506">
      <c r="A506" t="n">
        <v>474</v>
      </c>
      <c r="B506" t="n">
        <v>10</v>
      </c>
      <c r="C506" t="inlineStr">
        <is>
          <t>04/01/2025 01:30</t>
        </is>
      </c>
      <c r="D506" t="inlineStr">
        <is>
          <t>American Airlines Center</t>
        </is>
      </c>
      <c r="E506" t="inlineStr">
        <is>
          <t>Dallas Mavericks</t>
        </is>
      </c>
      <c r="F506" t="inlineStr">
        <is>
          <t>Cleveland Cavaliers</t>
        </is>
      </c>
      <c r="G506" t="n">
        <v>122</v>
      </c>
      <c r="H506" t="n">
        <v>134</v>
      </c>
      <c r="I506" t="inlineStr">
        <is>
          <t>Cleveland Cavaliers</t>
        </is>
      </c>
      <c r="J506" t="inlineStr">
        <is>
          <t>Dallas Mavericks</t>
        </is>
      </c>
      <c r="K506" t="inlineStr">
        <is>
          <t>Yes</t>
        </is>
      </c>
      <c r="L506" t="inlineStr"/>
      <c r="M506" t="inlineStr">
        <is>
          <t>https://fixturedownload.com/download/nba-2024-UTC.csv</t>
        </is>
      </c>
    </row>
    <row r="507">
      <c r="A507" t="n">
        <v>475</v>
      </c>
      <c r="B507" t="n">
        <v>10</v>
      </c>
      <c r="C507" t="inlineStr">
        <is>
          <t>04/01/2025 02:00</t>
        </is>
      </c>
      <c r="D507" t="inlineStr">
        <is>
          <t>Ball Arena</t>
        </is>
      </c>
      <c r="E507" t="inlineStr">
        <is>
          <t>Denver Nuggets</t>
        </is>
      </c>
      <c r="F507" t="inlineStr">
        <is>
          <t>San Antonio Spurs</t>
        </is>
      </c>
      <c r="G507" t="n">
        <v>110</v>
      </c>
      <c r="H507" t="n">
        <v>113</v>
      </c>
      <c r="I507" t="inlineStr">
        <is>
          <t>San Antonio Spurs</t>
        </is>
      </c>
      <c r="J507" t="inlineStr">
        <is>
          <t>Denver Nuggets</t>
        </is>
      </c>
      <c r="K507" t="inlineStr">
        <is>
          <t>Yes</t>
        </is>
      </c>
      <c r="L507" t="inlineStr"/>
      <c r="M507" t="inlineStr">
        <is>
          <t>https://fixturedownload.com/download/nba-2024-UTC.csv</t>
        </is>
      </c>
    </row>
    <row r="508">
      <c r="A508" t="n">
        <v>476</v>
      </c>
      <c r="B508" t="n">
        <v>10</v>
      </c>
      <c r="C508" t="inlineStr">
        <is>
          <t>04/01/2025 03:00</t>
        </is>
      </c>
      <c r="D508" t="inlineStr">
        <is>
          <t>Golden 1 Center</t>
        </is>
      </c>
      <c r="E508" t="inlineStr">
        <is>
          <t>Sacramento Kings</t>
        </is>
      </c>
      <c r="F508" t="inlineStr">
        <is>
          <t>Memphis Grizzlies</t>
        </is>
      </c>
      <c r="G508" t="n">
        <v>138</v>
      </c>
      <c r="H508" t="n">
        <v>133</v>
      </c>
      <c r="I508" t="inlineStr">
        <is>
          <t>Sacramento Kings</t>
        </is>
      </c>
      <c r="J508" t="inlineStr">
        <is>
          <t>Memphis Grizzlies</t>
        </is>
      </c>
      <c r="K508" t="inlineStr">
        <is>
          <t>Yes</t>
        </is>
      </c>
      <c r="L508" t="inlineStr"/>
      <c r="M508" t="inlineStr">
        <is>
          <t>https://fixturedownload.com/download/nba-2024-UTC.csv</t>
        </is>
      </c>
    </row>
    <row r="509">
      <c r="A509" t="n">
        <v>477</v>
      </c>
      <c r="B509" t="n">
        <v>10</v>
      </c>
      <c r="C509" t="inlineStr">
        <is>
          <t>04/01/2025 03:30</t>
        </is>
      </c>
      <c r="D509" t="inlineStr">
        <is>
          <t>Crypto.com Arena</t>
        </is>
      </c>
      <c r="E509" t="inlineStr">
        <is>
          <t>Los Angeles Lakers</t>
        </is>
      </c>
      <c r="F509" t="inlineStr">
        <is>
          <t>Atlanta Hawks</t>
        </is>
      </c>
      <c r="G509" t="n">
        <v>119</v>
      </c>
      <c r="H509" t="n">
        <v>102</v>
      </c>
      <c r="I509" t="inlineStr">
        <is>
          <t>Los Angeles Lakers</t>
        </is>
      </c>
      <c r="J509" t="inlineStr">
        <is>
          <t>Atlanta Hawks</t>
        </is>
      </c>
      <c r="K509" t="inlineStr">
        <is>
          <t>Yes</t>
        </is>
      </c>
      <c r="L509" t="inlineStr"/>
      <c r="M509" t="inlineStr">
        <is>
          <t>https://fixturedownload.com/download/nba-2024-UTC.csv</t>
        </is>
      </c>
    </row>
    <row r="510">
      <c r="A510" t="n">
        <v>478</v>
      </c>
      <c r="B510" t="n">
        <v>10</v>
      </c>
      <c r="C510" t="inlineStr">
        <is>
          <t>04/01/2025 23:00</t>
        </is>
      </c>
      <c r="D510" t="inlineStr">
        <is>
          <t>Barclays Center</t>
        </is>
      </c>
      <c r="E510" t="inlineStr">
        <is>
          <t>Brooklyn Nets</t>
        </is>
      </c>
      <c r="F510" t="inlineStr">
        <is>
          <t>Philadelphia 76ers</t>
        </is>
      </c>
      <c r="G510" t="n">
        <v>94</v>
      </c>
      <c r="H510" t="n">
        <v>123</v>
      </c>
      <c r="I510" t="inlineStr">
        <is>
          <t>Philadelphia 76ers</t>
        </is>
      </c>
      <c r="J510" t="inlineStr">
        <is>
          <t>Brooklyn Nets</t>
        </is>
      </c>
      <c r="K510" t="inlineStr">
        <is>
          <t>Yes</t>
        </is>
      </c>
      <c r="L510" t="inlineStr"/>
      <c r="M510" t="inlineStr">
        <is>
          <t>https://fixturedownload.com/download/nba-2024-UTC.csv</t>
        </is>
      </c>
    </row>
    <row r="511">
      <c r="A511" t="n">
        <v>479</v>
      </c>
      <c r="B511" t="n">
        <v>10</v>
      </c>
      <c r="C511" t="inlineStr">
        <is>
          <t>05/01/2025 00:00</t>
        </is>
      </c>
      <c r="D511" t="inlineStr">
        <is>
          <t>Little Caesars Arena</t>
        </is>
      </c>
      <c r="E511" t="inlineStr">
        <is>
          <t>Detroit Pistons</t>
        </is>
      </c>
      <c r="F511" t="inlineStr">
        <is>
          <t>Minnesota Timberwolves</t>
        </is>
      </c>
      <c r="G511" t="n">
        <v>119</v>
      </c>
      <c r="H511" t="n">
        <v>105</v>
      </c>
      <c r="I511" t="inlineStr">
        <is>
          <t>Detroit Pistons</t>
        </is>
      </c>
      <c r="J511" t="inlineStr">
        <is>
          <t>Minnesota Timberwolves</t>
        </is>
      </c>
      <c r="K511" t="inlineStr">
        <is>
          <t>Yes</t>
        </is>
      </c>
      <c r="L511" t="inlineStr"/>
      <c r="M511" t="inlineStr">
        <is>
          <t>https://fixturedownload.com/download/nba-2024-UTC.csv</t>
        </is>
      </c>
    </row>
    <row r="512">
      <c r="A512" t="n">
        <v>480</v>
      </c>
      <c r="B512" t="n">
        <v>10</v>
      </c>
      <c r="C512" t="inlineStr">
        <is>
          <t>05/01/2025 00:00</t>
        </is>
      </c>
      <c r="D512" t="inlineStr">
        <is>
          <t>Gainbridge Fieldhouse</t>
        </is>
      </c>
      <c r="E512" t="inlineStr">
        <is>
          <t>Indiana Pacers</t>
        </is>
      </c>
      <c r="F512" t="inlineStr">
        <is>
          <t>Phoenix Suns</t>
        </is>
      </c>
      <c r="G512" t="n">
        <v>126</v>
      </c>
      <c r="H512" t="n">
        <v>108</v>
      </c>
      <c r="I512" t="inlineStr">
        <is>
          <t>Indiana Pacers</t>
        </is>
      </c>
      <c r="J512" t="inlineStr">
        <is>
          <t>Phoenix Suns</t>
        </is>
      </c>
      <c r="K512" t="inlineStr">
        <is>
          <t>Yes</t>
        </is>
      </c>
      <c r="L512" t="inlineStr"/>
      <c r="M512" t="inlineStr">
        <is>
          <t>https://fixturedownload.com/download/nba-2024-UTC.csv</t>
        </is>
      </c>
    </row>
    <row r="513">
      <c r="A513" t="n">
        <v>481</v>
      </c>
      <c r="B513" t="n">
        <v>10</v>
      </c>
      <c r="C513" t="inlineStr">
        <is>
          <t>05/01/2025 01:00</t>
        </is>
      </c>
      <c r="D513" t="inlineStr">
        <is>
          <t>Kaseya Center</t>
        </is>
      </c>
      <c r="E513" t="inlineStr">
        <is>
          <t>Miami Heat</t>
        </is>
      </c>
      <c r="F513" t="inlineStr">
        <is>
          <t>Utah Jazz</t>
        </is>
      </c>
      <c r="G513" t="n">
        <v>100</v>
      </c>
      <c r="H513" t="n">
        <v>136</v>
      </c>
      <c r="I513" t="inlineStr">
        <is>
          <t>Utah Jazz</t>
        </is>
      </c>
      <c r="J513" t="inlineStr">
        <is>
          <t>Miami Heat</t>
        </is>
      </c>
      <c r="K513" t="inlineStr">
        <is>
          <t>Yes</t>
        </is>
      </c>
      <c r="L513" t="inlineStr"/>
      <c r="M513" t="inlineStr">
        <is>
          <t>https://fixturedownload.com/download/nba-2024-UTC.csv</t>
        </is>
      </c>
    </row>
    <row r="514">
      <c r="A514" t="n">
        <v>482</v>
      </c>
      <c r="B514" t="n">
        <v>10</v>
      </c>
      <c r="C514" t="inlineStr">
        <is>
          <t>05/01/2025 01:00</t>
        </is>
      </c>
      <c r="D514" t="inlineStr">
        <is>
          <t>United Center</t>
        </is>
      </c>
      <c r="E514" t="inlineStr">
        <is>
          <t>Chicago Bulls</t>
        </is>
      </c>
      <c r="F514" t="inlineStr">
        <is>
          <t>New York Knicks</t>
        </is>
      </c>
      <c r="G514" t="n">
        <v>139</v>
      </c>
      <c r="H514" t="n">
        <v>126</v>
      </c>
      <c r="I514" t="inlineStr">
        <is>
          <t>Chicago Bulls</t>
        </is>
      </c>
      <c r="J514" t="inlineStr">
        <is>
          <t>New York Knicks</t>
        </is>
      </c>
      <c r="K514" t="inlineStr">
        <is>
          <t>Yes</t>
        </is>
      </c>
      <c r="L514" t="inlineStr"/>
      <c r="M514" t="inlineStr">
        <is>
          <t>https://fixturedownload.com/download/nba-2024-UTC.csv</t>
        </is>
      </c>
    </row>
    <row r="515">
      <c r="A515" t="n">
        <v>483</v>
      </c>
      <c r="B515" t="n">
        <v>10</v>
      </c>
      <c r="C515" t="inlineStr">
        <is>
          <t>05/01/2025 01:00</t>
        </is>
      </c>
      <c r="D515" t="inlineStr">
        <is>
          <t>Fiserv Forum</t>
        </is>
      </c>
      <c r="E515" t="inlineStr">
        <is>
          <t>Milwaukee Bucks</t>
        </is>
      </c>
      <c r="F515" t="inlineStr">
        <is>
          <t>Portland Trail Blazers</t>
        </is>
      </c>
      <c r="G515" t="n">
        <v>102</v>
      </c>
      <c r="H515" t="n">
        <v>105</v>
      </c>
      <c r="I515" t="inlineStr">
        <is>
          <t>Portland Trail Blazers</t>
        </is>
      </c>
      <c r="J515" t="inlineStr">
        <is>
          <t>Milwaukee Bucks</t>
        </is>
      </c>
      <c r="K515" t="inlineStr">
        <is>
          <t>Yes</t>
        </is>
      </c>
      <c r="L515" t="inlineStr"/>
      <c r="M515" t="inlineStr">
        <is>
          <t>https://fixturedownload.com/download/nba-2024-UTC.csv</t>
        </is>
      </c>
    </row>
    <row r="516">
      <c r="A516" t="n">
        <v>484</v>
      </c>
      <c r="B516" t="n">
        <v>10</v>
      </c>
      <c r="C516" t="inlineStr">
        <is>
          <t>05/01/2025 01:00</t>
        </is>
      </c>
      <c r="D516" t="inlineStr">
        <is>
          <t>Frost Bank Center</t>
        </is>
      </c>
      <c r="E516" t="inlineStr">
        <is>
          <t>San Antonio Spurs</t>
        </is>
      </c>
      <c r="F516" t="inlineStr">
        <is>
          <t>Denver Nuggets</t>
        </is>
      </c>
      <c r="G516" t="n">
        <v>111</v>
      </c>
      <c r="H516" t="n">
        <v>122</v>
      </c>
      <c r="I516" t="inlineStr">
        <is>
          <t>Denver Nuggets</t>
        </is>
      </c>
      <c r="J516" t="inlineStr">
        <is>
          <t>San Antonio Spurs</t>
        </is>
      </c>
      <c r="K516" t="inlineStr">
        <is>
          <t>Yes</t>
        </is>
      </c>
      <c r="L516" t="inlineStr"/>
      <c r="M516" t="inlineStr">
        <is>
          <t>https://fixturedownload.com/download/nba-2024-UTC.csv</t>
        </is>
      </c>
    </row>
    <row r="517">
      <c r="A517" t="n">
        <v>485</v>
      </c>
      <c r="B517" t="n">
        <v>10</v>
      </c>
      <c r="C517" t="inlineStr">
        <is>
          <t>05/01/2025 01:30</t>
        </is>
      </c>
      <c r="D517" t="inlineStr">
        <is>
          <t>Chase Center</t>
        </is>
      </c>
      <c r="E517" t="inlineStr">
        <is>
          <t>Golden State Warriors</t>
        </is>
      </c>
      <c r="F517" t="inlineStr">
        <is>
          <t>Memphis Grizzlies</t>
        </is>
      </c>
      <c r="G517" t="n">
        <v>121</v>
      </c>
      <c r="H517" t="n">
        <v>113</v>
      </c>
      <c r="I517" t="inlineStr">
        <is>
          <t>Golden State Warriors</t>
        </is>
      </c>
      <c r="J517" t="inlineStr">
        <is>
          <t>Memphis Grizzlies</t>
        </is>
      </c>
      <c r="K517" t="inlineStr">
        <is>
          <t>Yes</t>
        </is>
      </c>
      <c r="L517" t="inlineStr"/>
      <c r="M517" t="inlineStr">
        <is>
          <t>https://fixturedownload.com/download/nba-2024-UTC.csv</t>
        </is>
      </c>
    </row>
    <row r="518">
      <c r="A518" t="n">
        <v>486</v>
      </c>
      <c r="B518" t="n">
        <v>10</v>
      </c>
      <c r="C518" t="inlineStr">
        <is>
          <t>05/01/2025 03:30</t>
        </is>
      </c>
      <c r="D518" t="inlineStr">
        <is>
          <t>Intuit Dome</t>
        </is>
      </c>
      <c r="E518" t="inlineStr">
        <is>
          <t>LA Clippers</t>
        </is>
      </c>
      <c r="F518" t="inlineStr">
        <is>
          <t>Atlanta Hawks</t>
        </is>
      </c>
      <c r="G518" t="n">
        <v>131</v>
      </c>
      <c r="H518" t="n">
        <v>105</v>
      </c>
      <c r="I518" t="inlineStr">
        <is>
          <t>LA Clippers</t>
        </is>
      </c>
      <c r="J518" t="inlineStr">
        <is>
          <t>Atlanta Hawks</t>
        </is>
      </c>
      <c r="K518" t="inlineStr">
        <is>
          <t>Yes</t>
        </is>
      </c>
      <c r="L518" t="inlineStr"/>
      <c r="M518" t="inlineStr">
        <is>
          <t>https://fixturedownload.com/download/nba-2024-UTC.csv</t>
        </is>
      </c>
    </row>
    <row r="519">
      <c r="A519" t="n">
        <v>487</v>
      </c>
      <c r="B519" t="n">
        <v>10</v>
      </c>
      <c r="C519" t="inlineStr">
        <is>
          <t>05/01/2025 20:30</t>
        </is>
      </c>
      <c r="D519" t="inlineStr">
        <is>
          <t>Paycom Center</t>
        </is>
      </c>
      <c r="E519" t="inlineStr">
        <is>
          <t>Oklahoma City Thunder</t>
        </is>
      </c>
      <c r="F519" t="inlineStr">
        <is>
          <t>Boston Celtics</t>
        </is>
      </c>
      <c r="G519" t="n">
        <v>105</v>
      </c>
      <c r="H519" t="n">
        <v>92</v>
      </c>
      <c r="I519" t="inlineStr">
        <is>
          <t>Oklahoma City Thunder</t>
        </is>
      </c>
      <c r="J519" t="inlineStr">
        <is>
          <t>Boston Celtics</t>
        </is>
      </c>
      <c r="K519" t="inlineStr">
        <is>
          <t>Yes</t>
        </is>
      </c>
      <c r="L519" t="inlineStr"/>
      <c r="M519" t="inlineStr">
        <is>
          <t>https://fixturedownload.com/download/nba-2024-UTC.csv</t>
        </is>
      </c>
    </row>
    <row r="520">
      <c r="A520" t="n">
        <v>488</v>
      </c>
      <c r="B520" t="n">
        <v>10</v>
      </c>
      <c r="C520" t="inlineStr">
        <is>
          <t>05/01/2025 23:00</t>
        </is>
      </c>
      <c r="D520" t="inlineStr">
        <is>
          <t>Rocket Arena</t>
        </is>
      </c>
      <c r="E520" t="inlineStr">
        <is>
          <t>Cleveland Cavaliers</t>
        </is>
      </c>
      <c r="F520" t="inlineStr">
        <is>
          <t>Charlotte Hornets</t>
        </is>
      </c>
      <c r="G520" t="n">
        <v>115</v>
      </c>
      <c r="H520" t="n">
        <v>105</v>
      </c>
      <c r="I520" t="inlineStr">
        <is>
          <t>Cleveland Cavaliers</t>
        </is>
      </c>
      <c r="J520" t="inlineStr">
        <is>
          <t>Charlotte Hornets</t>
        </is>
      </c>
      <c r="K520" t="inlineStr">
        <is>
          <t>Yes</t>
        </is>
      </c>
      <c r="L520" t="inlineStr"/>
      <c r="M520" t="inlineStr">
        <is>
          <t>https://fixturedownload.com/download/nba-2024-UTC.csv</t>
        </is>
      </c>
    </row>
    <row r="521">
      <c r="A521" t="n">
        <v>489</v>
      </c>
      <c r="B521" t="n">
        <v>10</v>
      </c>
      <c r="C521" t="inlineStr">
        <is>
          <t>05/01/2025 23:00</t>
        </is>
      </c>
      <c r="D521" t="inlineStr">
        <is>
          <t>Capital One Arena</t>
        </is>
      </c>
      <c r="E521" t="inlineStr">
        <is>
          <t>Washington Wizards</t>
        </is>
      </c>
      <c r="F521" t="inlineStr">
        <is>
          <t>New Orleans Pelicans</t>
        </is>
      </c>
      <c r="G521" t="n">
        <v>98</v>
      </c>
      <c r="H521" t="n">
        <v>110</v>
      </c>
      <c r="I521" t="inlineStr">
        <is>
          <t>New Orleans Pelicans</t>
        </is>
      </c>
      <c r="J521" t="inlineStr">
        <is>
          <t>Washington Wizards</t>
        </is>
      </c>
      <c r="K521" t="inlineStr">
        <is>
          <t>Yes</t>
        </is>
      </c>
      <c r="L521" t="inlineStr"/>
      <c r="M521" t="inlineStr">
        <is>
          <t>https://fixturedownload.com/download/nba-2024-UTC.csv</t>
        </is>
      </c>
    </row>
    <row r="522">
      <c r="A522" t="n">
        <v>490</v>
      </c>
      <c r="B522" t="n">
        <v>10</v>
      </c>
      <c r="C522" t="inlineStr">
        <is>
          <t>05/01/2025 23:30</t>
        </is>
      </c>
      <c r="D522" t="inlineStr">
        <is>
          <t>Kia Center</t>
        </is>
      </c>
      <c r="E522" t="inlineStr">
        <is>
          <t>Orlando Magic</t>
        </is>
      </c>
      <c r="F522" t="inlineStr">
        <is>
          <t>Utah Jazz</t>
        </is>
      </c>
      <c r="G522" t="n">
        <v>92</v>
      </c>
      <c r="H522" t="n">
        <v>105</v>
      </c>
      <c r="I522" t="inlineStr">
        <is>
          <t>Utah Jazz</t>
        </is>
      </c>
      <c r="J522" t="inlineStr">
        <is>
          <t>Orlando Magic</t>
        </is>
      </c>
      <c r="K522" t="inlineStr">
        <is>
          <t>Yes</t>
        </is>
      </c>
      <c r="L522" t="inlineStr"/>
      <c r="M522" t="inlineStr">
        <is>
          <t>https://fixturedownload.com/download/nba-2024-UTC.csv</t>
        </is>
      </c>
    </row>
    <row r="523">
      <c r="A523" t="n">
        <v>491</v>
      </c>
      <c r="B523" t="n">
        <v>10</v>
      </c>
      <c r="C523" t="inlineStr">
        <is>
          <t>06/01/2025 00:00</t>
        </is>
      </c>
      <c r="D523" t="inlineStr">
        <is>
          <t>Toyota Center</t>
        </is>
      </c>
      <c r="E523" t="inlineStr">
        <is>
          <t>Houston Rockets</t>
        </is>
      </c>
      <c r="F523" t="inlineStr">
        <is>
          <t>Los Angeles Lakers</t>
        </is>
      </c>
      <c r="G523" t="n">
        <v>119</v>
      </c>
      <c r="H523" t="n">
        <v>115</v>
      </c>
      <c r="I523" t="inlineStr">
        <is>
          <t>Houston Rockets</t>
        </is>
      </c>
      <c r="J523" t="inlineStr">
        <is>
          <t>Los Angeles Lakers</t>
        </is>
      </c>
      <c r="K523" t="inlineStr">
        <is>
          <t>Yes</t>
        </is>
      </c>
      <c r="L523" t="inlineStr"/>
      <c r="M523" t="inlineStr">
        <is>
          <t>https://fixturedownload.com/download/nba-2024-UTC.csv</t>
        </is>
      </c>
    </row>
    <row r="524">
      <c r="A524" t="n">
        <v>492</v>
      </c>
      <c r="B524" t="n">
        <v>10</v>
      </c>
      <c r="C524" t="inlineStr">
        <is>
          <t>06/01/2025 01:30</t>
        </is>
      </c>
      <c r="D524" t="inlineStr">
        <is>
          <t>Chase Center</t>
        </is>
      </c>
      <c r="E524" t="inlineStr">
        <is>
          <t>Golden State Warriors</t>
        </is>
      </c>
      <c r="F524" t="inlineStr">
        <is>
          <t>Sacramento Kings</t>
        </is>
      </c>
      <c r="G524" t="n">
        <v>99</v>
      </c>
      <c r="H524" t="n">
        <v>129</v>
      </c>
      <c r="I524" t="inlineStr">
        <is>
          <t>Sacramento Kings</t>
        </is>
      </c>
      <c r="J524" t="inlineStr">
        <is>
          <t>Golden State Warriors</t>
        </is>
      </c>
      <c r="K524" t="inlineStr">
        <is>
          <t>Yes</t>
        </is>
      </c>
      <c r="L524" t="inlineStr"/>
      <c r="M524" t="inlineStr">
        <is>
          <t>https://fixturedownload.com/download/nba-2024-UTC.csv</t>
        </is>
      </c>
    </row>
    <row r="525">
      <c r="A525" t="n">
        <v>493</v>
      </c>
      <c r="B525" t="n">
        <v>10</v>
      </c>
      <c r="C525" t="inlineStr">
        <is>
          <t>07/01/2025 00:00</t>
        </is>
      </c>
      <c r="D525" t="inlineStr">
        <is>
          <t>Little Caesars Arena</t>
        </is>
      </c>
      <c r="E525" t="inlineStr">
        <is>
          <t>Detroit Pistons</t>
        </is>
      </c>
      <c r="F525" t="inlineStr">
        <is>
          <t>Portland Trail Blazers</t>
        </is>
      </c>
      <c r="G525" t="n">
        <v>118</v>
      </c>
      <c r="H525" t="n">
        <v>115</v>
      </c>
      <c r="I525" t="inlineStr">
        <is>
          <t>Detroit Pistons</t>
        </is>
      </c>
      <c r="J525" t="inlineStr">
        <is>
          <t>Portland Trail Blazers</t>
        </is>
      </c>
      <c r="K525" t="inlineStr">
        <is>
          <t>Yes</t>
        </is>
      </c>
      <c r="L525" t="inlineStr"/>
      <c r="M525" t="inlineStr">
        <is>
          <t>https://fixturedownload.com/download/nba-2024-UTC.csv</t>
        </is>
      </c>
    </row>
    <row r="526">
      <c r="A526" t="n">
        <v>494</v>
      </c>
      <c r="B526" t="n">
        <v>10</v>
      </c>
      <c r="C526" t="inlineStr">
        <is>
          <t>07/01/2025 00:00</t>
        </is>
      </c>
      <c r="D526" t="inlineStr">
        <is>
          <t>Wells Fargo Center</t>
        </is>
      </c>
      <c r="E526" t="inlineStr">
        <is>
          <t>Philadelphia 76ers</t>
        </is>
      </c>
      <c r="F526" t="inlineStr">
        <is>
          <t>Phoenix Suns</t>
        </is>
      </c>
      <c r="G526" t="n">
        <v>99</v>
      </c>
      <c r="H526" t="n">
        <v>109</v>
      </c>
      <c r="I526" t="inlineStr">
        <is>
          <t>Phoenix Suns</t>
        </is>
      </c>
      <c r="J526" t="inlineStr">
        <is>
          <t>Philadelphia 76ers</t>
        </is>
      </c>
      <c r="K526" t="inlineStr">
        <is>
          <t>Yes</t>
        </is>
      </c>
      <c r="L526" t="inlineStr"/>
      <c r="M526" t="inlineStr">
        <is>
          <t>https://fixturedownload.com/download/nba-2024-UTC.csv</t>
        </is>
      </c>
    </row>
    <row r="527">
      <c r="A527" t="n">
        <v>495</v>
      </c>
      <c r="B527" t="n">
        <v>10</v>
      </c>
      <c r="C527" t="inlineStr">
        <is>
          <t>07/01/2025 00:30</t>
        </is>
      </c>
      <c r="D527" t="inlineStr">
        <is>
          <t>Barclays Center</t>
        </is>
      </c>
      <c r="E527" t="inlineStr">
        <is>
          <t>Brooklyn Nets</t>
        </is>
      </c>
      <c r="F527" t="inlineStr">
        <is>
          <t>Indiana Pacers</t>
        </is>
      </c>
      <c r="G527" t="n">
        <v>99</v>
      </c>
      <c r="H527" t="n">
        <v>113</v>
      </c>
      <c r="I527" t="inlineStr">
        <is>
          <t>Indiana Pacers</t>
        </is>
      </c>
      <c r="J527" t="inlineStr">
        <is>
          <t>Brooklyn Nets</t>
        </is>
      </c>
      <c r="K527" t="inlineStr">
        <is>
          <t>Yes</t>
        </is>
      </c>
      <c r="L527" t="inlineStr"/>
      <c r="M527" t="inlineStr">
        <is>
          <t>https://fixturedownload.com/download/nba-2024-UTC.csv</t>
        </is>
      </c>
    </row>
    <row r="528">
      <c r="A528" t="n">
        <v>496</v>
      </c>
      <c r="B528" t="n">
        <v>10</v>
      </c>
      <c r="C528" t="inlineStr">
        <is>
          <t>07/01/2025 00:30</t>
        </is>
      </c>
      <c r="D528" t="inlineStr">
        <is>
          <t>Madison Square Garden</t>
        </is>
      </c>
      <c r="E528" t="inlineStr">
        <is>
          <t>New York Knicks</t>
        </is>
      </c>
      <c r="F528" t="inlineStr">
        <is>
          <t>Orlando Magic</t>
        </is>
      </c>
      <c r="G528" t="n">
        <v>94</v>
      </c>
      <c r="H528" t="n">
        <v>103</v>
      </c>
      <c r="I528" t="inlineStr">
        <is>
          <t>Orlando Magic</t>
        </is>
      </c>
      <c r="J528" t="inlineStr">
        <is>
          <t>New York Knicks</t>
        </is>
      </c>
      <c r="K528" t="inlineStr">
        <is>
          <t>Yes</t>
        </is>
      </c>
      <c r="L528" t="inlineStr"/>
      <c r="M528" t="inlineStr">
        <is>
          <t>https://fixturedownload.com/download/nba-2024-UTC.csv</t>
        </is>
      </c>
    </row>
    <row r="529">
      <c r="A529" t="n">
        <v>497</v>
      </c>
      <c r="B529" t="n">
        <v>10</v>
      </c>
      <c r="C529" t="inlineStr">
        <is>
          <t>07/01/2025 00:30</t>
        </is>
      </c>
      <c r="D529" t="inlineStr">
        <is>
          <t>Scotiabank Arena</t>
        </is>
      </c>
      <c r="E529" t="inlineStr">
        <is>
          <t>Toronto Raptors</t>
        </is>
      </c>
      <c r="F529" t="inlineStr">
        <is>
          <t>Milwaukee Bucks</t>
        </is>
      </c>
      <c r="G529" t="n">
        <v>104</v>
      </c>
      <c r="H529" t="n">
        <v>128</v>
      </c>
      <c r="I529" t="inlineStr">
        <is>
          <t>Milwaukee Bucks</t>
        </is>
      </c>
      <c r="J529" t="inlineStr">
        <is>
          <t>Toronto Raptors</t>
        </is>
      </c>
      <c r="K529" t="inlineStr">
        <is>
          <t>Yes</t>
        </is>
      </c>
      <c r="L529" t="inlineStr"/>
      <c r="M529" t="inlineStr">
        <is>
          <t>https://fixturedownload.com/download/nba-2024-UTC.csv</t>
        </is>
      </c>
    </row>
    <row r="530">
      <c r="A530" t="n">
        <v>498</v>
      </c>
      <c r="B530" t="n">
        <v>10</v>
      </c>
      <c r="C530" t="inlineStr">
        <is>
          <t>07/01/2025 01:00</t>
        </is>
      </c>
      <c r="D530" t="inlineStr">
        <is>
          <t>United Center</t>
        </is>
      </c>
      <c r="E530" t="inlineStr">
        <is>
          <t>Chicago Bulls</t>
        </is>
      </c>
      <c r="F530" t="inlineStr">
        <is>
          <t>San Antonio Spurs</t>
        </is>
      </c>
      <c r="G530" t="n">
        <v>114</v>
      </c>
      <c r="H530" t="n">
        <v>110</v>
      </c>
      <c r="I530" t="inlineStr">
        <is>
          <t>Chicago Bulls</t>
        </is>
      </c>
      <c r="J530" t="inlineStr">
        <is>
          <t>San Antonio Spurs</t>
        </is>
      </c>
      <c r="K530" t="inlineStr">
        <is>
          <t>Yes</t>
        </is>
      </c>
      <c r="L530" t="inlineStr"/>
      <c r="M530" t="inlineStr">
        <is>
          <t>https://fixturedownload.com/download/nba-2024-UTC.csv</t>
        </is>
      </c>
    </row>
    <row r="531">
      <c r="A531" t="n">
        <v>499</v>
      </c>
      <c r="B531" t="n">
        <v>10</v>
      </c>
      <c r="C531" t="inlineStr">
        <is>
          <t>07/01/2025 01:00</t>
        </is>
      </c>
      <c r="D531" t="inlineStr">
        <is>
          <t>FedExForum</t>
        </is>
      </c>
      <c r="E531" t="inlineStr">
        <is>
          <t>Memphis Grizzlies</t>
        </is>
      </c>
      <c r="F531" t="inlineStr">
        <is>
          <t>Dallas Mavericks</t>
        </is>
      </c>
      <c r="G531" t="n">
        <v>119</v>
      </c>
      <c r="H531" t="n">
        <v>104</v>
      </c>
      <c r="I531" t="inlineStr">
        <is>
          <t>Memphis Grizzlies</t>
        </is>
      </c>
      <c r="J531" t="inlineStr">
        <is>
          <t>Dallas Mavericks</t>
        </is>
      </c>
      <c r="K531" t="inlineStr">
        <is>
          <t>Yes</t>
        </is>
      </c>
      <c r="L531" t="inlineStr"/>
      <c r="M531" t="inlineStr">
        <is>
          <t>https://fixturedownload.com/download/nba-2024-UTC.csv</t>
        </is>
      </c>
    </row>
    <row r="532">
      <c r="A532" t="n">
        <v>500</v>
      </c>
      <c r="B532" t="n">
        <v>10</v>
      </c>
      <c r="C532" t="inlineStr">
        <is>
          <t>07/01/2025 01:00</t>
        </is>
      </c>
      <c r="D532" t="inlineStr">
        <is>
          <t>Target Center</t>
        </is>
      </c>
      <c r="E532" t="inlineStr">
        <is>
          <t>Minnesota Timberwolves</t>
        </is>
      </c>
      <c r="F532" t="inlineStr">
        <is>
          <t>LA Clippers</t>
        </is>
      </c>
      <c r="G532" t="n">
        <v>108</v>
      </c>
      <c r="H532" t="n">
        <v>106</v>
      </c>
      <c r="I532" t="inlineStr">
        <is>
          <t>Minnesota Timberwolves</t>
        </is>
      </c>
      <c r="J532" t="inlineStr">
        <is>
          <t>LA Clippers</t>
        </is>
      </c>
      <c r="K532" t="inlineStr">
        <is>
          <t>Yes</t>
        </is>
      </c>
      <c r="L532" t="inlineStr"/>
      <c r="M532" t="inlineStr">
        <is>
          <t>https://fixturedownload.com/download/nba-2024-UTC.csv</t>
        </is>
      </c>
    </row>
    <row r="533">
      <c r="A533" t="n">
        <v>501</v>
      </c>
      <c r="B533" t="n">
        <v>10</v>
      </c>
      <c r="C533" t="inlineStr">
        <is>
          <t>07/01/2025 03:00</t>
        </is>
      </c>
      <c r="D533" t="inlineStr">
        <is>
          <t>Golden 1 Center</t>
        </is>
      </c>
      <c r="E533" t="inlineStr">
        <is>
          <t>Sacramento Kings</t>
        </is>
      </c>
      <c r="F533" t="inlineStr">
        <is>
          <t>Miami Heat</t>
        </is>
      </c>
      <c r="G533" t="n">
        <v>123</v>
      </c>
      <c r="H533" t="n">
        <v>118</v>
      </c>
      <c r="I533" t="inlineStr">
        <is>
          <t>Sacramento Kings</t>
        </is>
      </c>
      <c r="J533" t="inlineStr">
        <is>
          <t>Miami Heat</t>
        </is>
      </c>
      <c r="K533" t="inlineStr">
        <is>
          <t>Yes</t>
        </is>
      </c>
      <c r="L533" t="inlineStr"/>
      <c r="M533" t="inlineStr">
        <is>
          <t>https://fixturedownload.com/download/nba-2024-UTC.csv</t>
        </is>
      </c>
    </row>
    <row r="534">
      <c r="A534" t="n">
        <v>502</v>
      </c>
      <c r="B534" t="n">
        <v>10</v>
      </c>
      <c r="C534" t="inlineStr">
        <is>
          <t>08/01/2025 00:00</t>
        </is>
      </c>
      <c r="D534" t="inlineStr">
        <is>
          <t>Spectrum Center</t>
        </is>
      </c>
      <c r="E534" t="inlineStr">
        <is>
          <t>Charlotte Hornets</t>
        </is>
      </c>
      <c r="F534" t="inlineStr">
        <is>
          <t>Phoenix Suns</t>
        </is>
      </c>
      <c r="G534" t="n">
        <v>115</v>
      </c>
      <c r="H534" t="n">
        <v>104</v>
      </c>
      <c r="I534" t="inlineStr">
        <is>
          <t>Charlotte Hornets</t>
        </is>
      </c>
      <c r="J534" t="inlineStr">
        <is>
          <t>Phoenix Suns</t>
        </is>
      </c>
      <c r="K534" t="inlineStr">
        <is>
          <t>Yes</t>
        </is>
      </c>
      <c r="L534" t="inlineStr"/>
      <c r="M534" t="inlineStr">
        <is>
          <t>https://fixturedownload.com/download/nba-2024-UTC.csv</t>
        </is>
      </c>
    </row>
    <row r="535">
      <c r="A535" t="n">
        <v>503</v>
      </c>
      <c r="B535" t="n">
        <v>10</v>
      </c>
      <c r="C535" t="inlineStr">
        <is>
          <t>08/01/2025 00:00</t>
        </is>
      </c>
      <c r="D535" t="inlineStr">
        <is>
          <t>Capital One Arena</t>
        </is>
      </c>
      <c r="E535" t="inlineStr">
        <is>
          <t>Washington Wizards</t>
        </is>
      </c>
      <c r="F535" t="inlineStr">
        <is>
          <t>Houston Rockets</t>
        </is>
      </c>
      <c r="G535" t="n">
        <v>112</v>
      </c>
      <c r="H535" t="n">
        <v>135</v>
      </c>
      <c r="I535" t="inlineStr">
        <is>
          <t>Houston Rockets</t>
        </is>
      </c>
      <c r="J535" t="inlineStr">
        <is>
          <t>Washington Wizards</t>
        </is>
      </c>
      <c r="K535" t="inlineStr">
        <is>
          <t>Yes</t>
        </is>
      </c>
      <c r="L535" t="inlineStr"/>
      <c r="M535" t="inlineStr">
        <is>
          <t>https://fixturedownload.com/download/nba-2024-UTC.csv</t>
        </is>
      </c>
    </row>
    <row r="536">
      <c r="A536" t="n">
        <v>504</v>
      </c>
      <c r="B536" t="n">
        <v>10</v>
      </c>
      <c r="C536" t="inlineStr">
        <is>
          <t>08/01/2025 00:30</t>
        </is>
      </c>
      <c r="D536" t="inlineStr">
        <is>
          <t>American Airlines Center</t>
        </is>
      </c>
      <c r="E536" t="inlineStr">
        <is>
          <t>Dallas Mavericks</t>
        </is>
      </c>
      <c r="F536" t="inlineStr">
        <is>
          <t>Los Angeles Lakers</t>
        </is>
      </c>
      <c r="G536" t="n">
        <v>118</v>
      </c>
      <c r="H536" t="n">
        <v>97</v>
      </c>
      <c r="I536" t="inlineStr">
        <is>
          <t>Dallas Mavericks</t>
        </is>
      </c>
      <c r="J536" t="inlineStr">
        <is>
          <t>Los Angeles Lakers</t>
        </is>
      </c>
      <c r="K536" t="inlineStr">
        <is>
          <t>Yes</t>
        </is>
      </c>
      <c r="L536" t="inlineStr"/>
      <c r="M536" t="inlineStr">
        <is>
          <t>https://fixturedownload.com/download/nba-2024-UTC.csv</t>
        </is>
      </c>
    </row>
    <row r="537">
      <c r="A537" t="n">
        <v>505</v>
      </c>
      <c r="B537" t="n">
        <v>10</v>
      </c>
      <c r="C537" t="inlineStr">
        <is>
          <t>08/01/2025 01:00</t>
        </is>
      </c>
      <c r="D537" t="inlineStr">
        <is>
          <t>Smoothie King Center</t>
        </is>
      </c>
      <c r="E537" t="inlineStr">
        <is>
          <t>New Orleans Pelicans</t>
        </is>
      </c>
      <c r="F537" t="inlineStr">
        <is>
          <t>Minnesota Timberwolves</t>
        </is>
      </c>
      <c r="G537" t="n">
        <v>97</v>
      </c>
      <c r="H537" t="n">
        <v>104</v>
      </c>
      <c r="I537" t="inlineStr">
        <is>
          <t>Minnesota Timberwolves</t>
        </is>
      </c>
      <c r="J537" t="inlineStr">
        <is>
          <t>New Orleans Pelicans</t>
        </is>
      </c>
      <c r="K537" t="inlineStr">
        <is>
          <t>Yes</t>
        </is>
      </c>
      <c r="L537" t="inlineStr"/>
      <c r="M537" t="inlineStr">
        <is>
          <t>https://fixturedownload.com/download/nba-2024-UTC.csv</t>
        </is>
      </c>
    </row>
    <row r="538">
      <c r="A538" t="n">
        <v>506</v>
      </c>
      <c r="B538" t="n">
        <v>10</v>
      </c>
      <c r="C538" t="inlineStr">
        <is>
          <t>08/01/2025 02:00</t>
        </is>
      </c>
      <c r="D538" t="inlineStr">
        <is>
          <t>Delta Center</t>
        </is>
      </c>
      <c r="E538" t="inlineStr">
        <is>
          <t>Utah Jazz</t>
        </is>
      </c>
      <c r="F538" t="inlineStr">
        <is>
          <t>Atlanta Hawks</t>
        </is>
      </c>
      <c r="G538" t="n">
        <v>121</v>
      </c>
      <c r="H538" t="n">
        <v>124</v>
      </c>
      <c r="I538" t="inlineStr">
        <is>
          <t>Atlanta Hawks</t>
        </is>
      </c>
      <c r="J538" t="inlineStr">
        <is>
          <t>Utah Jazz</t>
        </is>
      </c>
      <c r="K538" t="inlineStr">
        <is>
          <t>Yes</t>
        </is>
      </c>
      <c r="L538" t="inlineStr"/>
      <c r="M538" t="inlineStr">
        <is>
          <t>https://fixturedownload.com/download/nba-2024-UTC.csv</t>
        </is>
      </c>
    </row>
    <row r="539">
      <c r="A539" t="n">
        <v>507</v>
      </c>
      <c r="B539" t="n">
        <v>10</v>
      </c>
      <c r="C539" t="inlineStr">
        <is>
          <t>08/01/2025 03:00</t>
        </is>
      </c>
      <c r="D539" t="inlineStr">
        <is>
          <t>Ball Arena</t>
        </is>
      </c>
      <c r="E539" t="inlineStr">
        <is>
          <t>Denver Nuggets</t>
        </is>
      </c>
      <c r="F539" t="inlineStr">
        <is>
          <t>Boston Celtics</t>
        </is>
      </c>
      <c r="G539" t="n">
        <v>106</v>
      </c>
      <c r="H539" t="n">
        <v>118</v>
      </c>
      <c r="I539" t="inlineStr">
        <is>
          <t>Boston Celtics</t>
        </is>
      </c>
      <c r="J539" t="inlineStr">
        <is>
          <t>Denver Nuggets</t>
        </is>
      </c>
      <c r="K539" t="inlineStr">
        <is>
          <t>Yes</t>
        </is>
      </c>
      <c r="L539" t="inlineStr"/>
      <c r="M539" t="inlineStr">
        <is>
          <t>https://fixturedownload.com/download/nba-2024-UTC.csv</t>
        </is>
      </c>
    </row>
    <row r="540">
      <c r="A540" t="n">
        <v>508</v>
      </c>
      <c r="B540" t="n">
        <v>10</v>
      </c>
      <c r="C540" t="inlineStr">
        <is>
          <t>08/01/2025 03:00</t>
        </is>
      </c>
      <c r="D540" t="inlineStr">
        <is>
          <t>Chase Center</t>
        </is>
      </c>
      <c r="E540" t="inlineStr">
        <is>
          <t>Golden State Warriors</t>
        </is>
      </c>
      <c r="F540" t="inlineStr">
        <is>
          <t>Miami Heat</t>
        </is>
      </c>
      <c r="G540" t="n">
        <v>98</v>
      </c>
      <c r="H540" t="n">
        <v>114</v>
      </c>
      <c r="I540" t="inlineStr">
        <is>
          <t>Miami Heat</t>
        </is>
      </c>
      <c r="J540" t="inlineStr">
        <is>
          <t>Golden State Warriors</t>
        </is>
      </c>
      <c r="K540" t="inlineStr">
        <is>
          <t>Yes</t>
        </is>
      </c>
      <c r="L540" t="inlineStr"/>
      <c r="M540" t="inlineStr">
        <is>
          <t>https://fixturedownload.com/download/nba-2024-UTC.csv</t>
        </is>
      </c>
    </row>
    <row r="541">
      <c r="A541" t="n">
        <v>509</v>
      </c>
      <c r="B541" t="n">
        <v>11</v>
      </c>
      <c r="C541" t="inlineStr">
        <is>
          <t>09/01/2025 00:00</t>
        </is>
      </c>
      <c r="D541" t="inlineStr">
        <is>
          <t>Rocket Arena</t>
        </is>
      </c>
      <c r="E541" t="inlineStr">
        <is>
          <t>Cleveland Cavaliers</t>
        </is>
      </c>
      <c r="F541" t="inlineStr">
        <is>
          <t>Oklahoma City Thunder</t>
        </is>
      </c>
      <c r="G541" t="n">
        <v>129</v>
      </c>
      <c r="H541" t="n">
        <v>122</v>
      </c>
      <c r="I541" t="inlineStr">
        <is>
          <t>Cleveland Cavaliers</t>
        </is>
      </c>
      <c r="J541" t="inlineStr">
        <is>
          <t>Oklahoma City Thunder</t>
        </is>
      </c>
      <c r="K541" t="inlineStr">
        <is>
          <t>Yes</t>
        </is>
      </c>
      <c r="L541" t="inlineStr"/>
      <c r="M541" t="inlineStr">
        <is>
          <t>https://fixturedownload.com/download/nba-2024-UTC.csv</t>
        </is>
      </c>
    </row>
    <row r="542">
      <c r="A542" t="n">
        <v>510</v>
      </c>
      <c r="B542" t="n">
        <v>11</v>
      </c>
      <c r="C542" t="inlineStr">
        <is>
          <t>09/01/2025 00:00</t>
        </is>
      </c>
      <c r="D542" t="inlineStr">
        <is>
          <t>Gainbridge Fieldhouse</t>
        </is>
      </c>
      <c r="E542" t="inlineStr">
        <is>
          <t>Indiana Pacers</t>
        </is>
      </c>
      <c r="F542" t="inlineStr">
        <is>
          <t>Chicago Bulls</t>
        </is>
      </c>
      <c r="G542" t="n">
        <v>129</v>
      </c>
      <c r="H542" t="n">
        <v>113</v>
      </c>
      <c r="I542" t="inlineStr">
        <is>
          <t>Indiana Pacers</t>
        </is>
      </c>
      <c r="J542" t="inlineStr">
        <is>
          <t>Chicago Bulls</t>
        </is>
      </c>
      <c r="K542" t="inlineStr">
        <is>
          <t>Yes</t>
        </is>
      </c>
      <c r="L542" t="inlineStr"/>
      <c r="M542" t="inlineStr">
        <is>
          <t>https://fixturedownload.com/download/nba-2024-UTC.csv</t>
        </is>
      </c>
    </row>
    <row r="543">
      <c r="A543" t="n">
        <v>512</v>
      </c>
      <c r="B543" t="n">
        <v>11</v>
      </c>
      <c r="C543" t="inlineStr">
        <is>
          <t>09/01/2025 00:00</t>
        </is>
      </c>
      <c r="D543" t="inlineStr">
        <is>
          <t>Wells Fargo Center</t>
        </is>
      </c>
      <c r="E543" t="inlineStr">
        <is>
          <t>Philadelphia 76ers</t>
        </is>
      </c>
      <c r="F543" t="inlineStr">
        <is>
          <t>Washington Wizards</t>
        </is>
      </c>
      <c r="G543" t="n">
        <v>109</v>
      </c>
      <c r="H543" t="n">
        <v>103</v>
      </c>
      <c r="I543" t="inlineStr">
        <is>
          <t>Philadelphia 76ers</t>
        </is>
      </c>
      <c r="J543" t="inlineStr">
        <is>
          <t>Washington Wizards</t>
        </is>
      </c>
      <c r="K543" t="inlineStr">
        <is>
          <t>Yes</t>
        </is>
      </c>
      <c r="L543" t="inlineStr"/>
      <c r="M543" t="inlineStr">
        <is>
          <t>https://fixturedownload.com/download/nba-2024-UTC.csv</t>
        </is>
      </c>
    </row>
    <row r="544">
      <c r="A544" t="n">
        <v>511</v>
      </c>
      <c r="B544" t="n">
        <v>11</v>
      </c>
      <c r="C544" t="inlineStr">
        <is>
          <t>09/01/2025 00:30</t>
        </is>
      </c>
      <c r="D544" t="inlineStr">
        <is>
          <t>Madison Square Garden</t>
        </is>
      </c>
      <c r="E544" t="inlineStr">
        <is>
          <t>New York Knicks</t>
        </is>
      </c>
      <c r="F544" t="inlineStr">
        <is>
          <t>Toronto Raptors</t>
        </is>
      </c>
      <c r="G544" t="n">
        <v>112</v>
      </c>
      <c r="H544" t="n">
        <v>98</v>
      </c>
      <c r="I544" t="inlineStr">
        <is>
          <t>New York Knicks</t>
        </is>
      </c>
      <c r="J544" t="inlineStr">
        <is>
          <t>Toronto Raptors</t>
        </is>
      </c>
      <c r="K544" t="inlineStr">
        <is>
          <t>Yes</t>
        </is>
      </c>
      <c r="L544" t="inlineStr"/>
      <c r="M544" t="inlineStr">
        <is>
          <t>https://fixturedownload.com/download/nba-2024-UTC.csv</t>
        </is>
      </c>
    </row>
    <row r="545">
      <c r="A545" t="n">
        <v>513</v>
      </c>
      <c r="B545" t="n">
        <v>11</v>
      </c>
      <c r="C545" t="inlineStr">
        <is>
          <t>09/01/2025 00:30</t>
        </is>
      </c>
      <c r="D545" t="inlineStr">
        <is>
          <t>Barclays Center</t>
        </is>
      </c>
      <c r="E545" t="inlineStr">
        <is>
          <t>Brooklyn Nets</t>
        </is>
      </c>
      <c r="F545" t="inlineStr">
        <is>
          <t>Detroit Pistons</t>
        </is>
      </c>
      <c r="G545" t="n">
        <v>98</v>
      </c>
      <c r="H545" t="n">
        <v>113</v>
      </c>
      <c r="I545" t="inlineStr">
        <is>
          <t>Detroit Pistons</t>
        </is>
      </c>
      <c r="J545" t="inlineStr">
        <is>
          <t>Brooklyn Nets</t>
        </is>
      </c>
      <c r="K545" t="inlineStr">
        <is>
          <t>Yes</t>
        </is>
      </c>
      <c r="L545" t="inlineStr"/>
      <c r="M545" t="inlineStr">
        <is>
          <t>https://fixturedownload.com/download/nba-2024-UTC.csv</t>
        </is>
      </c>
    </row>
    <row r="546">
      <c r="A546" t="n">
        <v>514</v>
      </c>
      <c r="B546" t="n">
        <v>11</v>
      </c>
      <c r="C546" t="inlineStr">
        <is>
          <t>09/01/2025 01:00</t>
        </is>
      </c>
      <c r="D546" t="inlineStr">
        <is>
          <t>Smoothie King Center</t>
        </is>
      </c>
      <c r="E546" t="inlineStr">
        <is>
          <t>New Orleans Pelicans</t>
        </is>
      </c>
      <c r="F546" t="inlineStr">
        <is>
          <t>Portland Trail Blazers</t>
        </is>
      </c>
      <c r="G546" t="n">
        <v>100</v>
      </c>
      <c r="H546" t="n">
        <v>119</v>
      </c>
      <c r="I546" t="inlineStr">
        <is>
          <t>Portland Trail Blazers</t>
        </is>
      </c>
      <c r="J546" t="inlineStr">
        <is>
          <t>New Orleans Pelicans</t>
        </is>
      </c>
      <c r="K546" t="inlineStr">
        <is>
          <t>Yes</t>
        </is>
      </c>
      <c r="L546" t="inlineStr"/>
      <c r="M546" t="inlineStr">
        <is>
          <t>https://fixturedownload.com/download/nba-2024-UTC.csv</t>
        </is>
      </c>
    </row>
    <row r="547">
      <c r="A547" t="n">
        <v>515</v>
      </c>
      <c r="B547" t="n">
        <v>11</v>
      </c>
      <c r="C547" t="inlineStr">
        <is>
          <t>09/01/2025 02:00</t>
        </is>
      </c>
      <c r="D547" t="inlineStr">
        <is>
          <t>Ball Arena</t>
        </is>
      </c>
      <c r="E547" t="inlineStr">
        <is>
          <t>Denver Nuggets</t>
        </is>
      </c>
      <c r="F547" t="inlineStr">
        <is>
          <t>LA Clippers</t>
        </is>
      </c>
      <c r="G547" t="n">
        <v>126</v>
      </c>
      <c r="H547" t="n">
        <v>103</v>
      </c>
      <c r="I547" t="inlineStr">
        <is>
          <t>Denver Nuggets</t>
        </is>
      </c>
      <c r="J547" t="inlineStr">
        <is>
          <t>LA Clippers</t>
        </is>
      </c>
      <c r="K547" t="inlineStr">
        <is>
          <t>Yes</t>
        </is>
      </c>
      <c r="L547" t="inlineStr"/>
      <c r="M547" t="inlineStr">
        <is>
          <t>https://fixturedownload.com/download/nba-2024-UTC.csv</t>
        </is>
      </c>
    </row>
    <row r="548">
      <c r="A548" t="n">
        <v>516</v>
      </c>
      <c r="B548" t="n">
        <v>11</v>
      </c>
      <c r="C548" t="inlineStr">
        <is>
          <t>09/01/2025 02:30</t>
        </is>
      </c>
      <c r="D548" t="inlineStr">
        <is>
          <t>Fiserv Forum</t>
        </is>
      </c>
      <c r="E548" t="inlineStr">
        <is>
          <t>Milwaukee Bucks</t>
        </is>
      </c>
      <c r="F548" t="inlineStr">
        <is>
          <t>San Antonio Spurs</t>
        </is>
      </c>
      <c r="G548" t="n">
        <v>121</v>
      </c>
      <c r="H548" t="n">
        <v>105</v>
      </c>
      <c r="I548" t="inlineStr">
        <is>
          <t>Milwaukee Bucks</t>
        </is>
      </c>
      <c r="J548" t="inlineStr">
        <is>
          <t>San Antonio Spurs</t>
        </is>
      </c>
      <c r="K548" t="inlineStr">
        <is>
          <t>Yes</t>
        </is>
      </c>
      <c r="L548" t="inlineStr"/>
      <c r="M548" t="inlineStr">
        <is>
          <t>https://fixturedownload.com/download/nba-2024-UTC.csv</t>
        </is>
      </c>
    </row>
    <row r="549">
      <c r="A549" t="n">
        <v>517</v>
      </c>
      <c r="B549" t="n">
        <v>11</v>
      </c>
      <c r="C549" t="inlineStr">
        <is>
          <t>10/01/2025 00:00</t>
        </is>
      </c>
      <c r="D549" t="inlineStr">
        <is>
          <t>Rocket Arena</t>
        </is>
      </c>
      <c r="E549" t="inlineStr">
        <is>
          <t>Cleveland Cavaliers</t>
        </is>
      </c>
      <c r="F549" t="inlineStr">
        <is>
          <t>Toronto Raptors</t>
        </is>
      </c>
      <c r="G549" t="n">
        <v>132</v>
      </c>
      <c r="H549" t="n">
        <v>126</v>
      </c>
      <c r="I549" t="inlineStr">
        <is>
          <t>Cleveland Cavaliers</t>
        </is>
      </c>
      <c r="J549" t="inlineStr">
        <is>
          <t>Toronto Raptors</t>
        </is>
      </c>
      <c r="K549" t="inlineStr">
        <is>
          <t>Yes</t>
        </is>
      </c>
      <c r="L549" t="inlineStr"/>
      <c r="M549" t="inlineStr">
        <is>
          <t>https://fixturedownload.com/download/nba-2024-UTC.csv</t>
        </is>
      </c>
    </row>
    <row r="550">
      <c r="A550" t="n">
        <v>518</v>
      </c>
      <c r="B550" t="n">
        <v>11</v>
      </c>
      <c r="C550" t="inlineStr">
        <is>
          <t>10/01/2025 00:00</t>
        </is>
      </c>
      <c r="D550" t="inlineStr">
        <is>
          <t>Little Caesars Arena</t>
        </is>
      </c>
      <c r="E550" t="inlineStr">
        <is>
          <t>Detroit Pistons</t>
        </is>
      </c>
      <c r="F550" t="inlineStr">
        <is>
          <t>Golden State Warriors</t>
        </is>
      </c>
      <c r="G550" t="n">
        <v>104</v>
      </c>
      <c r="H550" t="n">
        <v>107</v>
      </c>
      <c r="I550" t="inlineStr">
        <is>
          <t>Golden State Warriors</t>
        </is>
      </c>
      <c r="J550" t="inlineStr">
        <is>
          <t>Detroit Pistons</t>
        </is>
      </c>
      <c r="K550" t="inlineStr">
        <is>
          <t>Yes</t>
        </is>
      </c>
      <c r="L550" t="inlineStr"/>
      <c r="M550" t="inlineStr">
        <is>
          <t>https://fixturedownload.com/download/nba-2024-UTC.csv</t>
        </is>
      </c>
    </row>
    <row r="551">
      <c r="A551" t="n">
        <v>519</v>
      </c>
      <c r="B551" t="n">
        <v>11</v>
      </c>
      <c r="C551" t="inlineStr">
        <is>
          <t>10/01/2025 00:00</t>
        </is>
      </c>
      <c r="D551" t="inlineStr">
        <is>
          <t>Kia Center</t>
        </is>
      </c>
      <c r="E551" t="inlineStr">
        <is>
          <t>Orlando Magic</t>
        </is>
      </c>
      <c r="F551" t="inlineStr">
        <is>
          <t>Minnesota Timberwolves</t>
        </is>
      </c>
      <c r="G551" t="n">
        <v>89</v>
      </c>
      <c r="H551" t="n">
        <v>104</v>
      </c>
      <c r="I551" t="inlineStr">
        <is>
          <t>Minnesota Timberwolves</t>
        </is>
      </c>
      <c r="J551" t="inlineStr">
        <is>
          <t>Orlando Magic</t>
        </is>
      </c>
      <c r="K551" t="inlineStr">
        <is>
          <t>Yes</t>
        </is>
      </c>
      <c r="L551" t="inlineStr"/>
      <c r="M551" t="inlineStr">
        <is>
          <t>https://fixturedownload.com/download/nba-2024-UTC.csv</t>
        </is>
      </c>
    </row>
    <row r="552">
      <c r="A552" t="n">
        <v>521</v>
      </c>
      <c r="B552" t="n">
        <v>11</v>
      </c>
      <c r="C552" t="inlineStr">
        <is>
          <t>10/01/2025 00:30</t>
        </is>
      </c>
      <c r="D552" t="inlineStr">
        <is>
          <t>American Airlines Center</t>
        </is>
      </c>
      <c r="E552" t="inlineStr">
        <is>
          <t>Dallas Mavericks</t>
        </is>
      </c>
      <c r="F552" t="inlineStr">
        <is>
          <t>Portland Trail Blazers</t>
        </is>
      </c>
      <c r="G552" t="n">
        <v>117</v>
      </c>
      <c r="H552" t="n">
        <v>111</v>
      </c>
      <c r="I552" t="inlineStr">
        <is>
          <t>Dallas Mavericks</t>
        </is>
      </c>
      <c r="J552" t="inlineStr">
        <is>
          <t>Portland Trail Blazers</t>
        </is>
      </c>
      <c r="K552" t="inlineStr">
        <is>
          <t>Yes</t>
        </is>
      </c>
      <c r="L552" t="inlineStr"/>
      <c r="M552" t="inlineStr">
        <is>
          <t>https://fixturedownload.com/download/nba-2024-UTC.csv</t>
        </is>
      </c>
    </row>
    <row r="553">
      <c r="A553" t="n">
        <v>520</v>
      </c>
      <c r="B553" t="n">
        <v>11</v>
      </c>
      <c r="C553" t="inlineStr">
        <is>
          <t>10/01/2025 01:00</t>
        </is>
      </c>
      <c r="D553" t="inlineStr">
        <is>
          <t>FedExForum</t>
        </is>
      </c>
      <c r="E553" t="inlineStr">
        <is>
          <t>Memphis Grizzlies</t>
        </is>
      </c>
      <c r="F553" t="inlineStr">
        <is>
          <t>Houston Rockets</t>
        </is>
      </c>
      <c r="G553" t="n">
        <v>115</v>
      </c>
      <c r="H553" t="n">
        <v>119</v>
      </c>
      <c r="I553" t="inlineStr">
        <is>
          <t>Houston Rockets</t>
        </is>
      </c>
      <c r="J553" t="inlineStr">
        <is>
          <t>Memphis Grizzlies</t>
        </is>
      </c>
      <c r="K553" t="inlineStr">
        <is>
          <t>Yes</t>
        </is>
      </c>
      <c r="L553" t="inlineStr"/>
      <c r="M553" t="inlineStr">
        <is>
          <t>https://fixturedownload.com/download/nba-2024-UTC.csv</t>
        </is>
      </c>
    </row>
    <row r="554">
      <c r="A554" t="n">
        <v>522</v>
      </c>
      <c r="B554" t="n">
        <v>11</v>
      </c>
      <c r="C554" t="inlineStr">
        <is>
          <t>10/01/2025 02:00</t>
        </is>
      </c>
      <c r="D554" t="inlineStr">
        <is>
          <t>PHX Arena</t>
        </is>
      </c>
      <c r="E554" t="inlineStr">
        <is>
          <t>Phoenix Suns</t>
        </is>
      </c>
      <c r="F554" t="inlineStr">
        <is>
          <t>Atlanta Hawks</t>
        </is>
      </c>
      <c r="G554" t="n">
        <v>123</v>
      </c>
      <c r="H554" t="n">
        <v>115</v>
      </c>
      <c r="I554" t="inlineStr">
        <is>
          <t>Phoenix Suns</t>
        </is>
      </c>
      <c r="J554" t="inlineStr">
        <is>
          <t>Atlanta Hawks</t>
        </is>
      </c>
      <c r="K554" t="inlineStr">
        <is>
          <t>Yes</t>
        </is>
      </c>
      <c r="L554" t="inlineStr"/>
      <c r="M554" t="inlineStr">
        <is>
          <t>https://fixturedownload.com/download/nba-2024-UTC.csv</t>
        </is>
      </c>
    </row>
    <row r="555">
      <c r="A555" t="n">
        <v>523</v>
      </c>
      <c r="B555" t="n">
        <v>11</v>
      </c>
      <c r="C555" t="inlineStr">
        <is>
          <t>10/01/2025 02:00</t>
        </is>
      </c>
      <c r="D555" t="inlineStr">
        <is>
          <t>Delta Center</t>
        </is>
      </c>
      <c r="E555" t="inlineStr">
        <is>
          <t>Utah Jazz</t>
        </is>
      </c>
      <c r="F555" t="inlineStr">
        <is>
          <t>Miami Heat</t>
        </is>
      </c>
      <c r="G555" t="n">
        <v>92</v>
      </c>
      <c r="H555" t="n">
        <v>97</v>
      </c>
      <c r="I555" t="inlineStr">
        <is>
          <t>Miami Heat</t>
        </is>
      </c>
      <c r="J555" t="inlineStr">
        <is>
          <t>Utah Jazz</t>
        </is>
      </c>
      <c r="K555" t="inlineStr">
        <is>
          <t>Yes</t>
        </is>
      </c>
      <c r="L555" t="inlineStr"/>
      <c r="M555" t="inlineStr">
        <is>
          <t>https://fixturedownload.com/download/nba-2024-UTC.csv</t>
        </is>
      </c>
    </row>
    <row r="556">
      <c r="A556" t="n">
        <v>525</v>
      </c>
      <c r="B556" t="n">
        <v>11</v>
      </c>
      <c r="C556" t="inlineStr">
        <is>
          <t>11/01/2025 00:00</t>
        </is>
      </c>
      <c r="D556" t="inlineStr">
        <is>
          <t>Gainbridge Fieldhouse</t>
        </is>
      </c>
      <c r="E556" t="inlineStr">
        <is>
          <t>Indiana Pacers</t>
        </is>
      </c>
      <c r="F556" t="inlineStr">
        <is>
          <t>Golden State Warriors</t>
        </is>
      </c>
      <c r="G556" t="n">
        <v>108</v>
      </c>
      <c r="H556" t="n">
        <v>96</v>
      </c>
      <c r="I556" t="inlineStr">
        <is>
          <t>Indiana Pacers</t>
        </is>
      </c>
      <c r="J556" t="inlineStr">
        <is>
          <t>Golden State Warriors</t>
        </is>
      </c>
      <c r="K556" t="inlineStr">
        <is>
          <t>Yes</t>
        </is>
      </c>
      <c r="L556" t="inlineStr"/>
      <c r="M556" t="inlineStr">
        <is>
          <t>https://fixturedownload.com/download/nba-2024-UTC.csv</t>
        </is>
      </c>
    </row>
    <row r="557">
      <c r="A557" t="n">
        <v>526</v>
      </c>
      <c r="B557" t="n">
        <v>11</v>
      </c>
      <c r="C557" t="inlineStr">
        <is>
          <t>11/01/2025 00:00</t>
        </is>
      </c>
      <c r="D557" t="inlineStr">
        <is>
          <t>Kia Center</t>
        </is>
      </c>
      <c r="E557" t="inlineStr">
        <is>
          <t>Orlando Magic</t>
        </is>
      </c>
      <c r="F557" t="inlineStr">
        <is>
          <t>Milwaukee Bucks</t>
        </is>
      </c>
      <c r="G557" t="n">
        <v>106</v>
      </c>
      <c r="H557" t="n">
        <v>109</v>
      </c>
      <c r="I557" t="inlineStr">
        <is>
          <t>Milwaukee Bucks</t>
        </is>
      </c>
      <c r="J557" t="inlineStr">
        <is>
          <t>Orlando Magic</t>
        </is>
      </c>
      <c r="K557" t="inlineStr">
        <is>
          <t>Yes</t>
        </is>
      </c>
      <c r="L557" t="inlineStr"/>
      <c r="M557" t="inlineStr">
        <is>
          <t>https://fixturedownload.com/download/nba-2024-UTC.csv</t>
        </is>
      </c>
    </row>
    <row r="558">
      <c r="A558" t="n">
        <v>527</v>
      </c>
      <c r="B558" t="n">
        <v>11</v>
      </c>
      <c r="C558" t="inlineStr">
        <is>
          <t>11/01/2025 00:00</t>
        </is>
      </c>
      <c r="D558" t="inlineStr">
        <is>
          <t>Wells Fargo Center</t>
        </is>
      </c>
      <c r="E558" t="inlineStr">
        <is>
          <t>Philadelphia 76ers</t>
        </is>
      </c>
      <c r="F558" t="inlineStr">
        <is>
          <t>New Orleans Pelicans</t>
        </is>
      </c>
      <c r="G558" t="n">
        <v>115</v>
      </c>
      <c r="H558" t="n">
        <v>123</v>
      </c>
      <c r="I558" t="inlineStr">
        <is>
          <t>New Orleans Pelicans</t>
        </is>
      </c>
      <c r="J558" t="inlineStr">
        <is>
          <t>Philadelphia 76ers</t>
        </is>
      </c>
      <c r="K558" t="inlineStr">
        <is>
          <t>Yes</t>
        </is>
      </c>
      <c r="L558" t="inlineStr"/>
      <c r="M558" t="inlineStr">
        <is>
          <t>https://fixturedownload.com/download/nba-2024-UTC.csv</t>
        </is>
      </c>
    </row>
    <row r="559">
      <c r="A559" t="n">
        <v>528</v>
      </c>
      <c r="B559" t="n">
        <v>11</v>
      </c>
      <c r="C559" t="inlineStr">
        <is>
          <t>11/01/2025 00:30</t>
        </is>
      </c>
      <c r="D559" t="inlineStr">
        <is>
          <t>TD Garden</t>
        </is>
      </c>
      <c r="E559" t="inlineStr">
        <is>
          <t>Boston Celtics</t>
        </is>
      </c>
      <c r="F559" t="inlineStr">
        <is>
          <t>Sacramento Kings</t>
        </is>
      </c>
      <c r="G559" t="n">
        <v>97</v>
      </c>
      <c r="H559" t="n">
        <v>114</v>
      </c>
      <c r="I559" t="inlineStr">
        <is>
          <t>Sacramento Kings</t>
        </is>
      </c>
      <c r="J559" t="inlineStr">
        <is>
          <t>Boston Celtics</t>
        </is>
      </c>
      <c r="K559" t="inlineStr">
        <is>
          <t>Yes</t>
        </is>
      </c>
      <c r="L559" t="inlineStr"/>
      <c r="M559" t="inlineStr">
        <is>
          <t>https://fixturedownload.com/download/nba-2024-UTC.csv</t>
        </is>
      </c>
    </row>
    <row r="560">
      <c r="A560" t="n">
        <v>529</v>
      </c>
      <c r="B560" t="n">
        <v>11</v>
      </c>
      <c r="C560" t="inlineStr">
        <is>
          <t>11/01/2025 00:30</t>
        </is>
      </c>
      <c r="D560" t="inlineStr">
        <is>
          <t>Madison Square Garden</t>
        </is>
      </c>
      <c r="E560" t="inlineStr">
        <is>
          <t>New York Knicks</t>
        </is>
      </c>
      <c r="F560" t="inlineStr">
        <is>
          <t>Oklahoma City Thunder</t>
        </is>
      </c>
      <c r="G560" t="n">
        <v>101</v>
      </c>
      <c r="H560" t="n">
        <v>126</v>
      </c>
      <c r="I560" t="inlineStr">
        <is>
          <t>Oklahoma City Thunder</t>
        </is>
      </c>
      <c r="J560" t="inlineStr">
        <is>
          <t>New York Knicks</t>
        </is>
      </c>
      <c r="K560" t="inlineStr">
        <is>
          <t>Yes</t>
        </is>
      </c>
      <c r="L560" t="inlineStr"/>
      <c r="M560" t="inlineStr">
        <is>
          <t>https://fixturedownload.com/download/nba-2024-UTC.csv</t>
        </is>
      </c>
    </row>
    <row r="561">
      <c r="A561" t="n">
        <v>530</v>
      </c>
      <c r="B561" t="n">
        <v>11</v>
      </c>
      <c r="C561" t="inlineStr">
        <is>
          <t>11/01/2025 01:00</t>
        </is>
      </c>
      <c r="D561" t="inlineStr">
        <is>
          <t>United Center</t>
        </is>
      </c>
      <c r="E561" t="inlineStr">
        <is>
          <t>Chicago Bulls</t>
        </is>
      </c>
      <c r="F561" t="inlineStr">
        <is>
          <t>Washington Wizards</t>
        </is>
      </c>
      <c r="G561" t="n">
        <v>138</v>
      </c>
      <c r="H561" t="n">
        <v>105</v>
      </c>
      <c r="I561" t="inlineStr">
        <is>
          <t>Chicago Bulls</t>
        </is>
      </c>
      <c r="J561" t="inlineStr">
        <is>
          <t>Washington Wizards</t>
        </is>
      </c>
      <c r="K561" t="inlineStr">
        <is>
          <t>Yes</t>
        </is>
      </c>
      <c r="L561" t="inlineStr"/>
      <c r="M561" t="inlineStr">
        <is>
          <t>https://fixturedownload.com/download/nba-2024-UTC.csv</t>
        </is>
      </c>
    </row>
    <row r="562">
      <c r="A562" t="n">
        <v>531</v>
      </c>
      <c r="B562" t="n">
        <v>11</v>
      </c>
      <c r="C562" t="inlineStr">
        <is>
          <t>11/01/2025 02:00</t>
        </is>
      </c>
      <c r="D562" t="inlineStr">
        <is>
          <t>Ball Arena</t>
        </is>
      </c>
      <c r="E562" t="inlineStr">
        <is>
          <t>Denver Nuggets</t>
        </is>
      </c>
      <c r="F562" t="inlineStr">
        <is>
          <t>Brooklyn Nets</t>
        </is>
      </c>
      <c r="G562" t="n">
        <v>124</v>
      </c>
      <c r="H562" t="n">
        <v>105</v>
      </c>
      <c r="I562" t="inlineStr">
        <is>
          <t>Denver Nuggets</t>
        </is>
      </c>
      <c r="J562" t="inlineStr">
        <is>
          <t>Brooklyn Nets</t>
        </is>
      </c>
      <c r="K562" t="inlineStr">
        <is>
          <t>Yes</t>
        </is>
      </c>
      <c r="L562" t="inlineStr"/>
      <c r="M562" t="inlineStr">
        <is>
          <t>https://fixturedownload.com/download/nba-2024-UTC.csv</t>
        </is>
      </c>
    </row>
    <row r="563">
      <c r="A563" t="n">
        <v>533</v>
      </c>
      <c r="B563" t="n">
        <v>11</v>
      </c>
      <c r="C563" t="inlineStr">
        <is>
          <t>11/01/2025 22:00</t>
        </is>
      </c>
      <c r="D563" t="inlineStr">
        <is>
          <t>PHX Arena</t>
        </is>
      </c>
      <c r="E563" t="inlineStr">
        <is>
          <t>Phoenix Suns</t>
        </is>
      </c>
      <c r="F563" t="inlineStr">
        <is>
          <t>Utah Jazz</t>
        </is>
      </c>
      <c r="G563" t="n">
        <v>114</v>
      </c>
      <c r="H563" t="n">
        <v>106</v>
      </c>
      <c r="I563" t="inlineStr">
        <is>
          <t>Phoenix Suns</t>
        </is>
      </c>
      <c r="J563" t="inlineStr">
        <is>
          <t>Utah Jazz</t>
        </is>
      </c>
      <c r="K563" t="inlineStr">
        <is>
          <t>Yes</t>
        </is>
      </c>
      <c r="L563" t="inlineStr"/>
      <c r="M563" t="inlineStr">
        <is>
          <t>https://fixturedownload.com/download/nba-2024-UTC.csv</t>
        </is>
      </c>
    </row>
    <row r="564">
      <c r="A564" t="n">
        <v>534</v>
      </c>
      <c r="B564" t="n">
        <v>11</v>
      </c>
      <c r="C564" t="inlineStr">
        <is>
          <t>12/01/2025 00:00</t>
        </is>
      </c>
      <c r="D564" t="inlineStr">
        <is>
          <t>Little Caesars Arena</t>
        </is>
      </c>
      <c r="E564" t="inlineStr">
        <is>
          <t>Detroit Pistons</t>
        </is>
      </c>
      <c r="F564" t="inlineStr">
        <is>
          <t>Toronto Raptors</t>
        </is>
      </c>
      <c r="G564" t="n">
        <v>123</v>
      </c>
      <c r="H564" t="n">
        <v>114</v>
      </c>
      <c r="I564" t="inlineStr">
        <is>
          <t>Detroit Pistons</t>
        </is>
      </c>
      <c r="J564" t="inlineStr">
        <is>
          <t>Toronto Raptors</t>
        </is>
      </c>
      <c r="K564" t="inlineStr">
        <is>
          <t>Yes</t>
        </is>
      </c>
      <c r="L564" t="inlineStr"/>
      <c r="M564" t="inlineStr">
        <is>
          <t>https://fixturedownload.com/download/nba-2024-UTC.csv</t>
        </is>
      </c>
    </row>
    <row r="565">
      <c r="A565" t="n">
        <v>535</v>
      </c>
      <c r="B565" t="n">
        <v>11</v>
      </c>
      <c r="C565" t="inlineStr">
        <is>
          <t>12/01/2025 01:00</t>
        </is>
      </c>
      <c r="D565" t="inlineStr">
        <is>
          <t>Target Center</t>
        </is>
      </c>
      <c r="E565" t="inlineStr">
        <is>
          <t>Minnesota Timberwolves</t>
        </is>
      </c>
      <c r="F565" t="inlineStr">
        <is>
          <t>Memphis Grizzlies</t>
        </is>
      </c>
      <c r="G565" t="n">
        <v>125</v>
      </c>
      <c r="H565" t="n">
        <v>127</v>
      </c>
      <c r="I565" t="inlineStr">
        <is>
          <t>Memphis Grizzlies</t>
        </is>
      </c>
      <c r="J565" t="inlineStr">
        <is>
          <t>Minnesota Timberwolves</t>
        </is>
      </c>
      <c r="K565" t="inlineStr">
        <is>
          <t>Yes</t>
        </is>
      </c>
      <c r="L565" t="inlineStr"/>
      <c r="M565" t="inlineStr">
        <is>
          <t>https://fixturedownload.com/download/nba-2024-UTC.csv</t>
        </is>
      </c>
    </row>
    <row r="566">
      <c r="A566" t="n">
        <v>536</v>
      </c>
      <c r="B566" t="n">
        <v>11</v>
      </c>
      <c r="C566" t="inlineStr">
        <is>
          <t>12/01/2025 03:00</t>
        </is>
      </c>
      <c r="D566" t="inlineStr">
        <is>
          <t>Moda Center</t>
        </is>
      </c>
      <c r="E566" t="inlineStr">
        <is>
          <t>Portland Trail Blazers</t>
        </is>
      </c>
      <c r="F566" t="inlineStr">
        <is>
          <t>Miami Heat</t>
        </is>
      </c>
      <c r="G566" t="n">
        <v>98</v>
      </c>
      <c r="H566" t="n">
        <v>119</v>
      </c>
      <c r="I566" t="inlineStr">
        <is>
          <t>Miami Heat</t>
        </is>
      </c>
      <c r="J566" t="inlineStr">
        <is>
          <t>Portland Trail Blazers</t>
        </is>
      </c>
      <c r="K566" t="inlineStr">
        <is>
          <t>Yes</t>
        </is>
      </c>
      <c r="L566" t="inlineStr"/>
      <c r="M566" t="inlineStr">
        <is>
          <t>https://fixturedownload.com/download/nba-2024-UTC.csv</t>
        </is>
      </c>
    </row>
    <row r="567">
      <c r="A567" t="n">
        <v>539</v>
      </c>
      <c r="B567" t="n">
        <v>11</v>
      </c>
      <c r="C567" t="inlineStr">
        <is>
          <t>12/01/2025 20:00</t>
        </is>
      </c>
      <c r="D567" t="inlineStr">
        <is>
          <t>Madison Square Garden</t>
        </is>
      </c>
      <c r="E567" t="inlineStr">
        <is>
          <t>New York Knicks</t>
        </is>
      </c>
      <c r="F567" t="inlineStr">
        <is>
          <t>Milwaukee Bucks</t>
        </is>
      </c>
      <c r="G567" t="n">
        <v>140</v>
      </c>
      <c r="H567" t="n">
        <v>106</v>
      </c>
      <c r="I567" t="inlineStr">
        <is>
          <t>New York Knicks</t>
        </is>
      </c>
      <c r="J567" t="inlineStr">
        <is>
          <t>Milwaukee Bucks</t>
        </is>
      </c>
      <c r="K567" t="inlineStr">
        <is>
          <t>Yes</t>
        </is>
      </c>
      <c r="L567" t="inlineStr"/>
      <c r="M567" t="inlineStr">
        <is>
          <t>https://fixturedownload.com/download/nba-2024-UTC.csv</t>
        </is>
      </c>
    </row>
    <row r="568">
      <c r="A568" t="n">
        <v>540</v>
      </c>
      <c r="B568" t="n">
        <v>11</v>
      </c>
      <c r="C568" t="inlineStr">
        <is>
          <t>12/01/2025 20:00</t>
        </is>
      </c>
      <c r="D568" t="inlineStr">
        <is>
          <t>American Airlines Center</t>
        </is>
      </c>
      <c r="E568" t="inlineStr">
        <is>
          <t>Dallas Mavericks</t>
        </is>
      </c>
      <c r="F568" t="inlineStr">
        <is>
          <t>Denver Nuggets</t>
        </is>
      </c>
      <c r="G568" t="n">
        <v>101</v>
      </c>
      <c r="H568" t="n">
        <v>112</v>
      </c>
      <c r="I568" t="inlineStr">
        <is>
          <t>Denver Nuggets</t>
        </is>
      </c>
      <c r="J568" t="inlineStr">
        <is>
          <t>Dallas Mavericks</t>
        </is>
      </c>
      <c r="K568" t="inlineStr">
        <is>
          <t>Yes</t>
        </is>
      </c>
      <c r="L568" t="inlineStr"/>
      <c r="M568" t="inlineStr">
        <is>
          <t>https://fixturedownload.com/download/nba-2024-UTC.csv</t>
        </is>
      </c>
    </row>
    <row r="569">
      <c r="A569" t="n">
        <v>541</v>
      </c>
      <c r="B569" t="n">
        <v>11</v>
      </c>
      <c r="C569" t="inlineStr">
        <is>
          <t>12/01/2025 20:30</t>
        </is>
      </c>
      <c r="D569" t="inlineStr">
        <is>
          <t>United Center</t>
        </is>
      </c>
      <c r="E569" t="inlineStr">
        <is>
          <t>Chicago Bulls</t>
        </is>
      </c>
      <c r="F569" t="inlineStr">
        <is>
          <t>Sacramento Kings</t>
        </is>
      </c>
      <c r="G569" t="n">
        <v>119</v>
      </c>
      <c r="H569" t="n">
        <v>124</v>
      </c>
      <c r="I569" t="inlineStr">
        <is>
          <t>Sacramento Kings</t>
        </is>
      </c>
      <c r="J569" t="inlineStr">
        <is>
          <t>Chicago Bulls</t>
        </is>
      </c>
      <c r="K569" t="inlineStr">
        <is>
          <t>Yes</t>
        </is>
      </c>
      <c r="L569" t="inlineStr"/>
      <c r="M569" t="inlineStr">
        <is>
          <t>https://fixturedownload.com/download/nba-2024-UTC.csv</t>
        </is>
      </c>
    </row>
    <row r="570">
      <c r="A570" t="n">
        <v>542</v>
      </c>
      <c r="B570" t="n">
        <v>11</v>
      </c>
      <c r="C570" t="inlineStr">
        <is>
          <t>12/01/2025 23:00</t>
        </is>
      </c>
      <c r="D570" t="inlineStr">
        <is>
          <t>TD Garden</t>
        </is>
      </c>
      <c r="E570" t="inlineStr">
        <is>
          <t>Boston Celtics</t>
        </is>
      </c>
      <c r="F570" t="inlineStr">
        <is>
          <t>New Orleans Pelicans</t>
        </is>
      </c>
      <c r="G570" t="n">
        <v>120</v>
      </c>
      <c r="H570" t="n">
        <v>119</v>
      </c>
      <c r="I570" t="inlineStr">
        <is>
          <t>Boston Celtics</t>
        </is>
      </c>
      <c r="J570" t="inlineStr">
        <is>
          <t>New Orleans Pelicans</t>
        </is>
      </c>
      <c r="K570" t="inlineStr">
        <is>
          <t>Yes</t>
        </is>
      </c>
      <c r="L570" t="inlineStr"/>
      <c r="M570" t="inlineStr">
        <is>
          <t>https://fixturedownload.com/download/nba-2024-UTC.csv</t>
        </is>
      </c>
    </row>
    <row r="571">
      <c r="A571" t="n">
        <v>543</v>
      </c>
      <c r="B571" t="n">
        <v>11</v>
      </c>
      <c r="C571" t="inlineStr">
        <is>
          <t>12/01/2025 23:00</t>
        </is>
      </c>
      <c r="D571" t="inlineStr">
        <is>
          <t>Rocket Arena</t>
        </is>
      </c>
      <c r="E571" t="inlineStr">
        <is>
          <t>Cleveland Cavaliers</t>
        </is>
      </c>
      <c r="F571" t="inlineStr">
        <is>
          <t>Indiana Pacers</t>
        </is>
      </c>
      <c r="G571" t="n">
        <v>93</v>
      </c>
      <c r="H571" t="n">
        <v>108</v>
      </c>
      <c r="I571" t="inlineStr">
        <is>
          <t>Indiana Pacers</t>
        </is>
      </c>
      <c r="J571" t="inlineStr">
        <is>
          <t>Cleveland Cavaliers</t>
        </is>
      </c>
      <c r="K571" t="inlineStr">
        <is>
          <t>Yes</t>
        </is>
      </c>
      <c r="L571" t="inlineStr"/>
      <c r="M571" t="inlineStr">
        <is>
          <t>https://fixturedownload.com/download/nba-2024-UTC.csv</t>
        </is>
      </c>
    </row>
    <row r="572">
      <c r="A572" t="n">
        <v>544</v>
      </c>
      <c r="B572" t="n">
        <v>11</v>
      </c>
      <c r="C572" t="inlineStr">
        <is>
          <t>12/01/2025 23:00</t>
        </is>
      </c>
      <c r="D572" t="inlineStr">
        <is>
          <t>Kia Center</t>
        </is>
      </c>
      <c r="E572" t="inlineStr">
        <is>
          <t>Orlando Magic</t>
        </is>
      </c>
      <c r="F572" t="inlineStr">
        <is>
          <t>Philadelphia 76ers</t>
        </is>
      </c>
      <c r="G572" t="n">
        <v>104</v>
      </c>
      <c r="H572" t="n">
        <v>99</v>
      </c>
      <c r="I572" t="inlineStr">
        <is>
          <t>Orlando Magic</t>
        </is>
      </c>
      <c r="J572" t="inlineStr">
        <is>
          <t>Philadelphia 76ers</t>
        </is>
      </c>
      <c r="K572" t="inlineStr">
        <is>
          <t>Yes</t>
        </is>
      </c>
      <c r="L572" t="inlineStr"/>
      <c r="M572" t="inlineStr">
        <is>
          <t>https://fixturedownload.com/download/nba-2024-UTC.csv</t>
        </is>
      </c>
    </row>
    <row r="573">
      <c r="A573" t="n">
        <v>545</v>
      </c>
      <c r="B573" t="n">
        <v>11</v>
      </c>
      <c r="C573" t="inlineStr">
        <is>
          <t>12/01/2025 23:00</t>
        </is>
      </c>
      <c r="D573" t="inlineStr">
        <is>
          <t>Capital One Arena</t>
        </is>
      </c>
      <c r="E573" t="inlineStr">
        <is>
          <t>Washington Wizards</t>
        </is>
      </c>
      <c r="F573" t="inlineStr">
        <is>
          <t>Oklahoma City Thunder</t>
        </is>
      </c>
      <c r="G573" t="n">
        <v>95</v>
      </c>
      <c r="H573" t="n">
        <v>136</v>
      </c>
      <c r="I573" t="inlineStr">
        <is>
          <t>Oklahoma City Thunder</t>
        </is>
      </c>
      <c r="J573" t="inlineStr">
        <is>
          <t>Washington Wizards</t>
        </is>
      </c>
      <c r="K573" t="inlineStr">
        <is>
          <t>Yes</t>
        </is>
      </c>
      <c r="L573" t="inlineStr"/>
      <c r="M573" t="inlineStr">
        <is>
          <t>https://fixturedownload.com/download/nba-2024-UTC.csv</t>
        </is>
      </c>
    </row>
    <row r="574">
      <c r="A574" t="n">
        <v>546</v>
      </c>
      <c r="B574" t="n">
        <v>11</v>
      </c>
      <c r="C574" t="inlineStr">
        <is>
          <t>13/01/2025 01:00</t>
        </is>
      </c>
      <c r="D574" t="inlineStr">
        <is>
          <t>Delta Center</t>
        </is>
      </c>
      <c r="E574" t="inlineStr">
        <is>
          <t>Utah Jazz</t>
        </is>
      </c>
      <c r="F574" t="inlineStr">
        <is>
          <t>Brooklyn Nets</t>
        </is>
      </c>
      <c r="G574" t="n">
        <v>112</v>
      </c>
      <c r="H574" t="n">
        <v>111</v>
      </c>
      <c r="I574" t="inlineStr">
        <is>
          <t>Utah Jazz</t>
        </is>
      </c>
      <c r="J574" t="inlineStr">
        <is>
          <t>Brooklyn Nets</t>
        </is>
      </c>
      <c r="K574" t="inlineStr">
        <is>
          <t>Yes</t>
        </is>
      </c>
      <c r="L574" t="inlineStr"/>
      <c r="M574" t="inlineStr">
        <is>
          <t>https://fixturedownload.com/download/nba-2024-UTC.csv</t>
        </is>
      </c>
    </row>
    <row r="575">
      <c r="A575" t="n">
        <v>547</v>
      </c>
      <c r="B575" t="n">
        <v>11</v>
      </c>
      <c r="C575" t="inlineStr">
        <is>
          <t>13/01/2025 02:00</t>
        </is>
      </c>
      <c r="D575" t="inlineStr">
        <is>
          <t>PHX Arena</t>
        </is>
      </c>
      <c r="E575" t="inlineStr">
        <is>
          <t>Phoenix Suns</t>
        </is>
      </c>
      <c r="F575" t="inlineStr">
        <is>
          <t>Charlotte Hornets</t>
        </is>
      </c>
      <c r="G575" t="n">
        <v>120</v>
      </c>
      <c r="H575" t="n">
        <v>113</v>
      </c>
      <c r="I575" t="inlineStr">
        <is>
          <t>Phoenix Suns</t>
        </is>
      </c>
      <c r="J575" t="inlineStr">
        <is>
          <t>Charlotte Hornets</t>
        </is>
      </c>
      <c r="K575" t="inlineStr">
        <is>
          <t>Yes</t>
        </is>
      </c>
      <c r="L575" t="inlineStr"/>
      <c r="M575" t="inlineStr">
        <is>
          <t>https://fixturedownload.com/download/nba-2024-UTC.csv</t>
        </is>
      </c>
    </row>
    <row r="576">
      <c r="A576" t="n">
        <v>548</v>
      </c>
      <c r="B576" t="n">
        <v>11</v>
      </c>
      <c r="C576" t="inlineStr">
        <is>
          <t>14/01/2025 00:00</t>
        </is>
      </c>
      <c r="D576" t="inlineStr">
        <is>
          <t>Capital One Arena</t>
        </is>
      </c>
      <c r="E576" t="inlineStr">
        <is>
          <t>Washington Wizards</t>
        </is>
      </c>
      <c r="F576" t="inlineStr">
        <is>
          <t>Minnesota Timberwolves</t>
        </is>
      </c>
      <c r="G576" t="n">
        <v>106</v>
      </c>
      <c r="H576" t="n">
        <v>120</v>
      </c>
      <c r="I576" t="inlineStr">
        <is>
          <t>Minnesota Timberwolves</t>
        </is>
      </c>
      <c r="J576" t="inlineStr">
        <is>
          <t>Washington Wizards</t>
        </is>
      </c>
      <c r="K576" t="inlineStr">
        <is>
          <t>Yes</t>
        </is>
      </c>
      <c r="L576" t="inlineStr"/>
      <c r="M576" t="inlineStr">
        <is>
          <t>https://fixturedownload.com/download/nba-2024-UTC.csv</t>
        </is>
      </c>
    </row>
    <row r="577">
      <c r="A577" t="n">
        <v>549</v>
      </c>
      <c r="B577" t="n">
        <v>11</v>
      </c>
      <c r="C577" t="inlineStr">
        <is>
          <t>14/01/2025 00:30</t>
        </is>
      </c>
      <c r="D577" t="inlineStr">
        <is>
          <t>Madison Square Garden</t>
        </is>
      </c>
      <c r="E577" t="inlineStr">
        <is>
          <t>New York Knicks</t>
        </is>
      </c>
      <c r="F577" t="inlineStr">
        <is>
          <t>Detroit Pistons</t>
        </is>
      </c>
      <c r="G577" t="n">
        <v>119</v>
      </c>
      <c r="H577" t="n">
        <v>124</v>
      </c>
      <c r="I577" t="inlineStr">
        <is>
          <t>Detroit Pistons</t>
        </is>
      </c>
      <c r="J577" t="inlineStr">
        <is>
          <t>New York Knicks</t>
        </is>
      </c>
      <c r="K577" t="inlineStr">
        <is>
          <t>Yes</t>
        </is>
      </c>
      <c r="L577" t="inlineStr"/>
      <c r="M577" t="inlineStr">
        <is>
          <t>https://fixturedownload.com/download/nba-2024-UTC.csv</t>
        </is>
      </c>
    </row>
    <row r="578">
      <c r="A578" t="n">
        <v>550</v>
      </c>
      <c r="B578" t="n">
        <v>11</v>
      </c>
      <c r="C578" t="inlineStr">
        <is>
          <t>14/01/2025 00:30</t>
        </is>
      </c>
      <c r="D578" t="inlineStr">
        <is>
          <t>Scotiabank Arena</t>
        </is>
      </c>
      <c r="E578" t="inlineStr">
        <is>
          <t>Toronto Raptors</t>
        </is>
      </c>
      <c r="F578" t="inlineStr">
        <is>
          <t>Golden State Warriors</t>
        </is>
      </c>
      <c r="G578" t="n">
        <v>104</v>
      </c>
      <c r="H578" t="n">
        <v>101</v>
      </c>
      <c r="I578" t="inlineStr">
        <is>
          <t>Toronto Raptors</t>
        </is>
      </c>
      <c r="J578" t="inlineStr">
        <is>
          <t>Golden State Warriors</t>
        </is>
      </c>
      <c r="K578" t="inlineStr">
        <is>
          <t>Yes</t>
        </is>
      </c>
      <c r="L578" t="inlineStr"/>
      <c r="M578" t="inlineStr">
        <is>
          <t>https://fixturedownload.com/download/nba-2024-UTC.csv</t>
        </is>
      </c>
    </row>
    <row r="579">
      <c r="A579" t="n">
        <v>551</v>
      </c>
      <c r="B579" t="n">
        <v>11</v>
      </c>
      <c r="C579" t="inlineStr">
        <is>
          <t>14/01/2025 01:00</t>
        </is>
      </c>
      <c r="D579" t="inlineStr">
        <is>
          <t>Toyota Center</t>
        </is>
      </c>
      <c r="E579" t="inlineStr">
        <is>
          <t>Houston Rockets</t>
        </is>
      </c>
      <c r="F579" t="inlineStr">
        <is>
          <t>Memphis Grizzlies</t>
        </is>
      </c>
      <c r="G579" t="n">
        <v>120</v>
      </c>
      <c r="H579" t="n">
        <v>118</v>
      </c>
      <c r="I579" t="inlineStr">
        <is>
          <t>Houston Rockets</t>
        </is>
      </c>
      <c r="J579" t="inlineStr">
        <is>
          <t>Memphis Grizzlies</t>
        </is>
      </c>
      <c r="K579" t="inlineStr">
        <is>
          <t>Yes</t>
        </is>
      </c>
      <c r="L579" t="inlineStr"/>
      <c r="M579" t="inlineStr">
        <is>
          <t>https://fixturedownload.com/download/nba-2024-UTC.csv</t>
        </is>
      </c>
    </row>
    <row r="580">
      <c r="A580" t="n">
        <v>552</v>
      </c>
      <c r="B580" t="n">
        <v>11</v>
      </c>
      <c r="C580" t="inlineStr">
        <is>
          <t>14/01/2025 03:30</t>
        </is>
      </c>
      <c r="D580" t="inlineStr">
        <is>
          <t>Crypto.com Arena</t>
        </is>
      </c>
      <c r="E580" t="inlineStr">
        <is>
          <t>Los Angeles Lakers</t>
        </is>
      </c>
      <c r="F580" t="inlineStr">
        <is>
          <t>San Antonio Spurs</t>
        </is>
      </c>
      <c r="G580" t="n">
        <v>102</v>
      </c>
      <c r="H580" t="n">
        <v>126</v>
      </c>
      <c r="I580" t="inlineStr">
        <is>
          <t>San Antonio Spurs</t>
        </is>
      </c>
      <c r="J580" t="inlineStr">
        <is>
          <t>Los Angeles Lakers</t>
        </is>
      </c>
      <c r="K580" t="inlineStr">
        <is>
          <t>Yes</t>
        </is>
      </c>
      <c r="L580" t="inlineStr"/>
      <c r="M580" t="inlineStr">
        <is>
          <t>https://fixturedownload.com/download/nba-2024-UTC.csv</t>
        </is>
      </c>
    </row>
    <row r="581">
      <c r="A581" t="n">
        <v>553</v>
      </c>
      <c r="B581" t="n">
        <v>11</v>
      </c>
      <c r="C581" t="inlineStr">
        <is>
          <t>14/01/2025 03:30</t>
        </is>
      </c>
      <c r="D581" t="inlineStr">
        <is>
          <t>Intuit Dome</t>
        </is>
      </c>
      <c r="E581" t="inlineStr">
        <is>
          <t>LA Clippers</t>
        </is>
      </c>
      <c r="F581" t="inlineStr">
        <is>
          <t>Miami Heat</t>
        </is>
      </c>
      <c r="G581" t="n">
        <v>109</v>
      </c>
      <c r="H581" t="n">
        <v>98</v>
      </c>
      <c r="I581" t="inlineStr">
        <is>
          <t>LA Clippers</t>
        </is>
      </c>
      <c r="J581" t="inlineStr">
        <is>
          <t>Miami Heat</t>
        </is>
      </c>
      <c r="K581" t="inlineStr">
        <is>
          <t>Yes</t>
        </is>
      </c>
      <c r="L581" t="inlineStr"/>
      <c r="M581" t="inlineStr">
        <is>
          <t>https://fixturedownload.com/download/nba-2024-UTC.csv</t>
        </is>
      </c>
    </row>
    <row r="582">
      <c r="A582" t="n">
        <v>554</v>
      </c>
      <c r="B582" t="n">
        <v>11</v>
      </c>
      <c r="C582" t="inlineStr">
        <is>
          <t>15/01/2025 00:00</t>
        </is>
      </c>
      <c r="D582" t="inlineStr">
        <is>
          <t>Gainbridge Fieldhouse</t>
        </is>
      </c>
      <c r="E582" t="inlineStr">
        <is>
          <t>Indiana Pacers</t>
        </is>
      </c>
      <c r="F582" t="inlineStr">
        <is>
          <t>Cleveland Cavaliers</t>
        </is>
      </c>
      <c r="G582" t="n">
        <v>117</v>
      </c>
      <c r="H582" t="n">
        <v>127</v>
      </c>
      <c r="I582" t="inlineStr">
        <is>
          <t>Cleveland Cavaliers</t>
        </is>
      </c>
      <c r="J582" t="inlineStr">
        <is>
          <t>Indiana Pacers</t>
        </is>
      </c>
      <c r="K582" t="inlineStr">
        <is>
          <t>Yes</t>
        </is>
      </c>
      <c r="L582" t="inlineStr"/>
      <c r="M582" t="inlineStr">
        <is>
          <t>https://fixturedownload.com/download/nba-2024-UTC.csv</t>
        </is>
      </c>
    </row>
    <row r="583">
      <c r="A583" t="n">
        <v>555</v>
      </c>
      <c r="B583" t="n">
        <v>11</v>
      </c>
      <c r="C583" t="inlineStr">
        <is>
          <t>15/01/2025 00:00</t>
        </is>
      </c>
      <c r="D583" t="inlineStr">
        <is>
          <t>Wells Fargo Center</t>
        </is>
      </c>
      <c r="E583" t="inlineStr">
        <is>
          <t>Philadelphia 76ers</t>
        </is>
      </c>
      <c r="F583" t="inlineStr">
        <is>
          <t>Oklahoma City Thunder</t>
        </is>
      </c>
      <c r="G583" t="n">
        <v>102</v>
      </c>
      <c r="H583" t="n">
        <v>118</v>
      </c>
      <c r="I583" t="inlineStr">
        <is>
          <t>Oklahoma City Thunder</t>
        </is>
      </c>
      <c r="J583" t="inlineStr">
        <is>
          <t>Philadelphia 76ers</t>
        </is>
      </c>
      <c r="K583" t="inlineStr">
        <is>
          <t>Yes</t>
        </is>
      </c>
      <c r="L583" t="inlineStr"/>
      <c r="M583" t="inlineStr">
        <is>
          <t>https://fixturedownload.com/download/nba-2024-UTC.csv</t>
        </is>
      </c>
    </row>
    <row r="584">
      <c r="A584" t="n">
        <v>556</v>
      </c>
      <c r="B584" t="n">
        <v>11</v>
      </c>
      <c r="C584" t="inlineStr">
        <is>
          <t>15/01/2025 00:30</t>
        </is>
      </c>
      <c r="D584" t="inlineStr">
        <is>
          <t>State Farm Arena</t>
        </is>
      </c>
      <c r="E584" t="inlineStr">
        <is>
          <t>Atlanta Hawks</t>
        </is>
      </c>
      <c r="F584" t="inlineStr">
        <is>
          <t>Phoenix Suns</t>
        </is>
      </c>
      <c r="G584" t="n">
        <v>122</v>
      </c>
      <c r="H584" t="n">
        <v>117</v>
      </c>
      <c r="I584" t="inlineStr">
        <is>
          <t>Atlanta Hawks</t>
        </is>
      </c>
      <c r="J584" t="inlineStr">
        <is>
          <t>Phoenix Suns</t>
        </is>
      </c>
      <c r="K584" t="inlineStr">
        <is>
          <t>Yes</t>
        </is>
      </c>
      <c r="L584" t="inlineStr"/>
      <c r="M584" t="inlineStr">
        <is>
          <t>https://fixturedownload.com/download/nba-2024-UTC.csv</t>
        </is>
      </c>
    </row>
    <row r="585">
      <c r="A585" t="n">
        <v>557</v>
      </c>
      <c r="B585" t="n">
        <v>11</v>
      </c>
      <c r="C585" t="inlineStr">
        <is>
          <t>15/01/2025 01:00</t>
        </is>
      </c>
      <c r="D585" t="inlineStr">
        <is>
          <t>United Center</t>
        </is>
      </c>
      <c r="E585" t="inlineStr">
        <is>
          <t>Chicago Bulls</t>
        </is>
      </c>
      <c r="F585" t="inlineStr">
        <is>
          <t>New Orleans Pelicans</t>
        </is>
      </c>
      <c r="G585" t="n">
        <v>113</v>
      </c>
      <c r="H585" t="n">
        <v>119</v>
      </c>
      <c r="I585" t="inlineStr">
        <is>
          <t>New Orleans Pelicans</t>
        </is>
      </c>
      <c r="J585" t="inlineStr">
        <is>
          <t>Chicago Bulls</t>
        </is>
      </c>
      <c r="K585" t="inlineStr">
        <is>
          <t>Yes</t>
        </is>
      </c>
      <c r="L585" t="inlineStr"/>
      <c r="M585" t="inlineStr">
        <is>
          <t>https://fixturedownload.com/download/nba-2024-UTC.csv</t>
        </is>
      </c>
    </row>
    <row r="586">
      <c r="A586" t="n">
        <v>558</v>
      </c>
      <c r="B586" t="n">
        <v>11</v>
      </c>
      <c r="C586" t="inlineStr">
        <is>
          <t>15/01/2025 01:00</t>
        </is>
      </c>
      <c r="D586" t="inlineStr">
        <is>
          <t>Fiserv Forum</t>
        </is>
      </c>
      <c r="E586" t="inlineStr">
        <is>
          <t>Milwaukee Bucks</t>
        </is>
      </c>
      <c r="F586" t="inlineStr">
        <is>
          <t>Sacramento Kings</t>
        </is>
      </c>
      <c r="G586" t="n">
        <v>130</v>
      </c>
      <c r="H586" t="n">
        <v>115</v>
      </c>
      <c r="I586" t="inlineStr">
        <is>
          <t>Milwaukee Bucks</t>
        </is>
      </c>
      <c r="J586" t="inlineStr">
        <is>
          <t>Sacramento Kings</t>
        </is>
      </c>
      <c r="K586" t="inlineStr">
        <is>
          <t>Yes</t>
        </is>
      </c>
      <c r="L586" t="inlineStr"/>
      <c r="M586" t="inlineStr">
        <is>
          <t>https://fixturedownload.com/download/nba-2024-UTC.csv</t>
        </is>
      </c>
    </row>
    <row r="587">
      <c r="A587" t="n">
        <v>559</v>
      </c>
      <c r="B587" t="n">
        <v>11</v>
      </c>
      <c r="C587" t="inlineStr">
        <is>
          <t>15/01/2025 02:30</t>
        </is>
      </c>
      <c r="D587" t="inlineStr">
        <is>
          <t>American Airlines Center</t>
        </is>
      </c>
      <c r="E587" t="inlineStr">
        <is>
          <t>Dallas Mavericks</t>
        </is>
      </c>
      <c r="F587" t="inlineStr">
        <is>
          <t>Denver Nuggets</t>
        </is>
      </c>
      <c r="G587" t="n">
        <v>99</v>
      </c>
      <c r="H587" t="n">
        <v>118</v>
      </c>
      <c r="I587" t="inlineStr">
        <is>
          <t>Denver Nuggets</t>
        </is>
      </c>
      <c r="J587" t="inlineStr">
        <is>
          <t>Dallas Mavericks</t>
        </is>
      </c>
      <c r="K587" t="inlineStr">
        <is>
          <t>Yes</t>
        </is>
      </c>
      <c r="L587" t="inlineStr"/>
      <c r="M587" t="inlineStr">
        <is>
          <t>https://fixturedownload.com/download/nba-2024-UTC.csv</t>
        </is>
      </c>
    </row>
    <row r="588">
      <c r="A588" t="n">
        <v>560</v>
      </c>
      <c r="B588" t="n">
        <v>11</v>
      </c>
      <c r="C588" t="inlineStr">
        <is>
          <t>15/01/2025 03:00</t>
        </is>
      </c>
      <c r="D588" t="inlineStr">
        <is>
          <t>Moda Center</t>
        </is>
      </c>
      <c r="E588" t="inlineStr">
        <is>
          <t>Portland Trail Blazers</t>
        </is>
      </c>
      <c r="F588" t="inlineStr">
        <is>
          <t>Brooklyn Nets</t>
        </is>
      </c>
      <c r="G588" t="n">
        <v>114</v>
      </c>
      <c r="H588" t="n">
        <v>132</v>
      </c>
      <c r="I588" t="inlineStr">
        <is>
          <t>Brooklyn Nets</t>
        </is>
      </c>
      <c r="J588" t="inlineStr">
        <is>
          <t>Portland Trail Blazers</t>
        </is>
      </c>
      <c r="K588" t="inlineStr">
        <is>
          <t>Yes</t>
        </is>
      </c>
      <c r="L588" t="inlineStr"/>
      <c r="M588" t="inlineStr">
        <is>
          <t>https://fixturedownload.com/download/nba-2024-UTC.csv</t>
        </is>
      </c>
    </row>
    <row r="589">
      <c r="A589" t="n">
        <v>561</v>
      </c>
      <c r="B589" t="n">
        <v>12</v>
      </c>
      <c r="C589" t="inlineStr">
        <is>
          <t>16/01/2025 00:00</t>
        </is>
      </c>
      <c r="D589" t="inlineStr">
        <is>
          <t>Wells Fargo Center</t>
        </is>
      </c>
      <c r="E589" t="inlineStr">
        <is>
          <t>Philadelphia 76ers</t>
        </is>
      </c>
      <c r="F589" t="inlineStr">
        <is>
          <t>New York Knicks</t>
        </is>
      </c>
      <c r="G589" t="n">
        <v>119</v>
      </c>
      <c r="H589" t="n">
        <v>125</v>
      </c>
      <c r="I589" t="inlineStr">
        <is>
          <t>New York Knicks</t>
        </is>
      </c>
      <c r="J589" t="inlineStr">
        <is>
          <t>Philadelphia 76ers</t>
        </is>
      </c>
      <c r="K589" t="inlineStr">
        <is>
          <t>Yes</t>
        </is>
      </c>
      <c r="L589" t="inlineStr"/>
      <c r="M589" t="inlineStr">
        <is>
          <t>https://fixturedownload.com/download/nba-2024-UTC.csv</t>
        </is>
      </c>
    </row>
    <row r="590">
      <c r="A590" t="n">
        <v>562</v>
      </c>
      <c r="B590" t="n">
        <v>12</v>
      </c>
      <c r="C590" t="inlineStr">
        <is>
          <t>16/01/2025 00:30</t>
        </is>
      </c>
      <c r="D590" t="inlineStr">
        <is>
          <t>Scotiabank Arena</t>
        </is>
      </c>
      <c r="E590" t="inlineStr">
        <is>
          <t>Toronto Raptors</t>
        </is>
      </c>
      <c r="F590" t="inlineStr">
        <is>
          <t>Boston Celtics</t>
        </is>
      </c>
      <c r="G590" t="n">
        <v>110</v>
      </c>
      <c r="H590" t="n">
        <v>97</v>
      </c>
      <c r="I590" t="inlineStr">
        <is>
          <t>Toronto Raptors</t>
        </is>
      </c>
      <c r="J590" t="inlineStr">
        <is>
          <t>Boston Celtics</t>
        </is>
      </c>
      <c r="K590" t="inlineStr">
        <is>
          <t>Yes</t>
        </is>
      </c>
      <c r="L590" t="inlineStr"/>
      <c r="M590" t="inlineStr">
        <is>
          <t>https://fixturedownload.com/download/nba-2024-UTC.csv</t>
        </is>
      </c>
    </row>
    <row r="591">
      <c r="A591" t="n">
        <v>563</v>
      </c>
      <c r="B591" t="n">
        <v>12</v>
      </c>
      <c r="C591" t="inlineStr">
        <is>
          <t>16/01/2025 01:00</t>
        </is>
      </c>
      <c r="D591" t="inlineStr">
        <is>
          <t>United Center</t>
        </is>
      </c>
      <c r="E591" t="inlineStr">
        <is>
          <t>Chicago Bulls</t>
        </is>
      </c>
      <c r="F591" t="inlineStr">
        <is>
          <t>Atlanta Hawks</t>
        </is>
      </c>
      <c r="G591" t="n">
        <v>94</v>
      </c>
      <c r="H591" t="n">
        <v>110</v>
      </c>
      <c r="I591" t="inlineStr">
        <is>
          <t>Atlanta Hawks</t>
        </is>
      </c>
      <c r="J591" t="inlineStr">
        <is>
          <t>Chicago Bulls</t>
        </is>
      </c>
      <c r="K591" t="inlineStr">
        <is>
          <t>Yes</t>
        </is>
      </c>
      <c r="L591" t="inlineStr"/>
      <c r="M591" t="inlineStr">
        <is>
          <t>https://fixturedownload.com/download/nba-2024-UTC.csv</t>
        </is>
      </c>
    </row>
    <row r="592">
      <c r="A592" t="n">
        <v>564</v>
      </c>
      <c r="B592" t="n">
        <v>12</v>
      </c>
      <c r="C592" t="inlineStr">
        <is>
          <t>16/01/2025 01:00</t>
        </is>
      </c>
      <c r="D592" t="inlineStr">
        <is>
          <t>Fiserv Forum</t>
        </is>
      </c>
      <c r="E592" t="inlineStr">
        <is>
          <t>Milwaukee Bucks</t>
        </is>
      </c>
      <c r="F592" t="inlineStr">
        <is>
          <t>Orlando Magic</t>
        </is>
      </c>
      <c r="G592" t="n">
        <v>122</v>
      </c>
      <c r="H592" t="n">
        <v>93</v>
      </c>
      <c r="I592" t="inlineStr">
        <is>
          <t>Milwaukee Bucks</t>
        </is>
      </c>
      <c r="J592" t="inlineStr">
        <is>
          <t>Orlando Magic</t>
        </is>
      </c>
      <c r="K592" t="inlineStr">
        <is>
          <t>Yes</t>
        </is>
      </c>
      <c r="L592" t="inlineStr"/>
      <c r="M592" t="inlineStr">
        <is>
          <t>https://fixturedownload.com/download/nba-2024-UTC.csv</t>
        </is>
      </c>
    </row>
    <row r="593">
      <c r="A593" t="n">
        <v>566</v>
      </c>
      <c r="B593" t="n">
        <v>12</v>
      </c>
      <c r="C593" t="inlineStr">
        <is>
          <t>16/01/2025 01:00</t>
        </is>
      </c>
      <c r="D593" t="inlineStr">
        <is>
          <t>Smoothie King Center</t>
        </is>
      </c>
      <c r="E593" t="inlineStr">
        <is>
          <t>New Orleans Pelicans</t>
        </is>
      </c>
      <c r="F593" t="inlineStr">
        <is>
          <t>Dallas Mavericks</t>
        </is>
      </c>
      <c r="G593" t="n">
        <v>119</v>
      </c>
      <c r="H593" t="n">
        <v>116</v>
      </c>
      <c r="I593" t="inlineStr">
        <is>
          <t>New Orleans Pelicans</t>
        </is>
      </c>
      <c r="J593" t="inlineStr">
        <is>
          <t>Dallas Mavericks</t>
        </is>
      </c>
      <c r="K593" t="inlineStr">
        <is>
          <t>Yes</t>
        </is>
      </c>
      <c r="L593" t="inlineStr"/>
      <c r="M593" t="inlineStr">
        <is>
          <t>https://fixturedownload.com/download/nba-2024-UTC.csv</t>
        </is>
      </c>
    </row>
    <row r="594">
      <c r="A594" t="n">
        <v>567</v>
      </c>
      <c r="B594" t="n">
        <v>12</v>
      </c>
      <c r="C594" t="inlineStr">
        <is>
          <t>16/01/2025 01:00</t>
        </is>
      </c>
      <c r="D594" t="inlineStr">
        <is>
          <t>Frost Bank Center</t>
        </is>
      </c>
      <c r="E594" t="inlineStr">
        <is>
          <t>San Antonio Spurs</t>
        </is>
      </c>
      <c r="F594" t="inlineStr">
        <is>
          <t>Memphis Grizzlies</t>
        </is>
      </c>
      <c r="G594" t="n">
        <v>115</v>
      </c>
      <c r="H594" t="n">
        <v>129</v>
      </c>
      <c r="I594" t="inlineStr">
        <is>
          <t>Memphis Grizzlies</t>
        </is>
      </c>
      <c r="J594" t="inlineStr">
        <is>
          <t>San Antonio Spurs</t>
        </is>
      </c>
      <c r="K594" t="inlineStr">
        <is>
          <t>Yes</t>
        </is>
      </c>
      <c r="L594" t="inlineStr"/>
      <c r="M594" t="inlineStr">
        <is>
          <t>https://fixturedownload.com/download/nba-2024-UTC.csv</t>
        </is>
      </c>
    </row>
    <row r="595">
      <c r="A595" t="n">
        <v>568</v>
      </c>
      <c r="B595" t="n">
        <v>12</v>
      </c>
      <c r="C595" t="inlineStr">
        <is>
          <t>16/01/2025 02:00</t>
        </is>
      </c>
      <c r="D595" t="inlineStr">
        <is>
          <t>Ball Arena</t>
        </is>
      </c>
      <c r="E595" t="inlineStr">
        <is>
          <t>Denver Nuggets</t>
        </is>
      </c>
      <c r="F595" t="inlineStr">
        <is>
          <t>Houston Rockets</t>
        </is>
      </c>
      <c r="G595" t="n">
        <v>108</v>
      </c>
      <c r="H595" t="n">
        <v>128</v>
      </c>
      <c r="I595" t="inlineStr">
        <is>
          <t>Houston Rockets</t>
        </is>
      </c>
      <c r="J595" t="inlineStr">
        <is>
          <t>Denver Nuggets</t>
        </is>
      </c>
      <c r="K595" t="inlineStr">
        <is>
          <t>Yes</t>
        </is>
      </c>
      <c r="L595" t="inlineStr"/>
      <c r="M595" t="inlineStr">
        <is>
          <t>https://fixturedownload.com/download/nba-2024-UTC.csv</t>
        </is>
      </c>
    </row>
    <row r="596">
      <c r="A596" t="n">
        <v>569</v>
      </c>
      <c r="B596" t="n">
        <v>12</v>
      </c>
      <c r="C596" t="inlineStr">
        <is>
          <t>16/01/2025 02:00</t>
        </is>
      </c>
      <c r="D596" t="inlineStr">
        <is>
          <t>Delta Center</t>
        </is>
      </c>
      <c r="E596" t="inlineStr">
        <is>
          <t>Utah Jazz</t>
        </is>
      </c>
      <c r="F596" t="inlineStr">
        <is>
          <t>Charlotte Hornets</t>
        </is>
      </c>
      <c r="G596" t="n">
        <v>112</v>
      </c>
      <c r="H596" t="n">
        <v>117</v>
      </c>
      <c r="I596" t="inlineStr">
        <is>
          <t>Charlotte Hornets</t>
        </is>
      </c>
      <c r="J596" t="inlineStr">
        <is>
          <t>Utah Jazz</t>
        </is>
      </c>
      <c r="K596" t="inlineStr">
        <is>
          <t>Yes</t>
        </is>
      </c>
      <c r="L596" t="inlineStr"/>
      <c r="M596" t="inlineStr">
        <is>
          <t>https://fixturedownload.com/download/nba-2024-UTC.csv</t>
        </is>
      </c>
    </row>
    <row r="597">
      <c r="A597" t="n">
        <v>565</v>
      </c>
      <c r="B597" t="n">
        <v>12</v>
      </c>
      <c r="C597" t="inlineStr">
        <is>
          <t>16/01/2025 02:30</t>
        </is>
      </c>
      <c r="D597" t="inlineStr">
        <is>
          <t>Target Center</t>
        </is>
      </c>
      <c r="E597" t="inlineStr">
        <is>
          <t>Minnesota Timberwolves</t>
        </is>
      </c>
      <c r="F597" t="inlineStr">
        <is>
          <t>Golden State Warriors</t>
        </is>
      </c>
      <c r="G597" t="n">
        <v>115</v>
      </c>
      <c r="H597" t="n">
        <v>116</v>
      </c>
      <c r="I597" t="inlineStr">
        <is>
          <t>Golden State Warriors</t>
        </is>
      </c>
      <c r="J597" t="inlineStr">
        <is>
          <t>Minnesota Timberwolves</t>
        </is>
      </c>
      <c r="K597" t="inlineStr">
        <is>
          <t>Yes</t>
        </is>
      </c>
      <c r="L597" t="inlineStr"/>
      <c r="M597" t="inlineStr">
        <is>
          <t>https://fixturedownload.com/download/nba-2024-UTC.csv</t>
        </is>
      </c>
    </row>
    <row r="598">
      <c r="A598" t="n">
        <v>570</v>
      </c>
      <c r="B598" t="n">
        <v>12</v>
      </c>
      <c r="C598" t="inlineStr">
        <is>
          <t>16/01/2025 03:00</t>
        </is>
      </c>
      <c r="D598" t="inlineStr">
        <is>
          <t>Crypto.com Arena</t>
        </is>
      </c>
      <c r="E598" t="inlineStr">
        <is>
          <t>Los Angeles Lakers</t>
        </is>
      </c>
      <c r="F598" t="inlineStr">
        <is>
          <t>Miami Heat</t>
        </is>
      </c>
      <c r="G598" t="n">
        <v>117</v>
      </c>
      <c r="H598" t="n">
        <v>108</v>
      </c>
      <c r="I598" t="inlineStr">
        <is>
          <t>Los Angeles Lakers</t>
        </is>
      </c>
      <c r="J598" t="inlineStr">
        <is>
          <t>Miami Heat</t>
        </is>
      </c>
      <c r="K598" t="inlineStr">
        <is>
          <t>Yes</t>
        </is>
      </c>
      <c r="L598" t="inlineStr"/>
      <c r="M598" t="inlineStr">
        <is>
          <t>https://fixturedownload.com/download/nba-2024-UTC.csv</t>
        </is>
      </c>
    </row>
    <row r="599">
      <c r="A599" t="n">
        <v>571</v>
      </c>
      <c r="B599" t="n">
        <v>12</v>
      </c>
      <c r="C599" t="inlineStr">
        <is>
          <t>16/01/2025 03:30</t>
        </is>
      </c>
      <c r="D599" t="inlineStr">
        <is>
          <t>Intuit Dome</t>
        </is>
      </c>
      <c r="E599" t="inlineStr">
        <is>
          <t>LA Clippers</t>
        </is>
      </c>
      <c r="F599" t="inlineStr">
        <is>
          <t>Brooklyn Nets</t>
        </is>
      </c>
      <c r="G599" t="n">
        <v>126</v>
      </c>
      <c r="H599" t="n">
        <v>67</v>
      </c>
      <c r="I599" t="inlineStr">
        <is>
          <t>LA Clippers</t>
        </is>
      </c>
      <c r="J599" t="inlineStr">
        <is>
          <t>Brooklyn Nets</t>
        </is>
      </c>
      <c r="K599" t="inlineStr">
        <is>
          <t>Yes</t>
        </is>
      </c>
      <c r="L599" t="inlineStr"/>
      <c r="M599" t="inlineStr">
        <is>
          <t>https://fixturedownload.com/download/nba-2024-UTC.csv</t>
        </is>
      </c>
    </row>
    <row r="600">
      <c r="A600" t="n">
        <v>572</v>
      </c>
      <c r="B600" t="n">
        <v>12</v>
      </c>
      <c r="C600" t="inlineStr">
        <is>
          <t>17/01/2025 00:00</t>
        </is>
      </c>
      <c r="D600" t="inlineStr">
        <is>
          <t>Little Caesars Arena</t>
        </is>
      </c>
      <c r="E600" t="inlineStr">
        <is>
          <t>Detroit Pistons</t>
        </is>
      </c>
      <c r="F600" t="inlineStr">
        <is>
          <t>Indiana Pacers</t>
        </is>
      </c>
      <c r="G600" t="n">
        <v>100</v>
      </c>
      <c r="H600" t="n">
        <v>111</v>
      </c>
      <c r="I600" t="inlineStr">
        <is>
          <t>Indiana Pacers</t>
        </is>
      </c>
      <c r="J600" t="inlineStr">
        <is>
          <t>Detroit Pistons</t>
        </is>
      </c>
      <c r="K600" t="inlineStr">
        <is>
          <t>Yes</t>
        </is>
      </c>
      <c r="L600" t="inlineStr"/>
      <c r="M600" t="inlineStr">
        <is>
          <t>https://fixturedownload.com/download/nba-2024-UTC.csv</t>
        </is>
      </c>
    </row>
    <row r="601">
      <c r="A601" t="n">
        <v>573</v>
      </c>
      <c r="B601" t="n">
        <v>12</v>
      </c>
      <c r="C601" t="inlineStr">
        <is>
          <t>17/01/2025 00:00</t>
        </is>
      </c>
      <c r="D601" t="inlineStr">
        <is>
          <t>Capital One Arena</t>
        </is>
      </c>
      <c r="E601" t="inlineStr">
        <is>
          <t>Washington Wizards</t>
        </is>
      </c>
      <c r="F601" t="inlineStr">
        <is>
          <t>Phoenix Suns</t>
        </is>
      </c>
      <c r="G601" t="n">
        <v>123</v>
      </c>
      <c r="H601" t="n">
        <v>130</v>
      </c>
      <c r="I601" t="inlineStr">
        <is>
          <t>Phoenix Suns</t>
        </is>
      </c>
      <c r="J601" t="inlineStr">
        <is>
          <t>Washington Wizards</t>
        </is>
      </c>
      <c r="K601" t="inlineStr">
        <is>
          <t>Yes</t>
        </is>
      </c>
      <c r="L601" t="inlineStr"/>
      <c r="M601" t="inlineStr">
        <is>
          <t>https://fixturedownload.com/download/nba-2024-UTC.csv</t>
        </is>
      </c>
    </row>
    <row r="602">
      <c r="A602" t="n">
        <v>574</v>
      </c>
      <c r="B602" t="n">
        <v>12</v>
      </c>
      <c r="C602" t="inlineStr">
        <is>
          <t>17/01/2025 00:30</t>
        </is>
      </c>
      <c r="D602" t="inlineStr">
        <is>
          <t>Paycom Center</t>
        </is>
      </c>
      <c r="E602" t="inlineStr">
        <is>
          <t>Oklahoma City Thunder</t>
        </is>
      </c>
      <c r="F602" t="inlineStr">
        <is>
          <t>Cleveland Cavaliers</t>
        </is>
      </c>
      <c r="G602" t="n">
        <v>134</v>
      </c>
      <c r="H602" t="n">
        <v>114</v>
      </c>
      <c r="I602" t="inlineStr">
        <is>
          <t>Oklahoma City Thunder</t>
        </is>
      </c>
      <c r="J602" t="inlineStr">
        <is>
          <t>Cleveland Cavaliers</t>
        </is>
      </c>
      <c r="K602" t="inlineStr">
        <is>
          <t>Yes</t>
        </is>
      </c>
      <c r="L602" t="inlineStr"/>
      <c r="M602" t="inlineStr">
        <is>
          <t>https://fixturedownload.com/download/nba-2024-UTC.csv</t>
        </is>
      </c>
    </row>
    <row r="603">
      <c r="A603" t="n">
        <v>575</v>
      </c>
      <c r="B603" t="n">
        <v>12</v>
      </c>
      <c r="C603" t="inlineStr">
        <is>
          <t>17/01/2025 03:00</t>
        </is>
      </c>
      <c r="D603" t="inlineStr">
        <is>
          <t>Moda Center</t>
        </is>
      </c>
      <c r="E603" t="inlineStr">
        <is>
          <t>Portland Trail Blazers</t>
        </is>
      </c>
      <c r="F603" t="inlineStr">
        <is>
          <t>LA Clippers</t>
        </is>
      </c>
      <c r="G603" t="n">
        <v>89</v>
      </c>
      <c r="H603" t="n">
        <v>118</v>
      </c>
      <c r="I603" t="inlineStr">
        <is>
          <t>LA Clippers</t>
        </is>
      </c>
      <c r="J603" t="inlineStr">
        <is>
          <t>Portland Trail Blazers</t>
        </is>
      </c>
      <c r="K603" t="inlineStr">
        <is>
          <t>Yes</t>
        </is>
      </c>
      <c r="L603" t="inlineStr"/>
      <c r="M603" t="inlineStr">
        <is>
          <t>https://fixturedownload.com/download/nba-2024-UTC.csv</t>
        </is>
      </c>
    </row>
    <row r="604">
      <c r="A604" t="n">
        <v>576</v>
      </c>
      <c r="B604" t="n">
        <v>12</v>
      </c>
      <c r="C604" t="inlineStr">
        <is>
          <t>17/01/2025 03:00</t>
        </is>
      </c>
      <c r="D604" t="inlineStr">
        <is>
          <t>Golden 1 Center</t>
        </is>
      </c>
      <c r="E604" t="inlineStr">
        <is>
          <t>Sacramento Kings</t>
        </is>
      </c>
      <c r="F604" t="inlineStr">
        <is>
          <t>Houston Rockets</t>
        </is>
      </c>
      <c r="G604" t="n">
        <v>132</v>
      </c>
      <c r="H604" t="n">
        <v>127</v>
      </c>
      <c r="I604" t="inlineStr">
        <is>
          <t>Sacramento Kings</t>
        </is>
      </c>
      <c r="J604" t="inlineStr">
        <is>
          <t>Houston Rockets</t>
        </is>
      </c>
      <c r="K604" t="inlineStr">
        <is>
          <t>Yes</t>
        </is>
      </c>
      <c r="L604" t="inlineStr"/>
      <c r="M604" t="inlineStr">
        <is>
          <t>https://fixturedownload.com/download/nba-2024-UTC.csv</t>
        </is>
      </c>
    </row>
    <row r="605">
      <c r="A605" t="n">
        <v>577</v>
      </c>
      <c r="B605" t="n">
        <v>12</v>
      </c>
      <c r="C605" t="inlineStr">
        <is>
          <t>18/01/2025 00:00</t>
        </is>
      </c>
      <c r="D605" t="inlineStr">
        <is>
          <t>TD Garden</t>
        </is>
      </c>
      <c r="E605" t="inlineStr">
        <is>
          <t>Boston Celtics</t>
        </is>
      </c>
      <c r="F605" t="inlineStr">
        <is>
          <t>Orlando Magic</t>
        </is>
      </c>
      <c r="G605" t="n">
        <v>121</v>
      </c>
      <c r="H605" t="n">
        <v>94</v>
      </c>
      <c r="I605" t="inlineStr">
        <is>
          <t>Boston Celtics</t>
        </is>
      </c>
      <c r="J605" t="inlineStr">
        <is>
          <t>Orlando Magic</t>
        </is>
      </c>
      <c r="K605" t="inlineStr">
        <is>
          <t>Yes</t>
        </is>
      </c>
      <c r="L605" t="inlineStr"/>
      <c r="M605" t="inlineStr">
        <is>
          <t>https://fixturedownload.com/download/nba-2024-UTC.csv</t>
        </is>
      </c>
    </row>
    <row r="606">
      <c r="A606" t="n">
        <v>578</v>
      </c>
      <c r="B606" t="n">
        <v>12</v>
      </c>
      <c r="C606" t="inlineStr">
        <is>
          <t>18/01/2025 00:30</t>
        </is>
      </c>
      <c r="D606" t="inlineStr">
        <is>
          <t>Madison Square Garden</t>
        </is>
      </c>
      <c r="E606" t="inlineStr">
        <is>
          <t>New York Knicks</t>
        </is>
      </c>
      <c r="F606" t="inlineStr">
        <is>
          <t>Minnesota Timberwolves</t>
        </is>
      </c>
      <c r="G606" t="n">
        <v>99</v>
      </c>
      <c r="H606" t="n">
        <v>116</v>
      </c>
      <c r="I606" t="inlineStr">
        <is>
          <t>Minnesota Timberwolves</t>
        </is>
      </c>
      <c r="J606" t="inlineStr">
        <is>
          <t>New York Knicks</t>
        </is>
      </c>
      <c r="K606" t="inlineStr">
        <is>
          <t>Yes</t>
        </is>
      </c>
      <c r="L606" t="inlineStr"/>
      <c r="M606" t="inlineStr">
        <is>
          <t>https://fixturedownload.com/download/nba-2024-UTC.csv</t>
        </is>
      </c>
    </row>
    <row r="607">
      <c r="A607" t="n">
        <v>579</v>
      </c>
      <c r="B607" t="n">
        <v>12</v>
      </c>
      <c r="C607" t="inlineStr">
        <is>
          <t>18/01/2025 01:00</t>
        </is>
      </c>
      <c r="D607" t="inlineStr">
        <is>
          <t>Kaseya Center</t>
        </is>
      </c>
      <c r="E607" t="inlineStr">
        <is>
          <t>Miami Heat</t>
        </is>
      </c>
      <c r="F607" t="inlineStr">
        <is>
          <t>Denver Nuggets</t>
        </is>
      </c>
      <c r="G607" t="n">
        <v>113</v>
      </c>
      <c r="H607" t="n">
        <v>133</v>
      </c>
      <c r="I607" t="inlineStr">
        <is>
          <t>Denver Nuggets</t>
        </is>
      </c>
      <c r="J607" t="inlineStr">
        <is>
          <t>Miami Heat</t>
        </is>
      </c>
      <c r="K607" t="inlineStr">
        <is>
          <t>Yes</t>
        </is>
      </c>
      <c r="L607" t="inlineStr"/>
      <c r="M607" t="inlineStr">
        <is>
          <t>https://fixturedownload.com/download/nba-2024-UTC.csv</t>
        </is>
      </c>
    </row>
    <row r="608">
      <c r="A608" t="n">
        <v>580</v>
      </c>
      <c r="B608" t="n">
        <v>12</v>
      </c>
      <c r="C608" t="inlineStr">
        <is>
          <t>18/01/2025 01:00</t>
        </is>
      </c>
      <c r="D608" t="inlineStr">
        <is>
          <t>Fiserv Forum</t>
        </is>
      </c>
      <c r="E608" t="inlineStr">
        <is>
          <t>Milwaukee Bucks</t>
        </is>
      </c>
      <c r="F608" t="inlineStr">
        <is>
          <t>Toronto Raptors</t>
        </is>
      </c>
      <c r="G608" t="n">
        <v>130</v>
      </c>
      <c r="H608" t="n">
        <v>112</v>
      </c>
      <c r="I608" t="inlineStr">
        <is>
          <t>Milwaukee Bucks</t>
        </is>
      </c>
      <c r="J608" t="inlineStr">
        <is>
          <t>Toronto Raptors</t>
        </is>
      </c>
      <c r="K608" t="inlineStr">
        <is>
          <t>Yes</t>
        </is>
      </c>
      <c r="L608" t="inlineStr"/>
      <c r="M608" t="inlineStr">
        <is>
          <t>https://fixturedownload.com/download/nba-2024-UTC.csv</t>
        </is>
      </c>
    </row>
    <row r="609">
      <c r="A609" t="n">
        <v>581</v>
      </c>
      <c r="B609" t="n">
        <v>12</v>
      </c>
      <c r="C609" t="inlineStr">
        <is>
          <t>18/01/2025 01:00</t>
        </is>
      </c>
      <c r="D609" t="inlineStr">
        <is>
          <t>Smoothie King Center</t>
        </is>
      </c>
      <c r="E609" t="inlineStr">
        <is>
          <t>New Orleans Pelicans</t>
        </is>
      </c>
      <c r="F609" t="inlineStr">
        <is>
          <t>Utah Jazz</t>
        </is>
      </c>
      <c r="G609" t="n">
        <v>136</v>
      </c>
      <c r="H609" t="n">
        <v>123</v>
      </c>
      <c r="I609" t="inlineStr">
        <is>
          <t>New Orleans Pelicans</t>
        </is>
      </c>
      <c r="J609" t="inlineStr">
        <is>
          <t>Utah Jazz</t>
        </is>
      </c>
      <c r="K609" t="inlineStr">
        <is>
          <t>Yes</t>
        </is>
      </c>
      <c r="L609" t="inlineStr"/>
      <c r="M609" t="inlineStr">
        <is>
          <t>https://fixturedownload.com/download/nba-2024-UTC.csv</t>
        </is>
      </c>
    </row>
    <row r="610">
      <c r="A610" t="n">
        <v>584</v>
      </c>
      <c r="B610" t="n">
        <v>12</v>
      </c>
      <c r="C610" t="inlineStr">
        <is>
          <t>18/01/2025 01:00</t>
        </is>
      </c>
      <c r="D610" t="inlineStr">
        <is>
          <t>United Center</t>
        </is>
      </c>
      <c r="E610" t="inlineStr">
        <is>
          <t>Chicago Bulls</t>
        </is>
      </c>
      <c r="F610" t="inlineStr">
        <is>
          <t>Charlotte Hornets</t>
        </is>
      </c>
      <c r="G610" t="n">
        <v>123</v>
      </c>
      <c r="H610" t="n">
        <v>125</v>
      </c>
      <c r="I610" t="inlineStr">
        <is>
          <t>Charlotte Hornets</t>
        </is>
      </c>
      <c r="J610" t="inlineStr">
        <is>
          <t>Chicago Bulls</t>
        </is>
      </c>
      <c r="K610" t="inlineStr">
        <is>
          <t>Yes</t>
        </is>
      </c>
      <c r="L610" t="inlineStr"/>
      <c r="M610" t="inlineStr">
        <is>
          <t>https://fixturedownload.com/download/nba-2024-UTC.csv</t>
        </is>
      </c>
    </row>
    <row r="611">
      <c r="A611" t="n">
        <v>583</v>
      </c>
      <c r="B611" t="n">
        <v>12</v>
      </c>
      <c r="C611" t="inlineStr">
        <is>
          <t>18/01/2025 01:30</t>
        </is>
      </c>
      <c r="D611" t="inlineStr">
        <is>
          <t>American Airlines Center</t>
        </is>
      </c>
      <c r="E611" t="inlineStr">
        <is>
          <t>Dallas Mavericks</t>
        </is>
      </c>
      <c r="F611" t="inlineStr">
        <is>
          <t>Oklahoma City Thunder</t>
        </is>
      </c>
      <c r="G611" t="n">
        <v>106</v>
      </c>
      <c r="H611" t="n">
        <v>98</v>
      </c>
      <c r="I611" t="inlineStr">
        <is>
          <t>Dallas Mavericks</t>
        </is>
      </c>
      <c r="J611" t="inlineStr">
        <is>
          <t>Oklahoma City Thunder</t>
        </is>
      </c>
      <c r="K611" t="inlineStr">
        <is>
          <t>Yes</t>
        </is>
      </c>
      <c r="L611" t="inlineStr"/>
      <c r="M611" t="inlineStr">
        <is>
          <t>https://fixturedownload.com/download/nba-2024-UTC.csv</t>
        </is>
      </c>
    </row>
    <row r="612">
      <c r="A612" t="n">
        <v>582</v>
      </c>
      <c r="B612" t="n">
        <v>12</v>
      </c>
      <c r="C612" t="inlineStr">
        <is>
          <t>18/01/2025 02:30</t>
        </is>
      </c>
      <c r="D612" t="inlineStr">
        <is>
          <t>Frost Bank Center</t>
        </is>
      </c>
      <c r="E612" t="inlineStr">
        <is>
          <t>San Antonio Spurs</t>
        </is>
      </c>
      <c r="F612" t="inlineStr">
        <is>
          <t>Memphis Grizzlies</t>
        </is>
      </c>
      <c r="G612" t="n">
        <v>112</v>
      </c>
      <c r="H612" t="n">
        <v>140</v>
      </c>
      <c r="I612" t="inlineStr">
        <is>
          <t>Memphis Grizzlies</t>
        </is>
      </c>
      <c r="J612" t="inlineStr">
        <is>
          <t>San Antonio Spurs</t>
        </is>
      </c>
      <c r="K612" t="inlineStr">
        <is>
          <t>Yes</t>
        </is>
      </c>
      <c r="L612" t="inlineStr"/>
      <c r="M612" t="inlineStr">
        <is>
          <t>https://fixturedownload.com/download/nba-2024-UTC.csv</t>
        </is>
      </c>
    </row>
    <row r="613">
      <c r="A613" t="n">
        <v>585</v>
      </c>
      <c r="B613" t="n">
        <v>12</v>
      </c>
      <c r="C613" t="inlineStr">
        <is>
          <t>18/01/2025 03:30</t>
        </is>
      </c>
      <c r="D613" t="inlineStr">
        <is>
          <t>Crypto.com Arena</t>
        </is>
      </c>
      <c r="E613" t="inlineStr">
        <is>
          <t>Los Angeles Lakers</t>
        </is>
      </c>
      <c r="F613" t="inlineStr">
        <is>
          <t>Brooklyn Nets</t>
        </is>
      </c>
      <c r="G613" t="n">
        <v>102</v>
      </c>
      <c r="H613" t="n">
        <v>101</v>
      </c>
      <c r="I613" t="inlineStr">
        <is>
          <t>Los Angeles Lakers</t>
        </is>
      </c>
      <c r="J613" t="inlineStr">
        <is>
          <t>Brooklyn Nets</t>
        </is>
      </c>
      <c r="K613" t="inlineStr">
        <is>
          <t>Yes</t>
        </is>
      </c>
      <c r="L613" t="inlineStr"/>
      <c r="M613" t="inlineStr">
        <is>
          <t>https://fixturedownload.com/download/nba-2024-UTC.csv</t>
        </is>
      </c>
    </row>
    <row r="614">
      <c r="A614" t="n">
        <v>586</v>
      </c>
      <c r="B614" t="n">
        <v>12</v>
      </c>
      <c r="C614" t="inlineStr">
        <is>
          <t>18/01/2025 21:00</t>
        </is>
      </c>
      <c r="D614" t="inlineStr">
        <is>
          <t>Little Caesars Arena</t>
        </is>
      </c>
      <c r="E614" t="inlineStr">
        <is>
          <t>Detroit Pistons</t>
        </is>
      </c>
      <c r="F614" t="inlineStr">
        <is>
          <t>Phoenix Suns</t>
        </is>
      </c>
      <c r="G614" t="n">
        <v>121</v>
      </c>
      <c r="H614" t="n">
        <v>125</v>
      </c>
      <c r="I614" t="inlineStr">
        <is>
          <t>Phoenix Suns</t>
        </is>
      </c>
      <c r="J614" t="inlineStr">
        <is>
          <t>Detroit Pistons</t>
        </is>
      </c>
      <c r="K614" t="inlineStr">
        <is>
          <t>Yes</t>
        </is>
      </c>
      <c r="L614" t="inlineStr"/>
      <c r="M614" t="inlineStr">
        <is>
          <t>https://fixturedownload.com/download/nba-2024-UTC.csv</t>
        </is>
      </c>
    </row>
    <row r="615">
      <c r="A615" t="n">
        <v>587</v>
      </c>
      <c r="B615" t="n">
        <v>12</v>
      </c>
      <c r="C615" t="inlineStr">
        <is>
          <t>19/01/2025 00:00</t>
        </is>
      </c>
      <c r="D615" t="inlineStr">
        <is>
          <t>TD Garden</t>
        </is>
      </c>
      <c r="E615" t="inlineStr">
        <is>
          <t>Boston Celtics</t>
        </is>
      </c>
      <c r="F615" t="inlineStr">
        <is>
          <t>Atlanta Hawks</t>
        </is>
      </c>
      <c r="G615" t="n">
        <v>115</v>
      </c>
      <c r="H615" t="n">
        <v>119</v>
      </c>
      <c r="I615" t="inlineStr">
        <is>
          <t>Atlanta Hawks</t>
        </is>
      </c>
      <c r="J615" t="inlineStr">
        <is>
          <t>Boston Celtics</t>
        </is>
      </c>
      <c r="K615" t="inlineStr">
        <is>
          <t>Yes</t>
        </is>
      </c>
      <c r="L615" t="inlineStr"/>
      <c r="M615" t="inlineStr">
        <is>
          <t>https://fixturedownload.com/download/nba-2024-UTC.csv</t>
        </is>
      </c>
    </row>
    <row r="616">
      <c r="A616" t="n">
        <v>588</v>
      </c>
      <c r="B616" t="n">
        <v>12</v>
      </c>
      <c r="C616" t="inlineStr">
        <is>
          <t>19/01/2025 00:00</t>
        </is>
      </c>
      <c r="D616" t="inlineStr">
        <is>
          <t>Gainbridge Fieldhouse</t>
        </is>
      </c>
      <c r="E616" t="inlineStr">
        <is>
          <t>Indiana Pacers</t>
        </is>
      </c>
      <c r="F616" t="inlineStr">
        <is>
          <t>Philadelphia 76ers</t>
        </is>
      </c>
      <c r="G616" t="n">
        <v>115</v>
      </c>
      <c r="H616" t="n">
        <v>102</v>
      </c>
      <c r="I616" t="inlineStr">
        <is>
          <t>Indiana Pacers</t>
        </is>
      </c>
      <c r="J616" t="inlineStr">
        <is>
          <t>Philadelphia 76ers</t>
        </is>
      </c>
      <c r="K616" t="inlineStr">
        <is>
          <t>Yes</t>
        </is>
      </c>
      <c r="L616" t="inlineStr"/>
      <c r="M616" t="inlineStr">
        <is>
          <t>https://fixturedownload.com/download/nba-2024-UTC.csv</t>
        </is>
      </c>
    </row>
    <row r="617">
      <c r="A617" t="n">
        <v>589</v>
      </c>
      <c r="B617" t="n">
        <v>12</v>
      </c>
      <c r="C617" t="inlineStr">
        <is>
          <t>19/01/2025 01:30</t>
        </is>
      </c>
      <c r="D617" t="inlineStr">
        <is>
          <t>Chase Center</t>
        </is>
      </c>
      <c r="E617" t="inlineStr">
        <is>
          <t>Golden State Warriors</t>
        </is>
      </c>
      <c r="F617" t="inlineStr">
        <is>
          <t>Washington Wizards</t>
        </is>
      </c>
      <c r="G617" t="n">
        <v>122</v>
      </c>
      <c r="H617" t="n">
        <v>114</v>
      </c>
      <c r="I617" t="inlineStr">
        <is>
          <t>Golden State Warriors</t>
        </is>
      </c>
      <c r="J617" t="inlineStr">
        <is>
          <t>Washington Wizards</t>
        </is>
      </c>
      <c r="K617" t="inlineStr">
        <is>
          <t>Yes</t>
        </is>
      </c>
      <c r="L617" t="inlineStr"/>
      <c r="M617" t="inlineStr">
        <is>
          <t>https://fixturedownload.com/download/nba-2024-UTC.csv</t>
        </is>
      </c>
    </row>
    <row r="618">
      <c r="A618" t="n">
        <v>590</v>
      </c>
      <c r="B618" t="n">
        <v>12</v>
      </c>
      <c r="C618" t="inlineStr">
        <is>
          <t>19/01/2025 02:00</t>
        </is>
      </c>
      <c r="D618" t="inlineStr">
        <is>
          <t>Target Center</t>
        </is>
      </c>
      <c r="E618" t="inlineStr">
        <is>
          <t>Minnesota Timberwolves</t>
        </is>
      </c>
      <c r="F618" t="inlineStr">
        <is>
          <t>Cleveland Cavaliers</t>
        </is>
      </c>
      <c r="G618" t="n">
        <v>117</v>
      </c>
      <c r="H618" t="n">
        <v>124</v>
      </c>
      <c r="I618" t="inlineStr">
        <is>
          <t>Cleveland Cavaliers</t>
        </is>
      </c>
      <c r="J618" t="inlineStr">
        <is>
          <t>Minnesota Timberwolves</t>
        </is>
      </c>
      <c r="K618" t="inlineStr">
        <is>
          <t>Yes</t>
        </is>
      </c>
      <c r="L618" t="inlineStr"/>
      <c r="M618" t="inlineStr">
        <is>
          <t>https://fixturedownload.com/download/nba-2024-UTC.csv</t>
        </is>
      </c>
    </row>
    <row r="619">
      <c r="A619" t="n">
        <v>591</v>
      </c>
      <c r="B619" t="n">
        <v>12</v>
      </c>
      <c r="C619" t="inlineStr">
        <is>
          <t>19/01/2025 03:00</t>
        </is>
      </c>
      <c r="D619" t="inlineStr">
        <is>
          <t>Moda Center</t>
        </is>
      </c>
      <c r="E619" t="inlineStr">
        <is>
          <t>Portland Trail Blazers</t>
        </is>
      </c>
      <c r="F619" t="inlineStr">
        <is>
          <t>Houston Rockets</t>
        </is>
      </c>
      <c r="G619" t="n">
        <v>103</v>
      </c>
      <c r="H619" t="n">
        <v>125</v>
      </c>
      <c r="I619" t="inlineStr">
        <is>
          <t>Houston Rockets</t>
        </is>
      </c>
      <c r="J619" t="inlineStr">
        <is>
          <t>Portland Trail Blazers</t>
        </is>
      </c>
      <c r="K619" t="inlineStr">
        <is>
          <t>Yes</t>
        </is>
      </c>
      <c r="L619" t="inlineStr"/>
      <c r="M619" t="inlineStr">
        <is>
          <t>https://fixturedownload.com/download/nba-2024-UTC.csv</t>
        </is>
      </c>
    </row>
    <row r="620">
      <c r="A620" t="n">
        <v>592</v>
      </c>
      <c r="B620" t="n">
        <v>12</v>
      </c>
      <c r="C620" t="inlineStr">
        <is>
          <t>19/01/2025 20:00</t>
        </is>
      </c>
      <c r="D620" t="inlineStr">
        <is>
          <t>Kaseya Center</t>
        </is>
      </c>
      <c r="E620" t="inlineStr">
        <is>
          <t>Miami Heat</t>
        </is>
      </c>
      <c r="F620" t="inlineStr">
        <is>
          <t>San Antonio Spurs</t>
        </is>
      </c>
      <c r="G620" t="n">
        <v>128</v>
      </c>
      <c r="H620" t="n">
        <v>107</v>
      </c>
      <c r="I620" t="inlineStr">
        <is>
          <t>Miami Heat</t>
        </is>
      </c>
      <c r="J620" t="inlineStr">
        <is>
          <t>San Antonio Spurs</t>
        </is>
      </c>
      <c r="K620" t="inlineStr">
        <is>
          <t>Yes</t>
        </is>
      </c>
      <c r="L620" t="inlineStr"/>
      <c r="M620" t="inlineStr">
        <is>
          <t>https://fixturedownload.com/download/nba-2024-UTC.csv</t>
        </is>
      </c>
    </row>
    <row r="621">
      <c r="A621" t="n">
        <v>593</v>
      </c>
      <c r="B621" t="n">
        <v>12</v>
      </c>
      <c r="C621" t="inlineStr">
        <is>
          <t>19/01/2025 23:00</t>
        </is>
      </c>
      <c r="D621" t="inlineStr">
        <is>
          <t>Kia Center</t>
        </is>
      </c>
      <c r="E621" t="inlineStr">
        <is>
          <t>Orlando Magic</t>
        </is>
      </c>
      <c r="F621" t="inlineStr">
        <is>
          <t>Denver Nuggets</t>
        </is>
      </c>
      <c r="G621" t="n">
        <v>100</v>
      </c>
      <c r="H621" t="n">
        <v>113</v>
      </c>
      <c r="I621" t="inlineStr">
        <is>
          <t>Denver Nuggets</t>
        </is>
      </c>
      <c r="J621" t="inlineStr">
        <is>
          <t>Orlando Magic</t>
        </is>
      </c>
      <c r="K621" t="inlineStr">
        <is>
          <t>Yes</t>
        </is>
      </c>
      <c r="L621" t="inlineStr"/>
      <c r="M621" t="inlineStr">
        <is>
          <t>https://fixturedownload.com/download/nba-2024-UTC.csv</t>
        </is>
      </c>
    </row>
    <row r="622">
      <c r="A622" t="n">
        <v>594</v>
      </c>
      <c r="B622" t="n">
        <v>12</v>
      </c>
      <c r="C622" t="inlineStr">
        <is>
          <t>20/01/2025 00:00</t>
        </is>
      </c>
      <c r="D622" t="inlineStr">
        <is>
          <t>Fiserv Forum</t>
        </is>
      </c>
      <c r="E622" t="inlineStr">
        <is>
          <t>Milwaukee Bucks</t>
        </is>
      </c>
      <c r="F622" t="inlineStr">
        <is>
          <t>Philadelphia 76ers</t>
        </is>
      </c>
      <c r="G622" t="n">
        <v>123</v>
      </c>
      <c r="H622" t="n">
        <v>109</v>
      </c>
      <c r="I622" t="inlineStr">
        <is>
          <t>Milwaukee Bucks</t>
        </is>
      </c>
      <c r="J622" t="inlineStr">
        <is>
          <t>Philadelphia 76ers</t>
        </is>
      </c>
      <c r="K622" t="inlineStr">
        <is>
          <t>Yes</t>
        </is>
      </c>
      <c r="L622" t="inlineStr"/>
      <c r="M622" t="inlineStr">
        <is>
          <t>https://fixturedownload.com/download/nba-2024-UTC.csv</t>
        </is>
      </c>
    </row>
    <row r="623">
      <c r="A623" t="n">
        <v>595</v>
      </c>
      <c r="B623" t="n">
        <v>12</v>
      </c>
      <c r="C623" t="inlineStr">
        <is>
          <t>20/01/2025 00:00</t>
        </is>
      </c>
      <c r="D623" t="inlineStr">
        <is>
          <t>Paycom Center</t>
        </is>
      </c>
      <c r="E623" t="inlineStr">
        <is>
          <t>Oklahoma City Thunder</t>
        </is>
      </c>
      <c r="F623" t="inlineStr">
        <is>
          <t>Brooklyn Nets</t>
        </is>
      </c>
      <c r="G623" t="n">
        <v>127</v>
      </c>
      <c r="H623" t="n">
        <v>101</v>
      </c>
      <c r="I623" t="inlineStr">
        <is>
          <t>Oklahoma City Thunder</t>
        </is>
      </c>
      <c r="J623" t="inlineStr">
        <is>
          <t>Brooklyn Nets</t>
        </is>
      </c>
      <c r="K623" t="inlineStr">
        <is>
          <t>Yes</t>
        </is>
      </c>
      <c r="L623" t="inlineStr"/>
      <c r="M623" t="inlineStr">
        <is>
          <t>https://fixturedownload.com/download/nba-2024-UTC.csv</t>
        </is>
      </c>
    </row>
    <row r="624">
      <c r="A624" t="n">
        <v>596</v>
      </c>
      <c r="B624" t="n">
        <v>12</v>
      </c>
      <c r="C624" t="inlineStr">
        <is>
          <t>20/01/2025 02:00</t>
        </is>
      </c>
      <c r="D624" t="inlineStr">
        <is>
          <t>Intuit Dome</t>
        </is>
      </c>
      <c r="E624" t="inlineStr">
        <is>
          <t>LA Clippers</t>
        </is>
      </c>
      <c r="F624" t="inlineStr">
        <is>
          <t>Los Angeles Lakers</t>
        </is>
      </c>
      <c r="G624" t="n">
        <v>116</v>
      </c>
      <c r="H624" t="n">
        <v>102</v>
      </c>
      <c r="I624" t="inlineStr">
        <is>
          <t>LA Clippers</t>
        </is>
      </c>
      <c r="J624" t="inlineStr">
        <is>
          <t>Los Angeles Lakers</t>
        </is>
      </c>
      <c r="K624" t="inlineStr">
        <is>
          <t>Yes</t>
        </is>
      </c>
      <c r="L624" t="inlineStr"/>
      <c r="M624" t="inlineStr">
        <is>
          <t>https://fixturedownload.com/download/nba-2024-UTC.csv</t>
        </is>
      </c>
    </row>
    <row r="625">
      <c r="A625" t="n">
        <v>597</v>
      </c>
      <c r="B625" t="n">
        <v>12</v>
      </c>
      <c r="C625" t="inlineStr">
        <is>
          <t>20/01/2025 02:00</t>
        </is>
      </c>
      <c r="D625" t="inlineStr">
        <is>
          <t>Moda Center</t>
        </is>
      </c>
      <c r="E625" t="inlineStr">
        <is>
          <t>Portland Trail Blazers</t>
        </is>
      </c>
      <c r="F625" t="inlineStr">
        <is>
          <t>Chicago Bulls</t>
        </is>
      </c>
      <c r="G625" t="n">
        <v>113</v>
      </c>
      <c r="H625" t="n">
        <v>102</v>
      </c>
      <c r="I625" t="inlineStr">
        <is>
          <t>Portland Trail Blazers</t>
        </is>
      </c>
      <c r="J625" t="inlineStr">
        <is>
          <t>Chicago Bulls</t>
        </is>
      </c>
      <c r="K625" t="inlineStr">
        <is>
          <t>Yes</t>
        </is>
      </c>
      <c r="L625" t="inlineStr"/>
      <c r="M625" t="inlineStr">
        <is>
          <t>https://fixturedownload.com/download/nba-2024-UTC.csv</t>
        </is>
      </c>
    </row>
    <row r="626">
      <c r="A626" t="n">
        <v>598</v>
      </c>
      <c r="B626" t="n">
        <v>12</v>
      </c>
      <c r="C626" t="inlineStr">
        <is>
          <t>20/01/2025 02:00</t>
        </is>
      </c>
      <c r="D626" t="inlineStr">
        <is>
          <t>Golden 1 Center</t>
        </is>
      </c>
      <c r="E626" t="inlineStr">
        <is>
          <t>Sacramento Kings</t>
        </is>
      </c>
      <c r="F626" t="inlineStr">
        <is>
          <t>Washington Wizards</t>
        </is>
      </c>
      <c r="G626" t="n">
        <v>123</v>
      </c>
      <c r="H626" t="n">
        <v>100</v>
      </c>
      <c r="I626" t="inlineStr">
        <is>
          <t>Sacramento Kings</t>
        </is>
      </c>
      <c r="J626" t="inlineStr">
        <is>
          <t>Washington Wizards</t>
        </is>
      </c>
      <c r="K626" t="inlineStr">
        <is>
          <t>Yes</t>
        </is>
      </c>
      <c r="L626" t="inlineStr"/>
      <c r="M626" t="inlineStr">
        <is>
          <t>https://fixturedownload.com/download/nba-2024-UTC.csv</t>
        </is>
      </c>
    </row>
    <row r="627">
      <c r="A627" t="n">
        <v>599</v>
      </c>
      <c r="B627" t="n">
        <v>12</v>
      </c>
      <c r="C627" t="inlineStr">
        <is>
          <t>20/01/2025 17:00</t>
        </is>
      </c>
      <c r="D627" t="inlineStr">
        <is>
          <t>Spectrum Center</t>
        </is>
      </c>
      <c r="E627" t="inlineStr">
        <is>
          <t>Charlotte Hornets</t>
        </is>
      </c>
      <c r="F627" t="inlineStr">
        <is>
          <t>Dallas Mavericks</t>
        </is>
      </c>
      <c r="G627" t="n">
        <v>110</v>
      </c>
      <c r="H627" t="n">
        <v>105</v>
      </c>
      <c r="I627" t="inlineStr">
        <is>
          <t>Charlotte Hornets</t>
        </is>
      </c>
      <c r="J627" t="inlineStr">
        <is>
          <t>Dallas Mavericks</t>
        </is>
      </c>
      <c r="K627" t="inlineStr">
        <is>
          <t>Yes</t>
        </is>
      </c>
      <c r="L627" t="inlineStr"/>
      <c r="M627" t="inlineStr">
        <is>
          <t>https://fixturedownload.com/download/nba-2024-UTC.csv</t>
        </is>
      </c>
    </row>
    <row r="628">
      <c r="A628" t="n">
        <v>600</v>
      </c>
      <c r="B628" t="n">
        <v>12</v>
      </c>
      <c r="C628" t="inlineStr">
        <is>
          <t>20/01/2025 19:00</t>
        </is>
      </c>
      <c r="D628" t="inlineStr">
        <is>
          <t>Toyota Center</t>
        </is>
      </c>
      <c r="E628" t="inlineStr">
        <is>
          <t>Houston Rockets</t>
        </is>
      </c>
      <c r="F628" t="inlineStr">
        <is>
          <t>Detroit Pistons</t>
        </is>
      </c>
      <c r="G628" t="n">
        <v>96</v>
      </c>
      <c r="H628" t="n">
        <v>107</v>
      </c>
      <c r="I628" t="inlineStr">
        <is>
          <t>Detroit Pistons</t>
        </is>
      </c>
      <c r="J628" t="inlineStr">
        <is>
          <t>Houston Rockets</t>
        </is>
      </c>
      <c r="K628" t="inlineStr">
        <is>
          <t>Yes</t>
        </is>
      </c>
      <c r="L628" t="inlineStr"/>
      <c r="M628" t="inlineStr">
        <is>
          <t>https://fixturedownload.com/download/nba-2024-UTC.csv</t>
        </is>
      </c>
    </row>
    <row r="629">
      <c r="A629" t="n">
        <v>601</v>
      </c>
      <c r="B629" t="n">
        <v>12</v>
      </c>
      <c r="C629" t="inlineStr">
        <is>
          <t>20/01/2025 19:30</t>
        </is>
      </c>
      <c r="D629" t="inlineStr">
        <is>
          <t>FedExForum</t>
        </is>
      </c>
      <c r="E629" t="inlineStr">
        <is>
          <t>Memphis Grizzlies</t>
        </is>
      </c>
      <c r="F629" t="inlineStr">
        <is>
          <t>Minnesota Timberwolves</t>
        </is>
      </c>
      <c r="G629" t="n">
        <v>108</v>
      </c>
      <c r="H629" t="n">
        <v>106</v>
      </c>
      <c r="I629" t="inlineStr">
        <is>
          <t>Memphis Grizzlies</t>
        </is>
      </c>
      <c r="J629" t="inlineStr">
        <is>
          <t>Minnesota Timberwolves</t>
        </is>
      </c>
      <c r="K629" t="inlineStr">
        <is>
          <t>Yes</t>
        </is>
      </c>
      <c r="L629" t="inlineStr"/>
      <c r="M629" t="inlineStr">
        <is>
          <t>https://fixturedownload.com/download/nba-2024-UTC.csv</t>
        </is>
      </c>
    </row>
    <row r="630">
      <c r="A630" t="n">
        <v>602</v>
      </c>
      <c r="B630" t="n">
        <v>12</v>
      </c>
      <c r="C630" t="inlineStr">
        <is>
          <t>20/01/2025 20:00</t>
        </is>
      </c>
      <c r="D630" t="inlineStr">
        <is>
          <t>Madison Square Garden</t>
        </is>
      </c>
      <c r="E630" t="inlineStr">
        <is>
          <t>New York Knicks</t>
        </is>
      </c>
      <c r="F630" t="inlineStr">
        <is>
          <t>Atlanta Hawks</t>
        </is>
      </c>
      <c r="G630" t="n">
        <v>119</v>
      </c>
      <c r="H630" t="n">
        <v>110</v>
      </c>
      <c r="I630" t="inlineStr">
        <is>
          <t>New York Knicks</t>
        </is>
      </c>
      <c r="J630" t="inlineStr">
        <is>
          <t>Atlanta Hawks</t>
        </is>
      </c>
      <c r="K630" t="inlineStr">
        <is>
          <t>Yes</t>
        </is>
      </c>
      <c r="L630" t="inlineStr"/>
      <c r="M630" t="inlineStr">
        <is>
          <t>https://fixturedownload.com/download/nba-2024-UTC.csv</t>
        </is>
      </c>
    </row>
    <row r="631">
      <c r="A631" t="n">
        <v>603</v>
      </c>
      <c r="B631" t="n">
        <v>12</v>
      </c>
      <c r="C631" t="inlineStr">
        <is>
          <t>20/01/2025 20:30</t>
        </is>
      </c>
      <c r="D631" t="inlineStr">
        <is>
          <t>Rocket Arena</t>
        </is>
      </c>
      <c r="E631" t="inlineStr">
        <is>
          <t>Cleveland Cavaliers</t>
        </is>
      </c>
      <c r="F631" t="inlineStr">
        <is>
          <t>Phoenix Suns</t>
        </is>
      </c>
      <c r="G631" t="n">
        <v>118</v>
      </c>
      <c r="H631" t="n">
        <v>92</v>
      </c>
      <c r="I631" t="inlineStr">
        <is>
          <t>Cleveland Cavaliers</t>
        </is>
      </c>
      <c r="J631" t="inlineStr">
        <is>
          <t>Phoenix Suns</t>
        </is>
      </c>
      <c r="K631" t="inlineStr">
        <is>
          <t>Yes</t>
        </is>
      </c>
      <c r="L631" t="inlineStr"/>
      <c r="M631" t="inlineStr">
        <is>
          <t>https://fixturedownload.com/download/nba-2024-UTC.csv</t>
        </is>
      </c>
    </row>
    <row r="632">
      <c r="A632" t="n">
        <v>604</v>
      </c>
      <c r="B632" t="n">
        <v>12</v>
      </c>
      <c r="C632" t="inlineStr">
        <is>
          <t>20/01/2025 22:00</t>
        </is>
      </c>
      <c r="D632" t="inlineStr">
        <is>
          <t>Chase Center</t>
        </is>
      </c>
      <c r="E632" t="inlineStr">
        <is>
          <t>Golden State Warriors</t>
        </is>
      </c>
      <c r="F632" t="inlineStr">
        <is>
          <t>Boston Celtics</t>
        </is>
      </c>
      <c r="G632" t="n">
        <v>85</v>
      </c>
      <c r="H632" t="n">
        <v>125</v>
      </c>
      <c r="I632" t="inlineStr">
        <is>
          <t>Boston Celtics</t>
        </is>
      </c>
      <c r="J632" t="inlineStr">
        <is>
          <t>Golden State Warriors</t>
        </is>
      </c>
      <c r="K632" t="inlineStr">
        <is>
          <t>Yes</t>
        </is>
      </c>
      <c r="L632" t="inlineStr"/>
      <c r="M632" t="inlineStr">
        <is>
          <t>https://fixturedownload.com/download/nba-2024-UTC.csv</t>
        </is>
      </c>
    </row>
    <row r="633">
      <c r="A633" t="n">
        <v>605</v>
      </c>
      <c r="B633" t="n">
        <v>12</v>
      </c>
      <c r="C633" t="inlineStr">
        <is>
          <t>21/01/2025 01:00</t>
        </is>
      </c>
      <c r="D633" t="inlineStr">
        <is>
          <t>Smoothie King Center</t>
        </is>
      </c>
      <c r="E633" t="inlineStr">
        <is>
          <t>New Orleans Pelicans</t>
        </is>
      </c>
      <c r="F633" t="inlineStr">
        <is>
          <t>Utah Jazz</t>
        </is>
      </c>
      <c r="G633" t="n">
        <v>123</v>
      </c>
      <c r="H633" t="n">
        <v>119</v>
      </c>
      <c r="I633" t="inlineStr">
        <is>
          <t>New Orleans Pelicans</t>
        </is>
      </c>
      <c r="J633" t="inlineStr">
        <is>
          <t>Utah Jazz</t>
        </is>
      </c>
      <c r="K633" t="inlineStr">
        <is>
          <t>Yes</t>
        </is>
      </c>
      <c r="L633" t="inlineStr"/>
      <c r="M633" t="inlineStr">
        <is>
          <t>https://fixturedownload.com/download/nba-2024-UTC.csv</t>
        </is>
      </c>
    </row>
    <row r="634">
      <c r="A634" t="n">
        <v>611</v>
      </c>
      <c r="B634" t="n">
        <v>12</v>
      </c>
      <c r="C634" t="inlineStr">
        <is>
          <t>21/01/2025 03:30</t>
        </is>
      </c>
      <c r="D634" t="inlineStr">
        <is>
          <t>Intuit Dome</t>
        </is>
      </c>
      <c r="E634" t="inlineStr">
        <is>
          <t>LA Clippers</t>
        </is>
      </c>
      <c r="F634" t="inlineStr">
        <is>
          <t>Chicago Bulls</t>
        </is>
      </c>
      <c r="G634" t="n">
        <v>99</v>
      </c>
      <c r="H634" t="n">
        <v>112</v>
      </c>
      <c r="I634" t="inlineStr">
        <is>
          <t>Chicago Bulls</t>
        </is>
      </c>
      <c r="J634" t="inlineStr">
        <is>
          <t>LA Clippers</t>
        </is>
      </c>
      <c r="K634" t="inlineStr">
        <is>
          <t>Yes</t>
        </is>
      </c>
      <c r="L634" t="inlineStr"/>
      <c r="M634" t="inlineStr">
        <is>
          <t>https://fixturedownload.com/download/nba-2024-UTC.csv</t>
        </is>
      </c>
    </row>
    <row r="635">
      <c r="A635" t="n">
        <v>606</v>
      </c>
      <c r="B635" t="n">
        <v>12</v>
      </c>
      <c r="C635" t="inlineStr">
        <is>
          <t>22/01/2025 00:30</t>
        </is>
      </c>
      <c r="D635" t="inlineStr">
        <is>
          <t>Barclays Center</t>
        </is>
      </c>
      <c r="E635" t="inlineStr">
        <is>
          <t>Brooklyn Nets</t>
        </is>
      </c>
      <c r="F635" t="inlineStr">
        <is>
          <t>New York Knicks</t>
        </is>
      </c>
      <c r="G635" t="n">
        <v>95</v>
      </c>
      <c r="H635" t="n">
        <v>99</v>
      </c>
      <c r="I635" t="inlineStr">
        <is>
          <t>New York Knicks</t>
        </is>
      </c>
      <c r="J635" t="inlineStr">
        <is>
          <t>Brooklyn Nets</t>
        </is>
      </c>
      <c r="K635" t="inlineStr">
        <is>
          <t>Yes</t>
        </is>
      </c>
      <c r="L635" t="inlineStr"/>
      <c r="M635" t="inlineStr">
        <is>
          <t>https://fixturedownload.com/download/nba-2024-UTC.csv</t>
        </is>
      </c>
    </row>
    <row r="636">
      <c r="A636" t="n">
        <v>607</v>
      </c>
      <c r="B636" t="n">
        <v>12</v>
      </c>
      <c r="C636" t="inlineStr">
        <is>
          <t>22/01/2025 00:30</t>
        </is>
      </c>
      <c r="D636" t="inlineStr">
        <is>
          <t>Kaseya Center</t>
        </is>
      </c>
      <c r="E636" t="inlineStr">
        <is>
          <t>Miami Heat</t>
        </is>
      </c>
      <c r="F636" t="inlineStr">
        <is>
          <t>Portland Trail Blazers</t>
        </is>
      </c>
      <c r="G636" t="n">
        <v>107</v>
      </c>
      <c r="H636" t="n">
        <v>116</v>
      </c>
      <c r="I636" t="inlineStr">
        <is>
          <t>Portland Trail Blazers</t>
        </is>
      </c>
      <c r="J636" t="inlineStr">
        <is>
          <t>Miami Heat</t>
        </is>
      </c>
      <c r="K636" t="inlineStr">
        <is>
          <t>Yes</t>
        </is>
      </c>
      <c r="L636" t="inlineStr"/>
      <c r="M636" t="inlineStr">
        <is>
          <t>https://fixturedownload.com/download/nba-2024-UTC.csv</t>
        </is>
      </c>
    </row>
    <row r="637">
      <c r="A637" t="n">
        <v>608</v>
      </c>
      <c r="B637" t="n">
        <v>12</v>
      </c>
      <c r="C637" t="inlineStr">
        <is>
          <t>22/01/2025 00:30</t>
        </is>
      </c>
      <c r="D637" t="inlineStr">
        <is>
          <t>Scotiabank Arena</t>
        </is>
      </c>
      <c r="E637" t="inlineStr">
        <is>
          <t>Toronto Raptors</t>
        </is>
      </c>
      <c r="F637" t="inlineStr">
        <is>
          <t>Orlando Magic</t>
        </is>
      </c>
      <c r="G637" t="n">
        <v>109</v>
      </c>
      <c r="H637" t="n">
        <v>93</v>
      </c>
      <c r="I637" t="inlineStr">
        <is>
          <t>Toronto Raptors</t>
        </is>
      </c>
      <c r="J637" t="inlineStr">
        <is>
          <t>Orlando Magic</t>
        </is>
      </c>
      <c r="K637" t="inlineStr">
        <is>
          <t>Yes</t>
        </is>
      </c>
      <c r="L637" t="inlineStr"/>
      <c r="M637" t="inlineStr">
        <is>
          <t>https://fixturedownload.com/download/nba-2024-UTC.csv</t>
        </is>
      </c>
    </row>
    <row r="638">
      <c r="A638" t="n">
        <v>609</v>
      </c>
      <c r="B638" t="n">
        <v>12</v>
      </c>
      <c r="C638" t="inlineStr">
        <is>
          <t>22/01/2025 03:00</t>
        </is>
      </c>
      <c r="D638" t="inlineStr">
        <is>
          <t>Ball Arena</t>
        </is>
      </c>
      <c r="E638" t="inlineStr">
        <is>
          <t>Denver Nuggets</t>
        </is>
      </c>
      <c r="F638" t="inlineStr">
        <is>
          <t>Philadelphia 76ers</t>
        </is>
      </c>
      <c r="G638" t="n">
        <v>144</v>
      </c>
      <c r="H638" t="n">
        <v>109</v>
      </c>
      <c r="I638" t="inlineStr">
        <is>
          <t>Denver Nuggets</t>
        </is>
      </c>
      <c r="J638" t="inlineStr">
        <is>
          <t>Philadelphia 76ers</t>
        </is>
      </c>
      <c r="K638" t="inlineStr">
        <is>
          <t>Yes</t>
        </is>
      </c>
      <c r="L638" t="inlineStr"/>
      <c r="M638" t="inlineStr">
        <is>
          <t>https://fixturedownload.com/download/nba-2024-UTC.csv</t>
        </is>
      </c>
    </row>
    <row r="639">
      <c r="A639" t="n">
        <v>610</v>
      </c>
      <c r="B639" t="n">
        <v>12</v>
      </c>
      <c r="C639" t="inlineStr">
        <is>
          <t>22/01/2025 03:30</t>
        </is>
      </c>
      <c r="D639" t="inlineStr">
        <is>
          <t>Crypto.com Arena</t>
        </is>
      </c>
      <c r="E639" t="inlineStr">
        <is>
          <t>Los Angeles Lakers</t>
        </is>
      </c>
      <c r="F639" t="inlineStr">
        <is>
          <t>Washington Wizards</t>
        </is>
      </c>
      <c r="G639" t="n">
        <v>111</v>
      </c>
      <c r="H639" t="n">
        <v>88</v>
      </c>
      <c r="I639" t="inlineStr">
        <is>
          <t>Los Angeles Lakers</t>
        </is>
      </c>
      <c r="J639" t="inlineStr">
        <is>
          <t>Washington Wizards</t>
        </is>
      </c>
      <c r="K639" t="inlineStr">
        <is>
          <t>Yes</t>
        </is>
      </c>
      <c r="L639" t="inlineStr"/>
      <c r="M639" t="inlineStr">
        <is>
          <t>https://fixturedownload.com/download/nba-2024-UTC.csv</t>
        </is>
      </c>
    </row>
    <row r="640">
      <c r="A640" t="n">
        <v>612</v>
      </c>
      <c r="B640" t="n">
        <v>13</v>
      </c>
      <c r="C640" t="inlineStr">
        <is>
          <t>23/01/2025 00:30</t>
        </is>
      </c>
      <c r="D640" t="inlineStr">
        <is>
          <t>State Farm Arena</t>
        </is>
      </c>
      <c r="E640" t="inlineStr">
        <is>
          <t>Atlanta Hawks</t>
        </is>
      </c>
      <c r="F640" t="inlineStr">
        <is>
          <t>Detroit Pistons</t>
        </is>
      </c>
      <c r="G640" t="n">
        <v>104</v>
      </c>
      <c r="H640" t="n">
        <v>114</v>
      </c>
      <c r="I640" t="inlineStr">
        <is>
          <t>Detroit Pistons</t>
        </is>
      </c>
      <c r="J640" t="inlineStr">
        <is>
          <t>Atlanta Hawks</t>
        </is>
      </c>
      <c r="K640" t="inlineStr">
        <is>
          <t>Yes</t>
        </is>
      </c>
      <c r="L640" t="inlineStr"/>
      <c r="M640" t="inlineStr">
        <is>
          <t>https://fixturedownload.com/download/nba-2024-UTC.csv</t>
        </is>
      </c>
    </row>
    <row r="641">
      <c r="A641" t="n">
        <v>613</v>
      </c>
      <c r="B641" t="n">
        <v>13</v>
      </c>
      <c r="C641" t="inlineStr">
        <is>
          <t>23/01/2025 00:30</t>
        </is>
      </c>
      <c r="D641" t="inlineStr">
        <is>
          <t>Barclays Center</t>
        </is>
      </c>
      <c r="E641" t="inlineStr">
        <is>
          <t>Brooklyn Nets</t>
        </is>
      </c>
      <c r="F641" t="inlineStr">
        <is>
          <t>Phoenix Suns</t>
        </is>
      </c>
      <c r="G641" t="n">
        <v>94</v>
      </c>
      <c r="H641" t="n">
        <v>108</v>
      </c>
      <c r="I641" t="inlineStr">
        <is>
          <t>Phoenix Suns</t>
        </is>
      </c>
      <c r="J641" t="inlineStr">
        <is>
          <t>Brooklyn Nets</t>
        </is>
      </c>
      <c r="K641" t="inlineStr">
        <is>
          <t>Yes</t>
        </is>
      </c>
      <c r="L641" t="inlineStr"/>
      <c r="M641" t="inlineStr">
        <is>
          <t>https://fixturedownload.com/download/nba-2024-UTC.csv</t>
        </is>
      </c>
    </row>
    <row r="642">
      <c r="A642" t="n">
        <v>614</v>
      </c>
      <c r="B642" t="n">
        <v>13</v>
      </c>
      <c r="C642" t="inlineStr">
        <is>
          <t>23/01/2025 00:30</t>
        </is>
      </c>
      <c r="D642" t="inlineStr">
        <is>
          <t>American Airlines Center</t>
        </is>
      </c>
      <c r="E642" t="inlineStr">
        <is>
          <t>Dallas Mavericks</t>
        </is>
      </c>
      <c r="F642" t="inlineStr">
        <is>
          <t>Minnesota Timberwolves</t>
        </is>
      </c>
      <c r="G642" t="n">
        <v>114</v>
      </c>
      <c r="H642" t="n">
        <v>115</v>
      </c>
      <c r="I642" t="inlineStr">
        <is>
          <t>Minnesota Timberwolves</t>
        </is>
      </c>
      <c r="J642" t="inlineStr">
        <is>
          <t>Dallas Mavericks</t>
        </is>
      </c>
      <c r="K642" t="inlineStr">
        <is>
          <t>Yes</t>
        </is>
      </c>
      <c r="L642" t="inlineStr"/>
      <c r="M642" t="inlineStr">
        <is>
          <t>https://fixturedownload.com/download/nba-2024-UTC.csv</t>
        </is>
      </c>
    </row>
    <row r="643">
      <c r="A643" t="n">
        <v>615</v>
      </c>
      <c r="B643" t="n">
        <v>13</v>
      </c>
      <c r="C643" t="inlineStr">
        <is>
          <t>23/01/2025 01:00</t>
        </is>
      </c>
      <c r="D643" t="inlineStr">
        <is>
          <t>Toyota Center</t>
        </is>
      </c>
      <c r="E643" t="inlineStr">
        <is>
          <t>Houston Rockets</t>
        </is>
      </c>
      <c r="F643" t="inlineStr">
        <is>
          <t>Cleveland Cavaliers</t>
        </is>
      </c>
      <c r="G643" t="n">
        <v>109</v>
      </c>
      <c r="H643" t="n">
        <v>108</v>
      </c>
      <c r="I643" t="inlineStr">
        <is>
          <t>Houston Rockets</t>
        </is>
      </c>
      <c r="J643" t="inlineStr">
        <is>
          <t>Cleveland Cavaliers</t>
        </is>
      </c>
      <c r="K643" t="inlineStr">
        <is>
          <t>Yes</t>
        </is>
      </c>
      <c r="L643" t="inlineStr"/>
      <c r="M643" t="inlineStr">
        <is>
          <t>https://fixturedownload.com/download/nba-2024-UTC.csv</t>
        </is>
      </c>
    </row>
    <row r="644">
      <c r="A644" t="n">
        <v>616</v>
      </c>
      <c r="B644" t="n">
        <v>13</v>
      </c>
      <c r="C644" t="inlineStr">
        <is>
          <t>23/01/2025 01:00</t>
        </is>
      </c>
      <c r="D644" t="inlineStr">
        <is>
          <t>FedExForum</t>
        </is>
      </c>
      <c r="E644" t="inlineStr">
        <is>
          <t>Memphis Grizzlies</t>
        </is>
      </c>
      <c r="F644" t="inlineStr">
        <is>
          <t>Charlotte Hornets</t>
        </is>
      </c>
      <c r="G644" t="n">
        <v>132</v>
      </c>
      <c r="H644" t="n">
        <v>120</v>
      </c>
      <c r="I644" t="inlineStr">
        <is>
          <t>Memphis Grizzlies</t>
        </is>
      </c>
      <c r="J644" t="inlineStr">
        <is>
          <t>Charlotte Hornets</t>
        </is>
      </c>
      <c r="K644" t="inlineStr">
        <is>
          <t>Yes</t>
        </is>
      </c>
      <c r="L644" t="inlineStr"/>
      <c r="M644" t="inlineStr">
        <is>
          <t>https://fixturedownload.com/download/nba-2024-UTC.csv</t>
        </is>
      </c>
    </row>
    <row r="645">
      <c r="A645" t="n">
        <v>618</v>
      </c>
      <c r="B645" t="n">
        <v>13</v>
      </c>
      <c r="C645" t="inlineStr">
        <is>
          <t>23/01/2025 01:00</t>
        </is>
      </c>
      <c r="D645" t="inlineStr">
        <is>
          <t>Paycom Center</t>
        </is>
      </c>
      <c r="E645" t="inlineStr">
        <is>
          <t>Oklahoma City Thunder</t>
        </is>
      </c>
      <c r="F645" t="inlineStr">
        <is>
          <t>Utah Jazz</t>
        </is>
      </c>
      <c r="G645" t="n">
        <v>123</v>
      </c>
      <c r="H645" t="n">
        <v>114</v>
      </c>
      <c r="I645" t="inlineStr">
        <is>
          <t>Oklahoma City Thunder</t>
        </is>
      </c>
      <c r="J645" t="inlineStr">
        <is>
          <t>Utah Jazz</t>
        </is>
      </c>
      <c r="K645" t="inlineStr">
        <is>
          <t>Yes</t>
        </is>
      </c>
      <c r="L645" t="inlineStr"/>
      <c r="M645" t="inlineStr">
        <is>
          <t>https://fixturedownload.com/download/nba-2024-UTC.csv</t>
        </is>
      </c>
    </row>
    <row r="646">
      <c r="A646" t="n">
        <v>619</v>
      </c>
      <c r="B646" t="n">
        <v>13</v>
      </c>
      <c r="C646" t="inlineStr">
        <is>
          <t>23/01/2025 03:00</t>
        </is>
      </c>
      <c r="D646" t="inlineStr">
        <is>
          <t>Golden 1 Center</t>
        </is>
      </c>
      <c r="E646" t="inlineStr">
        <is>
          <t>Sacramento Kings</t>
        </is>
      </c>
      <c r="F646" t="inlineStr">
        <is>
          <t>Golden State Warriors</t>
        </is>
      </c>
      <c r="G646" t="n">
        <v>123</v>
      </c>
      <c r="H646" t="n">
        <v>117</v>
      </c>
      <c r="I646" t="inlineStr">
        <is>
          <t>Sacramento Kings</t>
        </is>
      </c>
      <c r="J646" t="inlineStr">
        <is>
          <t>Golden State Warriors</t>
        </is>
      </c>
      <c r="K646" t="inlineStr">
        <is>
          <t>Yes</t>
        </is>
      </c>
      <c r="L646" t="inlineStr"/>
      <c r="M646" t="inlineStr">
        <is>
          <t>https://fixturedownload.com/download/nba-2024-UTC.csv</t>
        </is>
      </c>
    </row>
    <row r="647">
      <c r="A647" t="n">
        <v>620</v>
      </c>
      <c r="B647" t="n">
        <v>13</v>
      </c>
      <c r="C647" t="inlineStr">
        <is>
          <t>23/01/2025 03:30</t>
        </is>
      </c>
      <c r="D647" t="inlineStr">
        <is>
          <t>Intuit Dome</t>
        </is>
      </c>
      <c r="E647" t="inlineStr">
        <is>
          <t>LA Clippers</t>
        </is>
      </c>
      <c r="F647" t="inlineStr">
        <is>
          <t>Boston Celtics</t>
        </is>
      </c>
      <c r="G647" t="n">
        <v>113</v>
      </c>
      <c r="H647" t="n">
        <v>117</v>
      </c>
      <c r="I647" t="inlineStr">
        <is>
          <t>Boston Celtics</t>
        </is>
      </c>
      <c r="J647" t="inlineStr">
        <is>
          <t>LA Clippers</t>
        </is>
      </c>
      <c r="K647" t="inlineStr">
        <is>
          <t>Yes</t>
        </is>
      </c>
      <c r="L647" t="inlineStr"/>
      <c r="M647" t="inlineStr">
        <is>
          <t>https://fixturedownload.com/download/nba-2024-UTC.csv</t>
        </is>
      </c>
    </row>
    <row r="648">
      <c r="A648" t="n">
        <v>621</v>
      </c>
      <c r="B648" t="n">
        <v>13</v>
      </c>
      <c r="C648" t="inlineStr">
        <is>
          <t>23/01/2025 19:00</t>
        </is>
      </c>
      <c r="D648" t="inlineStr">
        <is>
          <t>Accor Arena</t>
        </is>
      </c>
      <c r="E648" t="inlineStr">
        <is>
          <t>Indiana Pacers</t>
        </is>
      </c>
      <c r="F648" t="inlineStr">
        <is>
          <t>San Antonio Spurs</t>
        </is>
      </c>
      <c r="G648" t="n">
        <v>110</v>
      </c>
      <c r="H648" t="n">
        <v>140</v>
      </c>
      <c r="I648" t="inlineStr">
        <is>
          <t>San Antonio Spurs</t>
        </is>
      </c>
      <c r="J648" t="inlineStr">
        <is>
          <t>Indiana Pacers</t>
        </is>
      </c>
      <c r="K648" t="inlineStr">
        <is>
          <t>Yes</t>
        </is>
      </c>
      <c r="L648" t="inlineStr"/>
      <c r="M648" t="inlineStr">
        <is>
          <t>https://fixturedownload.com/download/nba-2024-UTC.csv</t>
        </is>
      </c>
    </row>
    <row r="649">
      <c r="A649" t="n">
        <v>622</v>
      </c>
      <c r="B649" t="n">
        <v>13</v>
      </c>
      <c r="C649" t="inlineStr">
        <is>
          <t>24/01/2025 00:00</t>
        </is>
      </c>
      <c r="D649" t="inlineStr">
        <is>
          <t>Kia Center</t>
        </is>
      </c>
      <c r="E649" t="inlineStr">
        <is>
          <t>Orlando Magic</t>
        </is>
      </c>
      <c r="F649" t="inlineStr">
        <is>
          <t>Portland Trail Blazers</t>
        </is>
      </c>
      <c r="G649" t="n">
        <v>79</v>
      </c>
      <c r="H649" t="n">
        <v>101</v>
      </c>
      <c r="I649" t="inlineStr">
        <is>
          <t>Portland Trail Blazers</t>
        </is>
      </c>
      <c r="J649" t="inlineStr">
        <is>
          <t>Orlando Magic</t>
        </is>
      </c>
      <c r="K649" t="inlineStr">
        <is>
          <t>Yes</t>
        </is>
      </c>
      <c r="L649" t="inlineStr"/>
      <c r="M649" t="inlineStr">
        <is>
          <t>https://fixturedownload.com/download/nba-2024-UTC.csv</t>
        </is>
      </c>
    </row>
    <row r="650">
      <c r="A650" t="n">
        <v>623</v>
      </c>
      <c r="B650" t="n">
        <v>13</v>
      </c>
      <c r="C650" t="inlineStr">
        <is>
          <t>24/01/2025 00:30</t>
        </is>
      </c>
      <c r="D650" t="inlineStr">
        <is>
          <t>State Farm Arena</t>
        </is>
      </c>
      <c r="E650" t="inlineStr">
        <is>
          <t>Atlanta Hawks</t>
        </is>
      </c>
      <c r="F650" t="inlineStr">
        <is>
          <t>Toronto Raptors</t>
        </is>
      </c>
      <c r="G650" t="n">
        <v>119</v>
      </c>
      <c r="H650" t="n">
        <v>122</v>
      </c>
      <c r="I650" t="inlineStr">
        <is>
          <t>Toronto Raptors</t>
        </is>
      </c>
      <c r="J650" t="inlineStr">
        <is>
          <t>Atlanta Hawks</t>
        </is>
      </c>
      <c r="K650" t="inlineStr">
        <is>
          <t>Yes</t>
        </is>
      </c>
      <c r="L650" t="inlineStr"/>
      <c r="M650" t="inlineStr">
        <is>
          <t>https://fixturedownload.com/download/nba-2024-UTC.csv</t>
        </is>
      </c>
    </row>
    <row r="651">
      <c r="A651" t="n">
        <v>625</v>
      </c>
      <c r="B651" t="n">
        <v>13</v>
      </c>
      <c r="C651" t="inlineStr">
        <is>
          <t>24/01/2025 01:00</t>
        </is>
      </c>
      <c r="D651" t="inlineStr">
        <is>
          <t>Paycom Center</t>
        </is>
      </c>
      <c r="E651" t="inlineStr">
        <is>
          <t>Oklahoma City Thunder</t>
        </is>
      </c>
      <c r="F651" t="inlineStr">
        <is>
          <t>Dallas Mavericks</t>
        </is>
      </c>
      <c r="G651" t="n">
        <v>115</v>
      </c>
      <c r="H651" t="n">
        <v>121</v>
      </c>
      <c r="I651" t="inlineStr">
        <is>
          <t>Dallas Mavericks</t>
        </is>
      </c>
      <c r="J651" t="inlineStr">
        <is>
          <t>Oklahoma City Thunder</t>
        </is>
      </c>
      <c r="K651" t="inlineStr">
        <is>
          <t>Yes</t>
        </is>
      </c>
      <c r="L651" t="inlineStr"/>
      <c r="M651" t="inlineStr">
        <is>
          <t>https://fixturedownload.com/download/nba-2024-UTC.csv</t>
        </is>
      </c>
    </row>
    <row r="652">
      <c r="A652" t="n">
        <v>624</v>
      </c>
      <c r="B652" t="n">
        <v>13</v>
      </c>
      <c r="C652" t="inlineStr">
        <is>
          <t>24/01/2025 01:30</t>
        </is>
      </c>
      <c r="D652" t="inlineStr">
        <is>
          <t>Fiserv Forum</t>
        </is>
      </c>
      <c r="E652" t="inlineStr">
        <is>
          <t>Milwaukee Bucks</t>
        </is>
      </c>
      <c r="F652" t="inlineStr">
        <is>
          <t>Miami Heat</t>
        </is>
      </c>
      <c r="G652" t="n">
        <v>125</v>
      </c>
      <c r="H652" t="n">
        <v>96</v>
      </c>
      <c r="I652" t="inlineStr">
        <is>
          <t>Milwaukee Bucks</t>
        </is>
      </c>
      <c r="J652" t="inlineStr">
        <is>
          <t>Miami Heat</t>
        </is>
      </c>
      <c r="K652" t="inlineStr">
        <is>
          <t>Yes</t>
        </is>
      </c>
      <c r="L652" t="inlineStr"/>
      <c r="M652" t="inlineStr">
        <is>
          <t>https://fixturedownload.com/download/nba-2024-UTC.csv</t>
        </is>
      </c>
    </row>
    <row r="653">
      <c r="A653" t="n">
        <v>626</v>
      </c>
      <c r="B653" t="n">
        <v>13</v>
      </c>
      <c r="C653" t="inlineStr">
        <is>
          <t>24/01/2025 02:00</t>
        </is>
      </c>
      <c r="D653" t="inlineStr">
        <is>
          <t>Ball Arena</t>
        </is>
      </c>
      <c r="E653" t="inlineStr">
        <is>
          <t>Denver Nuggets</t>
        </is>
      </c>
      <c r="F653" t="inlineStr">
        <is>
          <t>Sacramento Kings</t>
        </is>
      </c>
      <c r="G653" t="n">
        <v>132</v>
      </c>
      <c r="H653" t="n">
        <v>123</v>
      </c>
      <c r="I653" t="inlineStr">
        <is>
          <t>Denver Nuggets</t>
        </is>
      </c>
      <c r="J653" t="inlineStr">
        <is>
          <t>Sacramento Kings</t>
        </is>
      </c>
      <c r="K653" t="inlineStr">
        <is>
          <t>Yes</t>
        </is>
      </c>
      <c r="L653" t="inlineStr"/>
      <c r="M653" t="inlineStr">
        <is>
          <t>https://fixturedownload.com/download/nba-2024-UTC.csv</t>
        </is>
      </c>
    </row>
    <row r="654">
      <c r="A654" t="n">
        <v>628</v>
      </c>
      <c r="B654" t="n">
        <v>13</v>
      </c>
      <c r="C654" t="inlineStr">
        <is>
          <t>24/01/2025 03:00</t>
        </is>
      </c>
      <c r="D654" t="inlineStr">
        <is>
          <t>Chase Center</t>
        </is>
      </c>
      <c r="E654" t="inlineStr">
        <is>
          <t>Golden State Warriors</t>
        </is>
      </c>
      <c r="F654" t="inlineStr">
        <is>
          <t>Chicago Bulls</t>
        </is>
      </c>
      <c r="G654" t="n">
        <v>131</v>
      </c>
      <c r="H654" t="n">
        <v>106</v>
      </c>
      <c r="I654" t="inlineStr">
        <is>
          <t>Golden State Warriors</t>
        </is>
      </c>
      <c r="J654" t="inlineStr">
        <is>
          <t>Chicago Bulls</t>
        </is>
      </c>
      <c r="K654" t="inlineStr">
        <is>
          <t>Yes</t>
        </is>
      </c>
      <c r="L654" t="inlineStr"/>
      <c r="M654" t="inlineStr">
        <is>
          <t>https://fixturedownload.com/download/nba-2024-UTC.csv</t>
        </is>
      </c>
    </row>
    <row r="655">
      <c r="A655" t="n">
        <v>629</v>
      </c>
      <c r="B655" t="n">
        <v>13</v>
      </c>
      <c r="C655" t="inlineStr">
        <is>
          <t>24/01/2025 03:00</t>
        </is>
      </c>
      <c r="D655" t="inlineStr">
        <is>
          <t>Crypto.com Arena</t>
        </is>
      </c>
      <c r="E655" t="inlineStr">
        <is>
          <t>Los Angeles Lakers</t>
        </is>
      </c>
      <c r="F655" t="inlineStr">
        <is>
          <t>Boston Celtics</t>
        </is>
      </c>
      <c r="G655" t="n">
        <v>117</v>
      </c>
      <c r="H655" t="n">
        <v>96</v>
      </c>
      <c r="I655" t="inlineStr">
        <is>
          <t>Los Angeles Lakers</t>
        </is>
      </c>
      <c r="J655" t="inlineStr">
        <is>
          <t>Boston Celtics</t>
        </is>
      </c>
      <c r="K655" t="inlineStr">
        <is>
          <t>Yes</t>
        </is>
      </c>
      <c r="L655" t="inlineStr"/>
      <c r="M655" t="inlineStr">
        <is>
          <t>https://fixturedownload.com/download/nba-2024-UTC.csv</t>
        </is>
      </c>
    </row>
    <row r="656">
      <c r="A656" t="n">
        <v>983</v>
      </c>
      <c r="B656" t="n">
        <v>13</v>
      </c>
      <c r="C656" t="inlineStr">
        <is>
          <t>24/01/2025 03:30</t>
        </is>
      </c>
      <c r="D656" t="inlineStr">
        <is>
          <t>Intuit Dome</t>
        </is>
      </c>
      <c r="E656" t="inlineStr">
        <is>
          <t>LA Clippers</t>
        </is>
      </c>
      <c r="F656" t="inlineStr">
        <is>
          <t>Washington Wizards</t>
        </is>
      </c>
      <c r="G656" t="n">
        <v>110</v>
      </c>
      <c r="H656" t="n">
        <v>93</v>
      </c>
      <c r="I656" t="inlineStr">
        <is>
          <t>LA Clippers</t>
        </is>
      </c>
      <c r="J656" t="inlineStr">
        <is>
          <t>Washington Wizards</t>
        </is>
      </c>
      <c r="K656" t="inlineStr">
        <is>
          <t>Yes</t>
        </is>
      </c>
      <c r="L656" t="inlineStr"/>
      <c r="M656" t="inlineStr">
        <is>
          <t>https://fixturedownload.com/download/nba-2024-UTC.csv</t>
        </is>
      </c>
    </row>
    <row r="657">
      <c r="A657" t="n">
        <v>630</v>
      </c>
      <c r="B657" t="n">
        <v>13</v>
      </c>
      <c r="C657" t="inlineStr">
        <is>
          <t>25/01/2025 00:00</t>
        </is>
      </c>
      <c r="D657" t="inlineStr">
        <is>
          <t>Spectrum Center</t>
        </is>
      </c>
      <c r="E657" t="inlineStr">
        <is>
          <t>Charlotte Hornets</t>
        </is>
      </c>
      <c r="F657" t="inlineStr">
        <is>
          <t>Portland Trail Blazers</t>
        </is>
      </c>
      <c r="G657" t="n">
        <v>97</v>
      </c>
      <c r="H657" t="n">
        <v>102</v>
      </c>
      <c r="I657" t="inlineStr">
        <is>
          <t>Portland Trail Blazers</t>
        </is>
      </c>
      <c r="J657" t="inlineStr">
        <is>
          <t>Charlotte Hornets</t>
        </is>
      </c>
      <c r="K657" t="inlineStr">
        <is>
          <t>Yes</t>
        </is>
      </c>
      <c r="L657" t="inlineStr"/>
      <c r="M657" t="inlineStr">
        <is>
          <t>https://fixturedownload.com/download/nba-2024-UTC.csv</t>
        </is>
      </c>
    </row>
    <row r="658">
      <c r="A658" t="n">
        <v>631</v>
      </c>
      <c r="B658" t="n">
        <v>13</v>
      </c>
      <c r="C658" t="inlineStr">
        <is>
          <t>25/01/2025 00:00</t>
        </is>
      </c>
      <c r="D658" t="inlineStr">
        <is>
          <t>Wells Fargo Center</t>
        </is>
      </c>
      <c r="E658" t="inlineStr">
        <is>
          <t>Philadelphia 76ers</t>
        </is>
      </c>
      <c r="F658" t="inlineStr">
        <is>
          <t>Cleveland Cavaliers</t>
        </is>
      </c>
      <c r="G658" t="n">
        <v>132</v>
      </c>
      <c r="H658" t="n">
        <v>129</v>
      </c>
      <c r="I658" t="inlineStr">
        <is>
          <t>Philadelphia 76ers</t>
        </is>
      </c>
      <c r="J658" t="inlineStr">
        <is>
          <t>Cleveland Cavaliers</t>
        </is>
      </c>
      <c r="K658" t="inlineStr">
        <is>
          <t>Yes</t>
        </is>
      </c>
      <c r="L658" t="inlineStr"/>
      <c r="M658" t="inlineStr">
        <is>
          <t>https://fixturedownload.com/download/nba-2024-UTC.csv</t>
        </is>
      </c>
    </row>
    <row r="659">
      <c r="A659" t="n">
        <v>632</v>
      </c>
      <c r="B659" t="n">
        <v>13</v>
      </c>
      <c r="C659" t="inlineStr">
        <is>
          <t>25/01/2025 01:00</t>
        </is>
      </c>
      <c r="D659" t="inlineStr">
        <is>
          <t>FedExForum</t>
        </is>
      </c>
      <c r="E659" t="inlineStr">
        <is>
          <t>Memphis Grizzlies</t>
        </is>
      </c>
      <c r="F659" t="inlineStr">
        <is>
          <t>New Orleans Pelicans</t>
        </is>
      </c>
      <c r="G659" t="n">
        <v>139</v>
      </c>
      <c r="H659" t="n">
        <v>126</v>
      </c>
      <c r="I659" t="inlineStr">
        <is>
          <t>Memphis Grizzlies</t>
        </is>
      </c>
      <c r="J659" t="inlineStr">
        <is>
          <t>New Orleans Pelicans</t>
        </is>
      </c>
      <c r="K659" t="inlineStr">
        <is>
          <t>Yes</t>
        </is>
      </c>
      <c r="L659" t="inlineStr"/>
      <c r="M659" t="inlineStr">
        <is>
          <t>https://fixturedownload.com/download/nba-2024-UTC.csv</t>
        </is>
      </c>
    </row>
    <row r="660">
      <c r="A660" t="n">
        <v>633</v>
      </c>
      <c r="B660" t="n">
        <v>13</v>
      </c>
      <c r="C660" t="inlineStr">
        <is>
          <t>25/01/2025 17:00</t>
        </is>
      </c>
      <c r="D660" t="inlineStr">
        <is>
          <t>Accor Arena</t>
        </is>
      </c>
      <c r="E660" t="inlineStr">
        <is>
          <t>San Antonio Spurs</t>
        </is>
      </c>
      <c r="F660" t="inlineStr">
        <is>
          <t>Indiana Pacers</t>
        </is>
      </c>
      <c r="G660" t="n">
        <v>98</v>
      </c>
      <c r="H660" t="n">
        <v>136</v>
      </c>
      <c r="I660" t="inlineStr">
        <is>
          <t>Indiana Pacers</t>
        </is>
      </c>
      <c r="J660" t="inlineStr">
        <is>
          <t>San Antonio Spurs</t>
        </is>
      </c>
      <c r="K660" t="inlineStr">
        <is>
          <t>Yes</t>
        </is>
      </c>
      <c r="L660" t="inlineStr"/>
      <c r="M660" t="inlineStr">
        <is>
          <t>https://fixturedownload.com/download/nba-2024-UTC.csv</t>
        </is>
      </c>
    </row>
    <row r="661">
      <c r="A661" t="n">
        <v>634</v>
      </c>
      <c r="B661" t="n">
        <v>13</v>
      </c>
      <c r="C661" t="inlineStr">
        <is>
          <t>25/01/2025 20:00</t>
        </is>
      </c>
      <c r="D661" t="inlineStr">
        <is>
          <t>Target Center</t>
        </is>
      </c>
      <c r="E661" t="inlineStr">
        <is>
          <t>Minnesota Timberwolves</t>
        </is>
      </c>
      <c r="F661" t="inlineStr">
        <is>
          <t>Denver Nuggets</t>
        </is>
      </c>
      <c r="G661" t="n">
        <v>133</v>
      </c>
      <c r="H661" t="n">
        <v>104</v>
      </c>
      <c r="I661" t="inlineStr">
        <is>
          <t>Minnesota Timberwolves</t>
        </is>
      </c>
      <c r="J661" t="inlineStr">
        <is>
          <t>Denver Nuggets</t>
        </is>
      </c>
      <c r="K661" t="inlineStr">
        <is>
          <t>Yes</t>
        </is>
      </c>
      <c r="L661" t="inlineStr"/>
      <c r="M661" t="inlineStr">
        <is>
          <t>https://fixturedownload.com/download/nba-2024-UTC.csv</t>
        </is>
      </c>
    </row>
    <row r="662">
      <c r="A662" t="n">
        <v>635</v>
      </c>
      <c r="B662" t="n">
        <v>13</v>
      </c>
      <c r="C662" t="inlineStr">
        <is>
          <t>25/01/2025 22:30</t>
        </is>
      </c>
      <c r="D662" t="inlineStr">
        <is>
          <t>American Airlines Center</t>
        </is>
      </c>
      <c r="E662" t="inlineStr">
        <is>
          <t>Dallas Mavericks</t>
        </is>
      </c>
      <c r="F662" t="inlineStr">
        <is>
          <t>Boston Celtics</t>
        </is>
      </c>
      <c r="G662" t="n">
        <v>107</v>
      </c>
      <c r="H662" t="n">
        <v>122</v>
      </c>
      <c r="I662" t="inlineStr">
        <is>
          <t>Boston Celtics</t>
        </is>
      </c>
      <c r="J662" t="inlineStr">
        <is>
          <t>Dallas Mavericks</t>
        </is>
      </c>
      <c r="K662" t="inlineStr">
        <is>
          <t>Yes</t>
        </is>
      </c>
      <c r="L662" t="inlineStr"/>
      <c r="M662" t="inlineStr">
        <is>
          <t>https://fixturedownload.com/download/nba-2024-UTC.csv</t>
        </is>
      </c>
    </row>
    <row r="663">
      <c r="A663" t="n">
        <v>636</v>
      </c>
      <c r="B663" t="n">
        <v>13</v>
      </c>
      <c r="C663" t="inlineStr">
        <is>
          <t>25/01/2025 23:00</t>
        </is>
      </c>
      <c r="D663" t="inlineStr">
        <is>
          <t>Barclays Center</t>
        </is>
      </c>
      <c r="E663" t="inlineStr">
        <is>
          <t>Brooklyn Nets</t>
        </is>
      </c>
      <c r="F663" t="inlineStr">
        <is>
          <t>Miami Heat</t>
        </is>
      </c>
      <c r="G663" t="n">
        <v>97</v>
      </c>
      <c r="H663" t="n">
        <v>106</v>
      </c>
      <c r="I663" t="inlineStr">
        <is>
          <t>Miami Heat</t>
        </is>
      </c>
      <c r="J663" t="inlineStr">
        <is>
          <t>Brooklyn Nets</t>
        </is>
      </c>
      <c r="K663" t="inlineStr">
        <is>
          <t>Yes</t>
        </is>
      </c>
      <c r="L663" t="inlineStr"/>
      <c r="M663" t="inlineStr">
        <is>
          <t>https://fixturedownload.com/download/nba-2024-UTC.csv</t>
        </is>
      </c>
    </row>
    <row r="664">
      <c r="A664" t="n">
        <v>637</v>
      </c>
      <c r="B664" t="n">
        <v>13</v>
      </c>
      <c r="C664" t="inlineStr">
        <is>
          <t>26/01/2025 00:00</t>
        </is>
      </c>
      <c r="D664" t="inlineStr">
        <is>
          <t>Spectrum Center</t>
        </is>
      </c>
      <c r="E664" t="inlineStr">
        <is>
          <t>Charlotte Hornets</t>
        </is>
      </c>
      <c r="F664" t="inlineStr">
        <is>
          <t>New Orleans Pelicans</t>
        </is>
      </c>
      <c r="G664" t="n">
        <v>123</v>
      </c>
      <c r="H664" t="n">
        <v>92</v>
      </c>
      <c r="I664" t="inlineStr">
        <is>
          <t>Charlotte Hornets</t>
        </is>
      </c>
      <c r="J664" t="inlineStr">
        <is>
          <t>New Orleans Pelicans</t>
        </is>
      </c>
      <c r="K664" t="inlineStr">
        <is>
          <t>Yes</t>
        </is>
      </c>
      <c r="L664" t="inlineStr"/>
      <c r="M664" t="inlineStr">
        <is>
          <t>https://fixturedownload.com/download/nba-2024-UTC.csv</t>
        </is>
      </c>
    </row>
    <row r="665">
      <c r="A665" t="n">
        <v>638</v>
      </c>
      <c r="B665" t="n">
        <v>13</v>
      </c>
      <c r="C665" t="inlineStr">
        <is>
          <t>26/01/2025 00:00</t>
        </is>
      </c>
      <c r="D665" t="inlineStr">
        <is>
          <t>Kia Center</t>
        </is>
      </c>
      <c r="E665" t="inlineStr">
        <is>
          <t>Orlando Magic</t>
        </is>
      </c>
      <c r="F665" t="inlineStr">
        <is>
          <t>Detroit Pistons</t>
        </is>
      </c>
      <c r="G665" t="n">
        <v>121</v>
      </c>
      <c r="H665" t="n">
        <v>113</v>
      </c>
      <c r="I665" t="inlineStr">
        <is>
          <t>Orlando Magic</t>
        </is>
      </c>
      <c r="J665" t="inlineStr">
        <is>
          <t>Detroit Pistons</t>
        </is>
      </c>
      <c r="K665" t="inlineStr">
        <is>
          <t>Yes</t>
        </is>
      </c>
      <c r="L665" t="inlineStr"/>
      <c r="M665" t="inlineStr">
        <is>
          <t>https://fixturedownload.com/download/nba-2024-UTC.csv</t>
        </is>
      </c>
    </row>
    <row r="666">
      <c r="A666" t="n">
        <v>639</v>
      </c>
      <c r="B666" t="n">
        <v>13</v>
      </c>
      <c r="C666" t="inlineStr">
        <is>
          <t>26/01/2025 00:30</t>
        </is>
      </c>
      <c r="D666" t="inlineStr">
        <is>
          <t>State Farm Arena</t>
        </is>
      </c>
      <c r="E666" t="inlineStr">
        <is>
          <t>Atlanta Hawks</t>
        </is>
      </c>
      <c r="F666" t="inlineStr">
        <is>
          <t>Toronto Raptors</t>
        </is>
      </c>
      <c r="G666" t="n">
        <v>94</v>
      </c>
      <c r="H666" t="n">
        <v>117</v>
      </c>
      <c r="I666" t="inlineStr">
        <is>
          <t>Toronto Raptors</t>
        </is>
      </c>
      <c r="J666" t="inlineStr">
        <is>
          <t>Atlanta Hawks</t>
        </is>
      </c>
      <c r="K666" t="inlineStr">
        <is>
          <t>Yes</t>
        </is>
      </c>
      <c r="L666" t="inlineStr"/>
      <c r="M666" t="inlineStr">
        <is>
          <t>https://fixturedownload.com/download/nba-2024-UTC.csv</t>
        </is>
      </c>
    </row>
    <row r="667">
      <c r="A667" t="n">
        <v>640</v>
      </c>
      <c r="B667" t="n">
        <v>13</v>
      </c>
      <c r="C667" t="inlineStr">
        <is>
          <t>26/01/2025 00:30</t>
        </is>
      </c>
      <c r="D667" t="inlineStr">
        <is>
          <t>Rocket Arena</t>
        </is>
      </c>
      <c r="E667" t="inlineStr">
        <is>
          <t>Cleveland Cavaliers</t>
        </is>
      </c>
      <c r="F667" t="inlineStr">
        <is>
          <t>Houston Rockets</t>
        </is>
      </c>
      <c r="G667" t="n">
        <v>131</v>
      </c>
      <c r="H667" t="n">
        <v>135</v>
      </c>
      <c r="I667" t="inlineStr">
        <is>
          <t>Houston Rockets</t>
        </is>
      </c>
      <c r="J667" t="inlineStr">
        <is>
          <t>Cleveland Cavaliers</t>
        </is>
      </c>
      <c r="K667" t="inlineStr">
        <is>
          <t>Yes</t>
        </is>
      </c>
      <c r="L667" t="inlineStr"/>
      <c r="M667" t="inlineStr">
        <is>
          <t>https://fixturedownload.com/download/nba-2024-UTC.csv</t>
        </is>
      </c>
    </row>
    <row r="668">
      <c r="A668" t="n">
        <v>641</v>
      </c>
      <c r="B668" t="n">
        <v>13</v>
      </c>
      <c r="C668" t="inlineStr">
        <is>
          <t>26/01/2025 00:30</t>
        </is>
      </c>
      <c r="D668" t="inlineStr">
        <is>
          <t>Madison Square Garden</t>
        </is>
      </c>
      <c r="E668" t="inlineStr">
        <is>
          <t>New York Knicks</t>
        </is>
      </c>
      <c r="F668" t="inlineStr">
        <is>
          <t>Sacramento Kings</t>
        </is>
      </c>
      <c r="G668" t="n">
        <v>143</v>
      </c>
      <c r="H668" t="n">
        <v>120</v>
      </c>
      <c r="I668" t="inlineStr">
        <is>
          <t>New York Knicks</t>
        </is>
      </c>
      <c r="J668" t="inlineStr">
        <is>
          <t>Sacramento Kings</t>
        </is>
      </c>
      <c r="K668" t="inlineStr">
        <is>
          <t>Yes</t>
        </is>
      </c>
      <c r="L668" t="inlineStr"/>
      <c r="M668" t="inlineStr">
        <is>
          <t>https://fixturedownload.com/download/nba-2024-UTC.csv</t>
        </is>
      </c>
    </row>
    <row r="669">
      <c r="A669" t="n">
        <v>642</v>
      </c>
      <c r="B669" t="n">
        <v>13</v>
      </c>
      <c r="C669" t="inlineStr">
        <is>
          <t>26/01/2025 01:00</t>
        </is>
      </c>
      <c r="D669" t="inlineStr">
        <is>
          <t>United Center</t>
        </is>
      </c>
      <c r="E669" t="inlineStr">
        <is>
          <t>Chicago Bulls</t>
        </is>
      </c>
      <c r="F669" t="inlineStr">
        <is>
          <t>Philadelphia 76ers</t>
        </is>
      </c>
      <c r="G669" t="n">
        <v>97</v>
      </c>
      <c r="H669" t="n">
        <v>109</v>
      </c>
      <c r="I669" t="inlineStr">
        <is>
          <t>Philadelphia 76ers</t>
        </is>
      </c>
      <c r="J669" t="inlineStr">
        <is>
          <t>Chicago Bulls</t>
        </is>
      </c>
      <c r="K669" t="inlineStr">
        <is>
          <t>Yes</t>
        </is>
      </c>
      <c r="L669" t="inlineStr"/>
      <c r="M669" t="inlineStr">
        <is>
          <t>https://fixturedownload.com/download/nba-2024-UTC.csv</t>
        </is>
      </c>
    </row>
    <row r="670">
      <c r="A670" t="n">
        <v>643</v>
      </c>
      <c r="B670" t="n">
        <v>13</v>
      </c>
      <c r="C670" t="inlineStr">
        <is>
          <t>26/01/2025 01:00</t>
        </is>
      </c>
      <c r="D670" t="inlineStr">
        <is>
          <t>FedExForum</t>
        </is>
      </c>
      <c r="E670" t="inlineStr">
        <is>
          <t>Memphis Grizzlies</t>
        </is>
      </c>
      <c r="F670" t="inlineStr">
        <is>
          <t>Utah Jazz</t>
        </is>
      </c>
      <c r="G670" t="n">
        <v>123</v>
      </c>
      <c r="H670" t="n">
        <v>103</v>
      </c>
      <c r="I670" t="inlineStr">
        <is>
          <t>Memphis Grizzlies</t>
        </is>
      </c>
      <c r="J670" t="inlineStr">
        <is>
          <t>Utah Jazz</t>
        </is>
      </c>
      <c r="K670" t="inlineStr">
        <is>
          <t>Yes</t>
        </is>
      </c>
      <c r="L670" t="inlineStr"/>
      <c r="M670" t="inlineStr">
        <is>
          <t>https://fixturedownload.com/download/nba-2024-UTC.csv</t>
        </is>
      </c>
    </row>
    <row r="671">
      <c r="A671" t="n">
        <v>644</v>
      </c>
      <c r="B671" t="n">
        <v>13</v>
      </c>
      <c r="C671" t="inlineStr">
        <is>
          <t>26/01/2025 01:30</t>
        </is>
      </c>
      <c r="D671" t="inlineStr">
        <is>
          <t>Chase Center</t>
        </is>
      </c>
      <c r="E671" t="inlineStr">
        <is>
          <t>Golden State Warriors</t>
        </is>
      </c>
      <c r="F671" t="inlineStr">
        <is>
          <t>Los Angeles Lakers</t>
        </is>
      </c>
      <c r="G671" t="n">
        <v>108</v>
      </c>
      <c r="H671" t="n">
        <v>118</v>
      </c>
      <c r="I671" t="inlineStr">
        <is>
          <t>Los Angeles Lakers</t>
        </is>
      </c>
      <c r="J671" t="inlineStr">
        <is>
          <t>Golden State Warriors</t>
        </is>
      </c>
      <c r="K671" t="inlineStr">
        <is>
          <t>Yes</t>
        </is>
      </c>
      <c r="L671" t="inlineStr"/>
      <c r="M671" t="inlineStr">
        <is>
          <t>https://fixturedownload.com/download/nba-2024-UTC.csv</t>
        </is>
      </c>
    </row>
    <row r="672">
      <c r="A672" t="n">
        <v>645</v>
      </c>
      <c r="B672" t="n">
        <v>13</v>
      </c>
      <c r="C672" t="inlineStr">
        <is>
          <t>26/01/2025 02:00</t>
        </is>
      </c>
      <c r="D672" t="inlineStr">
        <is>
          <t>PHX Arena</t>
        </is>
      </c>
      <c r="E672" t="inlineStr">
        <is>
          <t>Phoenix Suns</t>
        </is>
      </c>
      <c r="F672" t="inlineStr">
        <is>
          <t>Washington Wizards</t>
        </is>
      </c>
      <c r="G672" t="n">
        <v>119</v>
      </c>
      <c r="H672" t="n">
        <v>109</v>
      </c>
      <c r="I672" t="inlineStr">
        <is>
          <t>Phoenix Suns</t>
        </is>
      </c>
      <c r="J672" t="inlineStr">
        <is>
          <t>Washington Wizards</t>
        </is>
      </c>
      <c r="K672" t="inlineStr">
        <is>
          <t>Yes</t>
        </is>
      </c>
      <c r="L672" t="inlineStr"/>
      <c r="M672" t="inlineStr">
        <is>
          <t>https://fixturedownload.com/download/nba-2024-UTC.csv</t>
        </is>
      </c>
    </row>
    <row r="673">
      <c r="A673" t="n">
        <v>646</v>
      </c>
      <c r="B673" t="n">
        <v>13</v>
      </c>
      <c r="C673" t="inlineStr">
        <is>
          <t>26/01/2025 03:30</t>
        </is>
      </c>
      <c r="D673" t="inlineStr">
        <is>
          <t>Intuit Dome</t>
        </is>
      </c>
      <c r="E673" t="inlineStr">
        <is>
          <t>LA Clippers</t>
        </is>
      </c>
      <c r="F673" t="inlineStr">
        <is>
          <t>Milwaukee Bucks</t>
        </is>
      </c>
      <c r="G673" t="n">
        <v>127</v>
      </c>
      <c r="H673" t="n">
        <v>117</v>
      </c>
      <c r="I673" t="inlineStr">
        <is>
          <t>LA Clippers</t>
        </is>
      </c>
      <c r="J673" t="inlineStr">
        <is>
          <t>Milwaukee Bucks</t>
        </is>
      </c>
      <c r="K673" t="inlineStr">
        <is>
          <t>Yes</t>
        </is>
      </c>
      <c r="L673" t="inlineStr"/>
      <c r="M673" t="inlineStr">
        <is>
          <t>https://fixturedownload.com/download/nba-2024-UTC.csv</t>
        </is>
      </c>
    </row>
    <row r="674">
      <c r="A674" t="n">
        <v>647</v>
      </c>
      <c r="B674" t="n">
        <v>13</v>
      </c>
      <c r="C674" t="inlineStr">
        <is>
          <t>26/01/2025 23:00</t>
        </is>
      </c>
      <c r="D674" t="inlineStr">
        <is>
          <t>Moda Center</t>
        </is>
      </c>
      <c r="E674" t="inlineStr">
        <is>
          <t>Portland Trail Blazers</t>
        </is>
      </c>
      <c r="F674" t="inlineStr">
        <is>
          <t>Oklahoma City Thunder</t>
        </is>
      </c>
      <c r="G674" t="n">
        <v>108</v>
      </c>
      <c r="H674" t="n">
        <v>118</v>
      </c>
      <c r="I674" t="inlineStr">
        <is>
          <t>Oklahoma City Thunder</t>
        </is>
      </c>
      <c r="J674" t="inlineStr">
        <is>
          <t>Portland Trail Blazers</t>
        </is>
      </c>
      <c r="K674" t="inlineStr">
        <is>
          <t>Yes</t>
        </is>
      </c>
      <c r="L674" t="inlineStr"/>
      <c r="M674" t="inlineStr">
        <is>
          <t>https://fixturedownload.com/download/nba-2024-UTC.csv</t>
        </is>
      </c>
    </row>
    <row r="675">
      <c r="A675" t="n">
        <v>648</v>
      </c>
      <c r="B675" t="n">
        <v>13</v>
      </c>
      <c r="C675" t="inlineStr">
        <is>
          <t>28/01/2025 00:00</t>
        </is>
      </c>
      <c r="D675" t="inlineStr">
        <is>
          <t>Spectrum Center</t>
        </is>
      </c>
      <c r="E675" t="inlineStr">
        <is>
          <t>Charlotte Hornets</t>
        </is>
      </c>
      <c r="F675" t="inlineStr">
        <is>
          <t>Los Angeles Lakers</t>
        </is>
      </c>
      <c r="G675" t="n">
        <v>107</v>
      </c>
      <c r="H675" t="n">
        <v>112</v>
      </c>
      <c r="I675" t="inlineStr">
        <is>
          <t>Los Angeles Lakers</t>
        </is>
      </c>
      <c r="J675" t="inlineStr">
        <is>
          <t>Charlotte Hornets</t>
        </is>
      </c>
      <c r="K675" t="inlineStr">
        <is>
          <t>Yes</t>
        </is>
      </c>
      <c r="L675" t="inlineStr"/>
      <c r="M675" t="inlineStr">
        <is>
          <t>https://fixturedownload.com/download/nba-2024-UTC.csv</t>
        </is>
      </c>
    </row>
    <row r="676">
      <c r="A676" t="n">
        <v>649</v>
      </c>
      <c r="B676" t="n">
        <v>13</v>
      </c>
      <c r="C676" t="inlineStr">
        <is>
          <t>28/01/2025 00:00</t>
        </is>
      </c>
      <c r="D676" t="inlineStr">
        <is>
          <t>Rocket Arena</t>
        </is>
      </c>
      <c r="E676" t="inlineStr">
        <is>
          <t>Cleveland Cavaliers</t>
        </is>
      </c>
      <c r="F676" t="inlineStr">
        <is>
          <t>Detroit Pistons</t>
        </is>
      </c>
      <c r="G676" t="n">
        <v>110</v>
      </c>
      <c r="H676" t="n">
        <v>91</v>
      </c>
      <c r="I676" t="inlineStr">
        <is>
          <t>Cleveland Cavaliers</t>
        </is>
      </c>
      <c r="J676" t="inlineStr">
        <is>
          <t>Detroit Pistons</t>
        </is>
      </c>
      <c r="K676" t="inlineStr">
        <is>
          <t>Yes</t>
        </is>
      </c>
      <c r="L676" t="inlineStr"/>
      <c r="M676" t="inlineStr">
        <is>
          <t>https://fixturedownload.com/download/nba-2024-UTC.csv</t>
        </is>
      </c>
    </row>
    <row r="677">
      <c r="A677" t="n">
        <v>650</v>
      </c>
      <c r="B677" t="n">
        <v>13</v>
      </c>
      <c r="C677" t="inlineStr">
        <is>
          <t>28/01/2025 00:30</t>
        </is>
      </c>
      <c r="D677" t="inlineStr">
        <is>
          <t>TD Garden</t>
        </is>
      </c>
      <c r="E677" t="inlineStr">
        <is>
          <t>Boston Celtics</t>
        </is>
      </c>
      <c r="F677" t="inlineStr">
        <is>
          <t>Houston Rockets</t>
        </is>
      </c>
      <c r="G677" t="n">
        <v>112</v>
      </c>
      <c r="H677" t="n">
        <v>114</v>
      </c>
      <c r="I677" t="inlineStr">
        <is>
          <t>Houston Rockets</t>
        </is>
      </c>
      <c r="J677" t="inlineStr">
        <is>
          <t>Boston Celtics</t>
        </is>
      </c>
      <c r="K677" t="inlineStr">
        <is>
          <t>Yes</t>
        </is>
      </c>
      <c r="L677" t="inlineStr"/>
      <c r="M677" t="inlineStr">
        <is>
          <t>https://fixturedownload.com/download/nba-2024-UTC.csv</t>
        </is>
      </c>
    </row>
    <row r="678">
      <c r="A678" t="n">
        <v>651</v>
      </c>
      <c r="B678" t="n">
        <v>13</v>
      </c>
      <c r="C678" t="inlineStr">
        <is>
          <t>28/01/2025 00:30</t>
        </is>
      </c>
      <c r="D678" t="inlineStr">
        <is>
          <t>Barclays Center</t>
        </is>
      </c>
      <c r="E678" t="inlineStr">
        <is>
          <t>Brooklyn Nets</t>
        </is>
      </c>
      <c r="F678" t="inlineStr">
        <is>
          <t>Sacramento Kings</t>
        </is>
      </c>
      <c r="G678" t="n">
        <v>96</v>
      </c>
      <c r="H678" t="n">
        <v>110</v>
      </c>
      <c r="I678" t="inlineStr">
        <is>
          <t>Sacramento Kings</t>
        </is>
      </c>
      <c r="J678" t="inlineStr">
        <is>
          <t>Brooklyn Nets</t>
        </is>
      </c>
      <c r="K678" t="inlineStr">
        <is>
          <t>Yes</t>
        </is>
      </c>
      <c r="L678" t="inlineStr"/>
      <c r="M678" t="inlineStr">
        <is>
          <t>https://fixturedownload.com/download/nba-2024-UTC.csv</t>
        </is>
      </c>
    </row>
    <row r="679">
      <c r="A679" t="n">
        <v>652</v>
      </c>
      <c r="B679" t="n">
        <v>13</v>
      </c>
      <c r="C679" t="inlineStr">
        <is>
          <t>28/01/2025 00:30</t>
        </is>
      </c>
      <c r="D679" t="inlineStr">
        <is>
          <t>Kaseya Center</t>
        </is>
      </c>
      <c r="E679" t="inlineStr">
        <is>
          <t>Miami Heat</t>
        </is>
      </c>
      <c r="F679" t="inlineStr">
        <is>
          <t>Orlando Magic</t>
        </is>
      </c>
      <c r="G679" t="n">
        <v>125</v>
      </c>
      <c r="H679" t="n">
        <v>119</v>
      </c>
      <c r="I679" t="inlineStr">
        <is>
          <t>Miami Heat</t>
        </is>
      </c>
      <c r="J679" t="inlineStr">
        <is>
          <t>Orlando Magic</t>
        </is>
      </c>
      <c r="K679" t="inlineStr">
        <is>
          <t>Yes</t>
        </is>
      </c>
      <c r="L679" t="inlineStr"/>
      <c r="M679" t="inlineStr">
        <is>
          <t>https://fixturedownload.com/download/nba-2024-UTC.csv</t>
        </is>
      </c>
    </row>
    <row r="680">
      <c r="A680" t="n">
        <v>653</v>
      </c>
      <c r="B680" t="n">
        <v>13</v>
      </c>
      <c r="C680" t="inlineStr">
        <is>
          <t>28/01/2025 00:30</t>
        </is>
      </c>
      <c r="D680" t="inlineStr">
        <is>
          <t>Madison Square Garden</t>
        </is>
      </c>
      <c r="E680" t="inlineStr">
        <is>
          <t>New York Knicks</t>
        </is>
      </c>
      <c r="F680" t="inlineStr">
        <is>
          <t>Memphis Grizzlies</t>
        </is>
      </c>
      <c r="G680" t="n">
        <v>143</v>
      </c>
      <c r="H680" t="n">
        <v>106</v>
      </c>
      <c r="I680" t="inlineStr">
        <is>
          <t>New York Knicks</t>
        </is>
      </c>
      <c r="J680" t="inlineStr">
        <is>
          <t>Memphis Grizzlies</t>
        </is>
      </c>
      <c r="K680" t="inlineStr">
        <is>
          <t>Yes</t>
        </is>
      </c>
      <c r="L680" t="inlineStr"/>
      <c r="M680" t="inlineStr">
        <is>
          <t>https://fixturedownload.com/download/nba-2024-UTC.csv</t>
        </is>
      </c>
    </row>
    <row r="681">
      <c r="A681" t="n">
        <v>654</v>
      </c>
      <c r="B681" t="n">
        <v>13</v>
      </c>
      <c r="C681" t="inlineStr">
        <is>
          <t>28/01/2025 00:30</t>
        </is>
      </c>
      <c r="D681" t="inlineStr">
        <is>
          <t>Scotiabank Arena</t>
        </is>
      </c>
      <c r="E681" t="inlineStr">
        <is>
          <t>Toronto Raptors</t>
        </is>
      </c>
      <c r="F681" t="inlineStr">
        <is>
          <t>New Orleans Pelicans</t>
        </is>
      </c>
      <c r="G681" t="n">
        <v>113</v>
      </c>
      <c r="H681" t="n">
        <v>104</v>
      </c>
      <c r="I681" t="inlineStr">
        <is>
          <t>Toronto Raptors</t>
        </is>
      </c>
      <c r="J681" t="inlineStr">
        <is>
          <t>New Orleans Pelicans</t>
        </is>
      </c>
      <c r="K681" t="inlineStr">
        <is>
          <t>Yes</t>
        </is>
      </c>
      <c r="L681" t="inlineStr"/>
      <c r="M681" t="inlineStr">
        <is>
          <t>https://fixturedownload.com/download/nba-2024-UTC.csv</t>
        </is>
      </c>
    </row>
    <row r="682">
      <c r="A682" t="n">
        <v>655</v>
      </c>
      <c r="B682" t="n">
        <v>13</v>
      </c>
      <c r="C682" t="inlineStr">
        <is>
          <t>28/01/2025 01:00</t>
        </is>
      </c>
      <c r="D682" t="inlineStr">
        <is>
          <t>United Center</t>
        </is>
      </c>
      <c r="E682" t="inlineStr">
        <is>
          <t>Chicago Bulls</t>
        </is>
      </c>
      <c r="F682" t="inlineStr">
        <is>
          <t>Denver Nuggets</t>
        </is>
      </c>
      <c r="G682" t="n">
        <v>129</v>
      </c>
      <c r="H682" t="n">
        <v>121</v>
      </c>
      <c r="I682" t="inlineStr">
        <is>
          <t>Chicago Bulls</t>
        </is>
      </c>
      <c r="J682" t="inlineStr">
        <is>
          <t>Denver Nuggets</t>
        </is>
      </c>
      <c r="K682" t="inlineStr">
        <is>
          <t>Yes</t>
        </is>
      </c>
      <c r="L682" t="inlineStr"/>
      <c r="M682" t="inlineStr">
        <is>
          <t>https://fixturedownload.com/download/nba-2024-UTC.csv</t>
        </is>
      </c>
    </row>
    <row r="683">
      <c r="A683" t="n">
        <v>656</v>
      </c>
      <c r="B683" t="n">
        <v>13</v>
      </c>
      <c r="C683" t="inlineStr">
        <is>
          <t>28/01/2025 01:00</t>
        </is>
      </c>
      <c r="D683" t="inlineStr">
        <is>
          <t>Target Center</t>
        </is>
      </c>
      <c r="E683" t="inlineStr">
        <is>
          <t>Minnesota Timberwolves</t>
        </is>
      </c>
      <c r="F683" t="inlineStr">
        <is>
          <t>Atlanta Hawks</t>
        </is>
      </c>
      <c r="G683" t="n">
        <v>100</v>
      </c>
      <c r="H683" t="n">
        <v>92</v>
      </c>
      <c r="I683" t="inlineStr">
        <is>
          <t>Minnesota Timberwolves</t>
        </is>
      </c>
      <c r="J683" t="inlineStr">
        <is>
          <t>Atlanta Hawks</t>
        </is>
      </c>
      <c r="K683" t="inlineStr">
        <is>
          <t>Yes</t>
        </is>
      </c>
      <c r="L683" t="inlineStr"/>
      <c r="M683" t="inlineStr">
        <is>
          <t>https://fixturedownload.com/download/nba-2024-UTC.csv</t>
        </is>
      </c>
    </row>
    <row r="684">
      <c r="A684" t="n">
        <v>657</v>
      </c>
      <c r="B684" t="n">
        <v>13</v>
      </c>
      <c r="C684" t="inlineStr">
        <is>
          <t>28/01/2025 01:30</t>
        </is>
      </c>
      <c r="D684" t="inlineStr">
        <is>
          <t>American Airlines Center</t>
        </is>
      </c>
      <c r="E684" t="inlineStr">
        <is>
          <t>Dallas Mavericks</t>
        </is>
      </c>
      <c r="F684" t="inlineStr">
        <is>
          <t>Washington Wizards</t>
        </is>
      </c>
      <c r="G684" t="n">
        <v>130</v>
      </c>
      <c r="H684" t="n">
        <v>108</v>
      </c>
      <c r="I684" t="inlineStr">
        <is>
          <t>Dallas Mavericks</t>
        </is>
      </c>
      <c r="J684" t="inlineStr">
        <is>
          <t>Washington Wizards</t>
        </is>
      </c>
      <c r="K684" t="inlineStr">
        <is>
          <t>Yes</t>
        </is>
      </c>
      <c r="L684" t="inlineStr"/>
      <c r="M684" t="inlineStr">
        <is>
          <t>https://fixturedownload.com/download/nba-2024-UTC.csv</t>
        </is>
      </c>
    </row>
    <row r="685">
      <c r="A685" t="n">
        <v>658</v>
      </c>
      <c r="B685" t="n">
        <v>13</v>
      </c>
      <c r="C685" t="inlineStr">
        <is>
          <t>28/01/2025 02:00</t>
        </is>
      </c>
      <c r="D685" t="inlineStr">
        <is>
          <t>Delta Center</t>
        </is>
      </c>
      <c r="E685" t="inlineStr">
        <is>
          <t>Utah Jazz</t>
        </is>
      </c>
      <c r="F685" t="inlineStr">
        <is>
          <t>Milwaukee Bucks</t>
        </is>
      </c>
      <c r="G685" t="n">
        <v>110</v>
      </c>
      <c r="H685" t="n">
        <v>125</v>
      </c>
      <c r="I685" t="inlineStr">
        <is>
          <t>Milwaukee Bucks</t>
        </is>
      </c>
      <c r="J685" t="inlineStr">
        <is>
          <t>Utah Jazz</t>
        </is>
      </c>
      <c r="K685" t="inlineStr">
        <is>
          <t>Yes</t>
        </is>
      </c>
      <c r="L685" t="inlineStr"/>
      <c r="M685" t="inlineStr">
        <is>
          <t>https://fixturedownload.com/download/nba-2024-UTC.csv</t>
        </is>
      </c>
    </row>
    <row r="686">
      <c r="A686" t="n">
        <v>659</v>
      </c>
      <c r="B686" t="n">
        <v>13</v>
      </c>
      <c r="C686" t="inlineStr">
        <is>
          <t>28/01/2025 02:30</t>
        </is>
      </c>
      <c r="D686" t="inlineStr">
        <is>
          <t>PHX Arena</t>
        </is>
      </c>
      <c r="E686" t="inlineStr">
        <is>
          <t>Phoenix Suns</t>
        </is>
      </c>
      <c r="F686" t="inlineStr">
        <is>
          <t>LA Clippers</t>
        </is>
      </c>
      <c r="G686" t="n">
        <v>111</v>
      </c>
      <c r="H686" t="n">
        <v>109</v>
      </c>
      <c r="I686" t="inlineStr">
        <is>
          <t>Phoenix Suns</t>
        </is>
      </c>
      <c r="J686" t="inlineStr">
        <is>
          <t>LA Clippers</t>
        </is>
      </c>
      <c r="K686" t="inlineStr">
        <is>
          <t>Yes</t>
        </is>
      </c>
      <c r="L686" t="inlineStr"/>
      <c r="M686" t="inlineStr">
        <is>
          <t>https://fixturedownload.com/download/nba-2024-UTC.csv</t>
        </is>
      </c>
    </row>
    <row r="687">
      <c r="A687" t="n">
        <v>532</v>
      </c>
      <c r="B687" t="n">
        <v>13</v>
      </c>
      <c r="C687" t="inlineStr">
        <is>
          <t>29/01/2025 00:30</t>
        </is>
      </c>
      <c r="D687" t="inlineStr">
        <is>
          <t>State Farm Arena</t>
        </is>
      </c>
      <c r="E687" t="inlineStr">
        <is>
          <t>Atlanta Hawks</t>
        </is>
      </c>
      <c r="F687" t="inlineStr">
        <is>
          <t>Houston Rockets</t>
        </is>
      </c>
      <c r="G687" t="n">
        <v>96</v>
      </c>
      <c r="H687" t="n">
        <v>100</v>
      </c>
      <c r="I687" t="inlineStr">
        <is>
          <t>Houston Rockets</t>
        </is>
      </c>
      <c r="J687" t="inlineStr">
        <is>
          <t>Atlanta Hawks</t>
        </is>
      </c>
      <c r="K687" t="inlineStr">
        <is>
          <t>Yes</t>
        </is>
      </c>
      <c r="L687" t="inlineStr"/>
      <c r="M687" t="inlineStr">
        <is>
          <t>https://fixturedownload.com/download/nba-2024-UTC.csv</t>
        </is>
      </c>
    </row>
    <row r="688">
      <c r="A688" t="n">
        <v>660</v>
      </c>
      <c r="B688" t="n">
        <v>13</v>
      </c>
      <c r="C688" t="inlineStr">
        <is>
          <t>29/01/2025 00:30</t>
        </is>
      </c>
      <c r="D688" t="inlineStr">
        <is>
          <t>Wells Fargo Center</t>
        </is>
      </c>
      <c r="E688" t="inlineStr">
        <is>
          <t>Philadelphia 76ers</t>
        </is>
      </c>
      <c r="F688" t="inlineStr">
        <is>
          <t>Los Angeles Lakers</t>
        </is>
      </c>
      <c r="G688" t="n">
        <v>118</v>
      </c>
      <c r="H688" t="n">
        <v>104</v>
      </c>
      <c r="I688" t="inlineStr">
        <is>
          <t>Philadelphia 76ers</t>
        </is>
      </c>
      <c r="J688" t="inlineStr">
        <is>
          <t>Los Angeles Lakers</t>
        </is>
      </c>
      <c r="K688" t="inlineStr">
        <is>
          <t>Yes</t>
        </is>
      </c>
      <c r="L688" t="inlineStr"/>
      <c r="M688" t="inlineStr">
        <is>
          <t>https://fixturedownload.com/download/nba-2024-UTC.csv</t>
        </is>
      </c>
    </row>
    <row r="689">
      <c r="A689" t="n">
        <v>661</v>
      </c>
      <c r="B689" t="n">
        <v>13</v>
      </c>
      <c r="C689" t="inlineStr">
        <is>
          <t>29/01/2025 03:00</t>
        </is>
      </c>
      <c r="D689" t="inlineStr">
        <is>
          <t>Chase Center</t>
        </is>
      </c>
      <c r="E689" t="inlineStr">
        <is>
          <t>Golden State Warriors</t>
        </is>
      </c>
      <c r="F689" t="inlineStr">
        <is>
          <t>Utah Jazz</t>
        </is>
      </c>
      <c r="G689" t="n">
        <v>114</v>
      </c>
      <c r="H689" t="n">
        <v>103</v>
      </c>
      <c r="I689" t="inlineStr">
        <is>
          <t>Golden State Warriors</t>
        </is>
      </c>
      <c r="J689" t="inlineStr">
        <is>
          <t>Utah Jazz</t>
        </is>
      </c>
      <c r="K689" t="inlineStr">
        <is>
          <t>Yes</t>
        </is>
      </c>
      <c r="L689" t="inlineStr"/>
      <c r="M689" t="inlineStr">
        <is>
          <t>https://fixturedownload.com/download/nba-2024-UTC.csv</t>
        </is>
      </c>
    </row>
    <row r="690">
      <c r="A690" t="n">
        <v>662</v>
      </c>
      <c r="B690" t="n">
        <v>13</v>
      </c>
      <c r="C690" t="inlineStr">
        <is>
          <t>29/01/2025 03:00</t>
        </is>
      </c>
      <c r="D690" t="inlineStr">
        <is>
          <t>Moda Center</t>
        </is>
      </c>
      <c r="E690" t="inlineStr">
        <is>
          <t>Portland Trail Blazers</t>
        </is>
      </c>
      <c r="F690" t="inlineStr">
        <is>
          <t>Milwaukee Bucks</t>
        </is>
      </c>
      <c r="G690" t="n">
        <v>125</v>
      </c>
      <c r="H690" t="n">
        <v>112</v>
      </c>
      <c r="I690" t="inlineStr">
        <is>
          <t>Portland Trail Blazers</t>
        </is>
      </c>
      <c r="J690" t="inlineStr">
        <is>
          <t>Milwaukee Bucks</t>
        </is>
      </c>
      <c r="K690" t="inlineStr">
        <is>
          <t>Yes</t>
        </is>
      </c>
      <c r="L690" t="inlineStr"/>
      <c r="M690" t="inlineStr">
        <is>
          <t>https://fixturedownload.com/download/nba-2024-UTC.csv</t>
        </is>
      </c>
    </row>
    <row r="691">
      <c r="A691" t="n">
        <v>663</v>
      </c>
      <c r="B691" t="n">
        <v>14</v>
      </c>
      <c r="C691" t="inlineStr">
        <is>
          <t>30/01/2025 00:00</t>
        </is>
      </c>
      <c r="D691" t="inlineStr">
        <is>
          <t>Spectrum Center</t>
        </is>
      </c>
      <c r="E691" t="inlineStr">
        <is>
          <t>Charlotte Hornets</t>
        </is>
      </c>
      <c r="F691" t="inlineStr">
        <is>
          <t>Brooklyn Nets</t>
        </is>
      </c>
      <c r="G691" t="n">
        <v>83</v>
      </c>
      <c r="H691" t="n">
        <v>104</v>
      </c>
      <c r="I691" t="inlineStr">
        <is>
          <t>Brooklyn Nets</t>
        </is>
      </c>
      <c r="J691" t="inlineStr">
        <is>
          <t>Charlotte Hornets</t>
        </is>
      </c>
      <c r="K691" t="inlineStr">
        <is>
          <t>Yes</t>
        </is>
      </c>
      <c r="L691" t="inlineStr"/>
      <c r="M691" t="inlineStr">
        <is>
          <t>https://fixturedownload.com/download/nba-2024-UTC.csv</t>
        </is>
      </c>
    </row>
    <row r="692">
      <c r="A692" t="n">
        <v>664</v>
      </c>
      <c r="B692" t="n">
        <v>14</v>
      </c>
      <c r="C692" t="inlineStr">
        <is>
          <t>30/01/2025 00:00</t>
        </is>
      </c>
      <c r="D692" t="inlineStr">
        <is>
          <t>Gainbridge Fieldhouse</t>
        </is>
      </c>
      <c r="E692" t="inlineStr">
        <is>
          <t>Indiana Pacers</t>
        </is>
      </c>
      <c r="F692" t="inlineStr">
        <is>
          <t>Detroit Pistons</t>
        </is>
      </c>
      <c r="G692" t="n">
        <v>133</v>
      </c>
      <c r="H692" t="n">
        <v>119</v>
      </c>
      <c r="I692" t="inlineStr">
        <is>
          <t>Indiana Pacers</t>
        </is>
      </c>
      <c r="J692" t="inlineStr">
        <is>
          <t>Detroit Pistons</t>
        </is>
      </c>
      <c r="K692" t="inlineStr">
        <is>
          <t>Yes</t>
        </is>
      </c>
      <c r="L692" t="inlineStr"/>
      <c r="M692" t="inlineStr">
        <is>
          <t>https://fixturedownload.com/download/nba-2024-UTC.csv</t>
        </is>
      </c>
    </row>
    <row r="693">
      <c r="A693" t="n">
        <v>665</v>
      </c>
      <c r="B693" t="n">
        <v>14</v>
      </c>
      <c r="C693" t="inlineStr">
        <is>
          <t>30/01/2025 00:00</t>
        </is>
      </c>
      <c r="D693" t="inlineStr">
        <is>
          <t>Capital One Arena</t>
        </is>
      </c>
      <c r="E693" t="inlineStr">
        <is>
          <t>Washington Wizards</t>
        </is>
      </c>
      <c r="F693" t="inlineStr">
        <is>
          <t>Toronto Raptors</t>
        </is>
      </c>
      <c r="G693" t="n">
        <v>82</v>
      </c>
      <c r="H693" t="n">
        <v>106</v>
      </c>
      <c r="I693" t="inlineStr">
        <is>
          <t>Toronto Raptors</t>
        </is>
      </c>
      <c r="J693" t="inlineStr">
        <is>
          <t>Washington Wizards</t>
        </is>
      </c>
      <c r="K693" t="inlineStr">
        <is>
          <t>Yes</t>
        </is>
      </c>
      <c r="L693" t="inlineStr"/>
      <c r="M693" t="inlineStr">
        <is>
          <t>https://fixturedownload.com/download/nba-2024-UTC.csv</t>
        </is>
      </c>
    </row>
    <row r="694">
      <c r="A694" t="n">
        <v>666</v>
      </c>
      <c r="B694" t="n">
        <v>14</v>
      </c>
      <c r="C694" t="inlineStr">
        <is>
          <t>30/01/2025 00:30</t>
        </is>
      </c>
      <c r="D694" t="inlineStr">
        <is>
          <t>TD Garden</t>
        </is>
      </c>
      <c r="E694" t="inlineStr">
        <is>
          <t>Boston Celtics</t>
        </is>
      </c>
      <c r="F694" t="inlineStr">
        <is>
          <t>Chicago Bulls</t>
        </is>
      </c>
      <c r="G694" t="n">
        <v>122</v>
      </c>
      <c r="H694" t="n">
        <v>100</v>
      </c>
      <c r="I694" t="inlineStr">
        <is>
          <t>Boston Celtics</t>
        </is>
      </c>
      <c r="J694" t="inlineStr">
        <is>
          <t>Chicago Bulls</t>
        </is>
      </c>
      <c r="K694" t="inlineStr">
        <is>
          <t>Yes</t>
        </is>
      </c>
      <c r="L694" t="inlineStr"/>
      <c r="M694" t="inlineStr">
        <is>
          <t>https://fixturedownload.com/download/nba-2024-UTC.csv</t>
        </is>
      </c>
    </row>
    <row r="695">
      <c r="A695" t="n">
        <v>667</v>
      </c>
      <c r="B695" t="n">
        <v>14</v>
      </c>
      <c r="C695" t="inlineStr">
        <is>
          <t>30/01/2025 00:30</t>
        </is>
      </c>
      <c r="D695" t="inlineStr">
        <is>
          <t>Kaseya Center</t>
        </is>
      </c>
      <c r="E695" t="inlineStr">
        <is>
          <t>Miami Heat</t>
        </is>
      </c>
      <c r="F695" t="inlineStr">
        <is>
          <t>Cleveland Cavaliers</t>
        </is>
      </c>
      <c r="G695" t="n">
        <v>106</v>
      </c>
      <c r="H695" t="n">
        <v>126</v>
      </c>
      <c r="I695" t="inlineStr">
        <is>
          <t>Cleveland Cavaliers</t>
        </is>
      </c>
      <c r="J695" t="inlineStr">
        <is>
          <t>Miami Heat</t>
        </is>
      </c>
      <c r="K695" t="inlineStr">
        <is>
          <t>Yes</t>
        </is>
      </c>
      <c r="L695" t="inlineStr"/>
      <c r="M695" t="inlineStr">
        <is>
          <t>https://fixturedownload.com/download/nba-2024-UTC.csv</t>
        </is>
      </c>
    </row>
    <row r="696">
      <c r="A696" t="n">
        <v>668</v>
      </c>
      <c r="B696" t="n">
        <v>14</v>
      </c>
      <c r="C696" t="inlineStr">
        <is>
          <t>30/01/2025 00:30</t>
        </is>
      </c>
      <c r="D696" t="inlineStr">
        <is>
          <t>Madison Square Garden</t>
        </is>
      </c>
      <c r="E696" t="inlineStr">
        <is>
          <t>New York Knicks</t>
        </is>
      </c>
      <c r="F696" t="inlineStr">
        <is>
          <t>Denver Nuggets</t>
        </is>
      </c>
      <c r="G696" t="n">
        <v>122</v>
      </c>
      <c r="H696" t="n">
        <v>112</v>
      </c>
      <c r="I696" t="inlineStr">
        <is>
          <t>New York Knicks</t>
        </is>
      </c>
      <c r="J696" t="inlineStr">
        <is>
          <t>Denver Nuggets</t>
        </is>
      </c>
      <c r="K696" t="inlineStr">
        <is>
          <t>Yes</t>
        </is>
      </c>
      <c r="L696" t="inlineStr"/>
      <c r="M696" t="inlineStr">
        <is>
          <t>https://fixturedownload.com/download/nba-2024-UTC.csv</t>
        </is>
      </c>
    </row>
    <row r="697">
      <c r="A697" t="n">
        <v>669</v>
      </c>
      <c r="B697" t="n">
        <v>14</v>
      </c>
      <c r="C697" t="inlineStr">
        <is>
          <t>30/01/2025 00:30</t>
        </is>
      </c>
      <c r="D697" t="inlineStr">
        <is>
          <t>Wells Fargo Center</t>
        </is>
      </c>
      <c r="E697" t="inlineStr">
        <is>
          <t>Philadelphia 76ers</t>
        </is>
      </c>
      <c r="F697" t="inlineStr">
        <is>
          <t>Sacramento Kings</t>
        </is>
      </c>
      <c r="G697" t="n">
        <v>117</v>
      </c>
      <c r="H697" t="n">
        <v>104</v>
      </c>
      <c r="I697" t="inlineStr">
        <is>
          <t>Philadelphia 76ers</t>
        </is>
      </c>
      <c r="J697" t="inlineStr">
        <is>
          <t>Sacramento Kings</t>
        </is>
      </c>
      <c r="K697" t="inlineStr">
        <is>
          <t>Yes</t>
        </is>
      </c>
      <c r="L697" t="inlineStr"/>
      <c r="M697" t="inlineStr">
        <is>
          <t>https://fixturedownload.com/download/nba-2024-UTC.csv</t>
        </is>
      </c>
    </row>
    <row r="698">
      <c r="A698" t="n">
        <v>670</v>
      </c>
      <c r="B698" t="n">
        <v>14</v>
      </c>
      <c r="C698" t="inlineStr">
        <is>
          <t>30/01/2025 01:00</t>
        </is>
      </c>
      <c r="D698" t="inlineStr">
        <is>
          <t>Smoothie King Center</t>
        </is>
      </c>
      <c r="E698" t="inlineStr">
        <is>
          <t>New Orleans Pelicans</t>
        </is>
      </c>
      <c r="F698" t="inlineStr">
        <is>
          <t>Dallas Mavericks</t>
        </is>
      </c>
      <c r="G698" t="n">
        <v>136</v>
      </c>
      <c r="H698" t="n">
        <v>137</v>
      </c>
      <c r="I698" t="inlineStr">
        <is>
          <t>Dallas Mavericks</t>
        </is>
      </c>
      <c r="J698" t="inlineStr">
        <is>
          <t>New Orleans Pelicans</t>
        </is>
      </c>
      <c r="K698" t="inlineStr">
        <is>
          <t>Yes</t>
        </is>
      </c>
      <c r="L698" t="inlineStr"/>
      <c r="M698" t="inlineStr">
        <is>
          <t>https://fixturedownload.com/download/nba-2024-UTC.csv</t>
        </is>
      </c>
    </row>
    <row r="699">
      <c r="A699" t="n">
        <v>671</v>
      </c>
      <c r="B699" t="n">
        <v>14</v>
      </c>
      <c r="C699" t="inlineStr">
        <is>
          <t>30/01/2025 01:00</t>
        </is>
      </c>
      <c r="D699" t="inlineStr">
        <is>
          <t>Frost Bank Center</t>
        </is>
      </c>
      <c r="E699" t="inlineStr">
        <is>
          <t>San Antonio Spurs</t>
        </is>
      </c>
      <c r="F699" t="inlineStr">
        <is>
          <t>LA Clippers</t>
        </is>
      </c>
      <c r="G699" t="n">
        <v>116</v>
      </c>
      <c r="H699" t="n">
        <v>128</v>
      </c>
      <c r="I699" t="inlineStr">
        <is>
          <t>LA Clippers</t>
        </is>
      </c>
      <c r="J699" t="inlineStr">
        <is>
          <t>San Antonio Spurs</t>
        </is>
      </c>
      <c r="K699" t="inlineStr">
        <is>
          <t>Yes</t>
        </is>
      </c>
      <c r="L699" t="inlineStr"/>
      <c r="M699" t="inlineStr">
        <is>
          <t>https://fixturedownload.com/download/nba-2024-UTC.csv</t>
        </is>
      </c>
    </row>
    <row r="700">
      <c r="A700" t="n">
        <v>672</v>
      </c>
      <c r="B700" t="n">
        <v>14</v>
      </c>
      <c r="C700" t="inlineStr">
        <is>
          <t>30/01/2025 02:00</t>
        </is>
      </c>
      <c r="D700" t="inlineStr">
        <is>
          <t>PHX Arena</t>
        </is>
      </c>
      <c r="E700" t="inlineStr">
        <is>
          <t>Phoenix Suns</t>
        </is>
      </c>
      <c r="F700" t="inlineStr">
        <is>
          <t>Minnesota Timberwolves</t>
        </is>
      </c>
      <c r="G700" t="n">
        <v>113</v>
      </c>
      <c r="H700" t="n">
        <v>121</v>
      </c>
      <c r="I700" t="inlineStr">
        <is>
          <t>Minnesota Timberwolves</t>
        </is>
      </c>
      <c r="J700" t="inlineStr">
        <is>
          <t>Phoenix Suns</t>
        </is>
      </c>
      <c r="K700" t="inlineStr">
        <is>
          <t>Yes</t>
        </is>
      </c>
      <c r="L700" t="inlineStr"/>
      <c r="M700" t="inlineStr">
        <is>
          <t>https://fixturedownload.com/download/nba-2024-UTC.csv</t>
        </is>
      </c>
    </row>
    <row r="701">
      <c r="A701" t="n">
        <v>673</v>
      </c>
      <c r="B701" t="n">
        <v>14</v>
      </c>
      <c r="C701" t="inlineStr">
        <is>
          <t>30/01/2025 03:00</t>
        </is>
      </c>
      <c r="D701" t="inlineStr">
        <is>
          <t>Chase Center</t>
        </is>
      </c>
      <c r="E701" t="inlineStr">
        <is>
          <t>Golden State Warriors</t>
        </is>
      </c>
      <c r="F701" t="inlineStr">
        <is>
          <t>Oklahoma City Thunder</t>
        </is>
      </c>
      <c r="G701" t="n">
        <v>116</v>
      </c>
      <c r="H701" t="n">
        <v>109</v>
      </c>
      <c r="I701" t="inlineStr">
        <is>
          <t>Golden State Warriors</t>
        </is>
      </c>
      <c r="J701" t="inlineStr">
        <is>
          <t>Oklahoma City Thunder</t>
        </is>
      </c>
      <c r="K701" t="inlineStr">
        <is>
          <t>Yes</t>
        </is>
      </c>
      <c r="L701" t="inlineStr"/>
      <c r="M701" t="inlineStr">
        <is>
          <t>https://fixturedownload.com/download/nba-2024-UTC.csv</t>
        </is>
      </c>
    </row>
    <row r="702">
      <c r="A702" t="n">
        <v>674</v>
      </c>
      <c r="B702" t="n">
        <v>14</v>
      </c>
      <c r="C702" t="inlineStr">
        <is>
          <t>31/01/2025 00:00</t>
        </is>
      </c>
      <c r="D702" t="inlineStr">
        <is>
          <t>Capital One Arena</t>
        </is>
      </c>
      <c r="E702" t="inlineStr">
        <is>
          <t>Washington Wizards</t>
        </is>
      </c>
      <c r="F702" t="inlineStr">
        <is>
          <t>Los Angeles Lakers</t>
        </is>
      </c>
      <c r="G702" t="n">
        <v>96</v>
      </c>
      <c r="H702" t="n">
        <v>134</v>
      </c>
      <c r="I702" t="inlineStr">
        <is>
          <t>Los Angeles Lakers</t>
        </is>
      </c>
      <c r="J702" t="inlineStr">
        <is>
          <t>Washington Wizards</t>
        </is>
      </c>
      <c r="K702" t="inlineStr">
        <is>
          <t>Yes</t>
        </is>
      </c>
      <c r="L702" t="inlineStr"/>
      <c r="M702" t="inlineStr">
        <is>
          <t>https://fixturedownload.com/download/nba-2024-UTC.csv</t>
        </is>
      </c>
    </row>
    <row r="703">
      <c r="A703" t="n">
        <v>675</v>
      </c>
      <c r="B703" t="n">
        <v>14</v>
      </c>
      <c r="C703" t="inlineStr">
        <is>
          <t>31/01/2025 00:00</t>
        </is>
      </c>
      <c r="D703" t="inlineStr">
        <is>
          <t>Rocket Arena</t>
        </is>
      </c>
      <c r="E703" t="inlineStr">
        <is>
          <t>Cleveland Cavaliers</t>
        </is>
      </c>
      <c r="F703" t="inlineStr">
        <is>
          <t>Atlanta Hawks</t>
        </is>
      </c>
      <c r="G703" t="n">
        <v>137</v>
      </c>
      <c r="H703" t="n">
        <v>115</v>
      </c>
      <c r="I703" t="inlineStr">
        <is>
          <t>Cleveland Cavaliers</t>
        </is>
      </c>
      <c r="J703" t="inlineStr">
        <is>
          <t>Atlanta Hawks</t>
        </is>
      </c>
      <c r="K703" t="inlineStr">
        <is>
          <t>Yes</t>
        </is>
      </c>
      <c r="L703" t="inlineStr"/>
      <c r="M703" t="inlineStr">
        <is>
          <t>https://fixturedownload.com/download/nba-2024-UTC.csv</t>
        </is>
      </c>
    </row>
    <row r="704">
      <c r="A704" t="n">
        <v>677</v>
      </c>
      <c r="B704" t="n">
        <v>14</v>
      </c>
      <c r="C704" t="inlineStr">
        <is>
          <t>31/01/2025 02:00</t>
        </is>
      </c>
      <c r="D704" t="inlineStr">
        <is>
          <t>Delta Center</t>
        </is>
      </c>
      <c r="E704" t="inlineStr">
        <is>
          <t>Utah Jazz</t>
        </is>
      </c>
      <c r="F704" t="inlineStr">
        <is>
          <t>Minnesota Timberwolves</t>
        </is>
      </c>
      <c r="G704" t="n">
        <v>113</v>
      </c>
      <c r="H704" t="n">
        <v>138</v>
      </c>
      <c r="I704" t="inlineStr">
        <is>
          <t>Minnesota Timberwolves</t>
        </is>
      </c>
      <c r="J704" t="inlineStr">
        <is>
          <t>Utah Jazz</t>
        </is>
      </c>
      <c r="K704" t="inlineStr">
        <is>
          <t>Yes</t>
        </is>
      </c>
      <c r="L704" t="inlineStr"/>
      <c r="M704" t="inlineStr">
        <is>
          <t>https://fixturedownload.com/download/nba-2024-UTC.csv</t>
        </is>
      </c>
    </row>
    <row r="705">
      <c r="A705" t="n">
        <v>676</v>
      </c>
      <c r="B705" t="n">
        <v>14</v>
      </c>
      <c r="C705" t="inlineStr">
        <is>
          <t>31/01/2025 02:30</t>
        </is>
      </c>
      <c r="D705" t="inlineStr">
        <is>
          <t>FedExForum</t>
        </is>
      </c>
      <c r="E705" t="inlineStr">
        <is>
          <t>Memphis Grizzlies</t>
        </is>
      </c>
      <c r="F705" t="inlineStr">
        <is>
          <t>Houston Rockets</t>
        </is>
      </c>
      <c r="G705" t="n">
        <v>120</v>
      </c>
      <c r="H705" t="n">
        <v>119</v>
      </c>
      <c r="I705" t="inlineStr">
        <is>
          <t>Memphis Grizzlies</t>
        </is>
      </c>
      <c r="J705" t="inlineStr">
        <is>
          <t>Houston Rockets</t>
        </is>
      </c>
      <c r="K705" t="inlineStr">
        <is>
          <t>Yes</t>
        </is>
      </c>
      <c r="L705" t="inlineStr"/>
      <c r="M705" t="inlineStr">
        <is>
          <t>https://fixturedownload.com/download/nba-2024-UTC.csv</t>
        </is>
      </c>
    </row>
    <row r="706">
      <c r="A706" t="n">
        <v>678</v>
      </c>
      <c r="B706" t="n">
        <v>14</v>
      </c>
      <c r="C706" t="inlineStr">
        <is>
          <t>31/01/2025 03:00</t>
        </is>
      </c>
      <c r="D706" t="inlineStr">
        <is>
          <t>Moda Center</t>
        </is>
      </c>
      <c r="E706" t="inlineStr">
        <is>
          <t>Portland Trail Blazers</t>
        </is>
      </c>
      <c r="F706" t="inlineStr">
        <is>
          <t>Orlando Magic</t>
        </is>
      </c>
      <c r="G706" t="n">
        <v>119</v>
      </c>
      <c r="H706" t="n">
        <v>90</v>
      </c>
      <c r="I706" t="inlineStr">
        <is>
          <t>Portland Trail Blazers</t>
        </is>
      </c>
      <c r="J706" t="inlineStr">
        <is>
          <t>Orlando Magic</t>
        </is>
      </c>
      <c r="K706" t="inlineStr">
        <is>
          <t>Yes</t>
        </is>
      </c>
      <c r="L706" t="inlineStr"/>
      <c r="M706" t="inlineStr">
        <is>
          <t>https://fixturedownload.com/download/nba-2024-UTC.csv</t>
        </is>
      </c>
    </row>
    <row r="707">
      <c r="A707" t="n">
        <v>679</v>
      </c>
      <c r="B707" t="n">
        <v>14</v>
      </c>
      <c r="C707" t="inlineStr">
        <is>
          <t>01/02/2025 00:00</t>
        </is>
      </c>
      <c r="D707" t="inlineStr">
        <is>
          <t>Spectrum Center</t>
        </is>
      </c>
      <c r="E707" t="inlineStr">
        <is>
          <t>Charlotte Hornets</t>
        </is>
      </c>
      <c r="F707" t="inlineStr">
        <is>
          <t>LA Clippers</t>
        </is>
      </c>
      <c r="G707" t="n">
        <v>104</v>
      </c>
      <c r="H707" t="n">
        <v>112</v>
      </c>
      <c r="I707" t="inlineStr">
        <is>
          <t>LA Clippers</t>
        </is>
      </c>
      <c r="J707" t="inlineStr">
        <is>
          <t>Charlotte Hornets</t>
        </is>
      </c>
      <c r="K707" t="inlineStr">
        <is>
          <t>Yes</t>
        </is>
      </c>
      <c r="L707" t="inlineStr"/>
      <c r="M707" t="inlineStr">
        <is>
          <t>https://fixturedownload.com/download/nba-2024-UTC.csv</t>
        </is>
      </c>
    </row>
    <row r="708">
      <c r="A708" t="n">
        <v>680</v>
      </c>
      <c r="B708" t="n">
        <v>14</v>
      </c>
      <c r="C708" t="inlineStr">
        <is>
          <t>01/02/2025 00:00</t>
        </is>
      </c>
      <c r="D708" t="inlineStr">
        <is>
          <t>Little Caesars Arena</t>
        </is>
      </c>
      <c r="E708" t="inlineStr">
        <is>
          <t>Detroit Pistons</t>
        </is>
      </c>
      <c r="F708" t="inlineStr">
        <is>
          <t>Dallas Mavericks</t>
        </is>
      </c>
      <c r="G708" t="n">
        <v>117</v>
      </c>
      <c r="H708" t="n">
        <v>102</v>
      </c>
      <c r="I708" t="inlineStr">
        <is>
          <t>Detroit Pistons</t>
        </is>
      </c>
      <c r="J708" t="inlineStr">
        <is>
          <t>Dallas Mavericks</t>
        </is>
      </c>
      <c r="K708" t="inlineStr">
        <is>
          <t>Yes</t>
        </is>
      </c>
      <c r="L708" t="inlineStr"/>
      <c r="M708" t="inlineStr">
        <is>
          <t>https://fixturedownload.com/download/nba-2024-UTC.csv</t>
        </is>
      </c>
    </row>
    <row r="709">
      <c r="A709" t="n">
        <v>681</v>
      </c>
      <c r="B709" t="n">
        <v>14</v>
      </c>
      <c r="C709" t="inlineStr">
        <is>
          <t>01/02/2025 00:30</t>
        </is>
      </c>
      <c r="D709" t="inlineStr">
        <is>
          <t>Wells Fargo Center</t>
        </is>
      </c>
      <c r="E709" t="inlineStr">
        <is>
          <t>Philadelphia 76ers</t>
        </is>
      </c>
      <c r="F709" t="inlineStr">
        <is>
          <t>Denver Nuggets</t>
        </is>
      </c>
      <c r="G709" t="n">
        <v>134</v>
      </c>
      <c r="H709" t="n">
        <v>137</v>
      </c>
      <c r="I709" t="inlineStr">
        <is>
          <t>Denver Nuggets</t>
        </is>
      </c>
      <c r="J709" t="inlineStr">
        <is>
          <t>Philadelphia 76ers</t>
        </is>
      </c>
      <c r="K709" t="inlineStr">
        <is>
          <t>Yes</t>
        </is>
      </c>
      <c r="L709" t="inlineStr"/>
      <c r="M709" t="inlineStr">
        <is>
          <t>https://fixturedownload.com/download/nba-2024-UTC.csv</t>
        </is>
      </c>
    </row>
    <row r="710">
      <c r="A710" t="n">
        <v>682</v>
      </c>
      <c r="B710" t="n">
        <v>14</v>
      </c>
      <c r="C710" t="inlineStr">
        <is>
          <t>01/02/2025 00:30</t>
        </is>
      </c>
      <c r="D710" t="inlineStr">
        <is>
          <t>Scotiabank Arena</t>
        </is>
      </c>
      <c r="E710" t="inlineStr">
        <is>
          <t>Toronto Raptors</t>
        </is>
      </c>
      <c r="F710" t="inlineStr">
        <is>
          <t>Chicago Bulls</t>
        </is>
      </c>
      <c r="G710" t="n">
        <v>106</v>
      </c>
      <c r="H710" t="n">
        <v>122</v>
      </c>
      <c r="I710" t="inlineStr">
        <is>
          <t>Chicago Bulls</t>
        </is>
      </c>
      <c r="J710" t="inlineStr">
        <is>
          <t>Toronto Raptors</t>
        </is>
      </c>
      <c r="K710" t="inlineStr">
        <is>
          <t>Yes</t>
        </is>
      </c>
      <c r="L710" t="inlineStr"/>
      <c r="M710" t="inlineStr">
        <is>
          <t>https://fixturedownload.com/download/nba-2024-UTC.csv</t>
        </is>
      </c>
    </row>
    <row r="711">
      <c r="A711" t="n">
        <v>683</v>
      </c>
      <c r="B711" t="n">
        <v>14</v>
      </c>
      <c r="C711" t="inlineStr">
        <is>
          <t>01/02/2025 01:00</t>
        </is>
      </c>
      <c r="D711" t="inlineStr">
        <is>
          <t>Smoothie King Center</t>
        </is>
      </c>
      <c r="E711" t="inlineStr">
        <is>
          <t>New Orleans Pelicans</t>
        </is>
      </c>
      <c r="F711" t="inlineStr">
        <is>
          <t>Boston Celtics</t>
        </is>
      </c>
      <c r="G711" t="n">
        <v>116</v>
      </c>
      <c r="H711" t="n">
        <v>118</v>
      </c>
      <c r="I711" t="inlineStr">
        <is>
          <t>Boston Celtics</t>
        </is>
      </c>
      <c r="J711" t="inlineStr">
        <is>
          <t>New Orleans Pelicans</t>
        </is>
      </c>
      <c r="K711" t="inlineStr">
        <is>
          <t>Yes</t>
        </is>
      </c>
      <c r="L711" t="inlineStr"/>
      <c r="M711" t="inlineStr">
        <is>
          <t>https://fixturedownload.com/download/nba-2024-UTC.csv</t>
        </is>
      </c>
    </row>
    <row r="712">
      <c r="A712" t="n">
        <v>684</v>
      </c>
      <c r="B712" t="n">
        <v>14</v>
      </c>
      <c r="C712" t="inlineStr">
        <is>
          <t>01/02/2025 01:00</t>
        </is>
      </c>
      <c r="D712" t="inlineStr">
        <is>
          <t>Frost Bank Center</t>
        </is>
      </c>
      <c r="E712" t="inlineStr">
        <is>
          <t>San Antonio Spurs</t>
        </is>
      </c>
      <c r="F712" t="inlineStr">
        <is>
          <t>Milwaukee Bucks</t>
        </is>
      </c>
      <c r="G712" t="n">
        <v>144</v>
      </c>
      <c r="H712" t="n">
        <v>118</v>
      </c>
      <c r="I712" t="inlineStr">
        <is>
          <t>San Antonio Spurs</t>
        </is>
      </c>
      <c r="J712" t="inlineStr">
        <is>
          <t>Milwaukee Bucks</t>
        </is>
      </c>
      <c r="K712" t="inlineStr">
        <is>
          <t>Yes</t>
        </is>
      </c>
      <c r="L712" t="inlineStr"/>
      <c r="M712" t="inlineStr">
        <is>
          <t>https://fixturedownload.com/download/nba-2024-UTC.csv</t>
        </is>
      </c>
    </row>
    <row r="713">
      <c r="A713" t="n">
        <v>685</v>
      </c>
      <c r="B713" t="n">
        <v>14</v>
      </c>
      <c r="C713" t="inlineStr">
        <is>
          <t>01/02/2025 03:00</t>
        </is>
      </c>
      <c r="D713" t="inlineStr">
        <is>
          <t>Chase Center</t>
        </is>
      </c>
      <c r="E713" t="inlineStr">
        <is>
          <t>Golden State Warriors</t>
        </is>
      </c>
      <c r="F713" t="inlineStr">
        <is>
          <t>Phoenix Suns</t>
        </is>
      </c>
      <c r="G713" t="n">
        <v>105</v>
      </c>
      <c r="H713" t="n">
        <v>130</v>
      </c>
      <c r="I713" t="inlineStr">
        <is>
          <t>Phoenix Suns</t>
        </is>
      </c>
      <c r="J713" t="inlineStr">
        <is>
          <t>Golden State Warriors</t>
        </is>
      </c>
      <c r="K713" t="inlineStr">
        <is>
          <t>Yes</t>
        </is>
      </c>
      <c r="L713" t="inlineStr"/>
      <c r="M713" t="inlineStr">
        <is>
          <t>https://fixturedownload.com/download/nba-2024-UTC.csv</t>
        </is>
      </c>
    </row>
    <row r="714">
      <c r="A714" t="n">
        <v>686</v>
      </c>
      <c r="B714" t="n">
        <v>14</v>
      </c>
      <c r="C714" t="inlineStr">
        <is>
          <t>01/02/2025 22:00</t>
        </is>
      </c>
      <c r="D714" t="inlineStr">
        <is>
          <t>Gainbridge Fieldhouse</t>
        </is>
      </c>
      <c r="E714" t="inlineStr">
        <is>
          <t>Indiana Pacers</t>
        </is>
      </c>
      <c r="F714" t="inlineStr">
        <is>
          <t>Atlanta Hawks</t>
        </is>
      </c>
      <c r="G714" t="n">
        <v>132</v>
      </c>
      <c r="H714" t="n">
        <v>127</v>
      </c>
      <c r="I714" t="inlineStr">
        <is>
          <t>Indiana Pacers</t>
        </is>
      </c>
      <c r="J714" t="inlineStr">
        <is>
          <t>Atlanta Hawks</t>
        </is>
      </c>
      <c r="K714" t="inlineStr">
        <is>
          <t>Yes</t>
        </is>
      </c>
      <c r="L714" t="inlineStr"/>
      <c r="M714" t="inlineStr">
        <is>
          <t>https://fixturedownload.com/download/nba-2024-UTC.csv</t>
        </is>
      </c>
    </row>
    <row r="715">
      <c r="A715" t="n">
        <v>687</v>
      </c>
      <c r="B715" t="n">
        <v>14</v>
      </c>
      <c r="C715" t="inlineStr">
        <is>
          <t>01/02/2025 22:00</t>
        </is>
      </c>
      <c r="D715" t="inlineStr">
        <is>
          <t>Delta Center</t>
        </is>
      </c>
      <c r="E715" t="inlineStr">
        <is>
          <t>Utah Jazz</t>
        </is>
      </c>
      <c r="F715" t="inlineStr">
        <is>
          <t>Orlando Magic</t>
        </is>
      </c>
      <c r="G715" t="n">
        <v>113</v>
      </c>
      <c r="H715" t="n">
        <v>99</v>
      </c>
      <c r="I715" t="inlineStr">
        <is>
          <t>Utah Jazz</t>
        </is>
      </c>
      <c r="J715" t="inlineStr">
        <is>
          <t>Orlando Magic</t>
        </is>
      </c>
      <c r="K715" t="inlineStr">
        <is>
          <t>Yes</t>
        </is>
      </c>
      <c r="L715" t="inlineStr"/>
      <c r="M715" t="inlineStr">
        <is>
          <t>https://fixturedownload.com/download/nba-2024-UTC.csv</t>
        </is>
      </c>
    </row>
    <row r="716">
      <c r="A716" t="n">
        <v>688</v>
      </c>
      <c r="B716" t="n">
        <v>14</v>
      </c>
      <c r="C716" t="inlineStr">
        <is>
          <t>02/02/2025 00:00</t>
        </is>
      </c>
      <c r="D716" t="inlineStr">
        <is>
          <t>Spectrum Center</t>
        </is>
      </c>
      <c r="E716" t="inlineStr">
        <is>
          <t>Charlotte Hornets</t>
        </is>
      </c>
      <c r="F716" t="inlineStr">
        <is>
          <t>Denver Nuggets</t>
        </is>
      </c>
      <c r="G716" t="n">
        <v>104</v>
      </c>
      <c r="H716" t="n">
        <v>107</v>
      </c>
      <c r="I716" t="inlineStr">
        <is>
          <t>Denver Nuggets</t>
        </is>
      </c>
      <c r="J716" t="inlineStr">
        <is>
          <t>Charlotte Hornets</t>
        </is>
      </c>
      <c r="K716" t="inlineStr">
        <is>
          <t>Yes</t>
        </is>
      </c>
      <c r="L716" t="inlineStr"/>
      <c r="M716" t="inlineStr">
        <is>
          <t>https://fixturedownload.com/download/nba-2024-UTC.csv</t>
        </is>
      </c>
    </row>
    <row r="717">
      <c r="A717" t="n">
        <v>689</v>
      </c>
      <c r="B717" t="n">
        <v>14</v>
      </c>
      <c r="C717" t="inlineStr">
        <is>
          <t>02/02/2025 01:00</t>
        </is>
      </c>
      <c r="D717" t="inlineStr">
        <is>
          <t>Toyota Center</t>
        </is>
      </c>
      <c r="E717" t="inlineStr">
        <is>
          <t>Houston Rockets</t>
        </is>
      </c>
      <c r="F717" t="inlineStr">
        <is>
          <t>Brooklyn Nets</t>
        </is>
      </c>
      <c r="G717" t="n">
        <v>98</v>
      </c>
      <c r="H717" t="n">
        <v>110</v>
      </c>
      <c r="I717" t="inlineStr">
        <is>
          <t>Brooklyn Nets</t>
        </is>
      </c>
      <c r="J717" t="inlineStr">
        <is>
          <t>Houston Rockets</t>
        </is>
      </c>
      <c r="K717" t="inlineStr">
        <is>
          <t>Yes</t>
        </is>
      </c>
      <c r="L717" t="inlineStr"/>
      <c r="M717" t="inlineStr">
        <is>
          <t>https://fixturedownload.com/download/nba-2024-UTC.csv</t>
        </is>
      </c>
    </row>
    <row r="718">
      <c r="A718" t="n">
        <v>690</v>
      </c>
      <c r="B718" t="n">
        <v>14</v>
      </c>
      <c r="C718" t="inlineStr">
        <is>
          <t>02/02/2025 01:00</t>
        </is>
      </c>
      <c r="D718" t="inlineStr">
        <is>
          <t>Target Center</t>
        </is>
      </c>
      <c r="E718" t="inlineStr">
        <is>
          <t>Minnesota Timberwolves</t>
        </is>
      </c>
      <c r="F718" t="inlineStr">
        <is>
          <t>Washington Wizards</t>
        </is>
      </c>
      <c r="G718" t="n">
        <v>103</v>
      </c>
      <c r="H718" t="n">
        <v>105</v>
      </c>
      <c r="I718" t="inlineStr">
        <is>
          <t>Washington Wizards</t>
        </is>
      </c>
      <c r="J718" t="inlineStr">
        <is>
          <t>Minnesota Timberwolves</t>
        </is>
      </c>
      <c r="K718" t="inlineStr">
        <is>
          <t>Yes</t>
        </is>
      </c>
      <c r="L718" t="inlineStr"/>
      <c r="M718" t="inlineStr">
        <is>
          <t>https://fixturedownload.com/download/nba-2024-UTC.csv</t>
        </is>
      </c>
    </row>
    <row r="719">
      <c r="A719" t="n">
        <v>691</v>
      </c>
      <c r="B719" t="n">
        <v>14</v>
      </c>
      <c r="C719" t="inlineStr">
        <is>
          <t>02/02/2025 01:00</t>
        </is>
      </c>
      <c r="D719" t="inlineStr">
        <is>
          <t>Paycom Center</t>
        </is>
      </c>
      <c r="E719" t="inlineStr">
        <is>
          <t>Oklahoma City Thunder</t>
        </is>
      </c>
      <c r="F719" t="inlineStr">
        <is>
          <t>Sacramento Kings</t>
        </is>
      </c>
      <c r="G719" t="n">
        <v>144</v>
      </c>
      <c r="H719" t="n">
        <v>110</v>
      </c>
      <c r="I719" t="inlineStr">
        <is>
          <t>Oklahoma City Thunder</t>
        </is>
      </c>
      <c r="J719" t="inlineStr">
        <is>
          <t>Sacramento Kings</t>
        </is>
      </c>
      <c r="K719" t="inlineStr">
        <is>
          <t>Yes</t>
        </is>
      </c>
      <c r="L719" t="inlineStr"/>
      <c r="M719" t="inlineStr">
        <is>
          <t>https://fixturedownload.com/download/nba-2024-UTC.csv</t>
        </is>
      </c>
    </row>
    <row r="720">
      <c r="A720" t="n">
        <v>692</v>
      </c>
      <c r="B720" t="n">
        <v>14</v>
      </c>
      <c r="C720" t="inlineStr">
        <is>
          <t>02/02/2025 01:30</t>
        </is>
      </c>
      <c r="D720" t="inlineStr">
        <is>
          <t>Madison Square Garden</t>
        </is>
      </c>
      <c r="E720" t="inlineStr">
        <is>
          <t>New York Knicks</t>
        </is>
      </c>
      <c r="F720" t="inlineStr">
        <is>
          <t>Los Angeles Lakers</t>
        </is>
      </c>
      <c r="G720" t="n">
        <v>112</v>
      </c>
      <c r="H720" t="n">
        <v>128</v>
      </c>
      <c r="I720" t="inlineStr">
        <is>
          <t>Los Angeles Lakers</t>
        </is>
      </c>
      <c r="J720" t="inlineStr">
        <is>
          <t>New York Knicks</t>
        </is>
      </c>
      <c r="K720" t="inlineStr">
        <is>
          <t>Yes</t>
        </is>
      </c>
      <c r="L720" t="inlineStr"/>
      <c r="M720" t="inlineStr">
        <is>
          <t>https://fixturedownload.com/download/nba-2024-UTC.csv</t>
        </is>
      </c>
    </row>
    <row r="721">
      <c r="A721" t="n">
        <v>693</v>
      </c>
      <c r="B721" t="n">
        <v>14</v>
      </c>
      <c r="C721" t="inlineStr">
        <is>
          <t>02/02/2025 01:30</t>
        </is>
      </c>
      <c r="D721" t="inlineStr">
        <is>
          <t>Frost Bank Center</t>
        </is>
      </c>
      <c r="E721" t="inlineStr">
        <is>
          <t>San Antonio Spurs</t>
        </is>
      </c>
      <c r="F721" t="inlineStr">
        <is>
          <t>Miami Heat</t>
        </is>
      </c>
      <c r="G721" t="n">
        <v>103</v>
      </c>
      <c r="H721" t="n">
        <v>105</v>
      </c>
      <c r="I721" t="inlineStr">
        <is>
          <t>Miami Heat</t>
        </is>
      </c>
      <c r="J721" t="inlineStr">
        <is>
          <t>San Antonio Spurs</t>
        </is>
      </c>
      <c r="K721" t="inlineStr">
        <is>
          <t>Yes</t>
        </is>
      </c>
      <c r="L721" t="inlineStr"/>
      <c r="M721" t="inlineStr">
        <is>
          <t>https://fixturedownload.com/download/nba-2024-UTC.csv</t>
        </is>
      </c>
    </row>
    <row r="722">
      <c r="A722" t="n">
        <v>694</v>
      </c>
      <c r="B722" t="n">
        <v>14</v>
      </c>
      <c r="C722" t="inlineStr">
        <is>
          <t>02/02/2025 03:00</t>
        </is>
      </c>
      <c r="D722" t="inlineStr">
        <is>
          <t>Moda Center</t>
        </is>
      </c>
      <c r="E722" t="inlineStr">
        <is>
          <t>Portland Trail Blazers</t>
        </is>
      </c>
      <c r="F722" t="inlineStr">
        <is>
          <t>Phoenix Suns</t>
        </is>
      </c>
      <c r="G722" t="n">
        <v>127</v>
      </c>
      <c r="H722" t="n">
        <v>108</v>
      </c>
      <c r="I722" t="inlineStr">
        <is>
          <t>Portland Trail Blazers</t>
        </is>
      </c>
      <c r="J722" t="inlineStr">
        <is>
          <t>Phoenix Suns</t>
        </is>
      </c>
      <c r="K722" t="inlineStr">
        <is>
          <t>Yes</t>
        </is>
      </c>
      <c r="L722" t="inlineStr"/>
      <c r="M722" t="inlineStr">
        <is>
          <t>https://fixturedownload.com/download/nba-2024-UTC.csv</t>
        </is>
      </c>
    </row>
    <row r="723">
      <c r="A723" t="n">
        <v>695</v>
      </c>
      <c r="B723" t="n">
        <v>14</v>
      </c>
      <c r="C723" t="inlineStr">
        <is>
          <t>02/02/2025 20:00</t>
        </is>
      </c>
      <c r="D723" t="inlineStr">
        <is>
          <t>Little Caesars Arena</t>
        </is>
      </c>
      <c r="E723" t="inlineStr">
        <is>
          <t>Detroit Pistons</t>
        </is>
      </c>
      <c r="F723" t="inlineStr">
        <is>
          <t>Chicago Bulls</t>
        </is>
      </c>
      <c r="G723" t="n">
        <v>127</v>
      </c>
      <c r="H723" t="n">
        <v>119</v>
      </c>
      <c r="I723" t="inlineStr">
        <is>
          <t>Detroit Pistons</t>
        </is>
      </c>
      <c r="J723" t="inlineStr">
        <is>
          <t>Chicago Bulls</t>
        </is>
      </c>
      <c r="K723" t="inlineStr">
        <is>
          <t>Yes</t>
        </is>
      </c>
      <c r="L723" t="inlineStr"/>
      <c r="M723" t="inlineStr">
        <is>
          <t>https://fixturedownload.com/download/nba-2024-UTC.csv</t>
        </is>
      </c>
    </row>
    <row r="724">
      <c r="A724" t="n">
        <v>696</v>
      </c>
      <c r="B724" t="n">
        <v>14</v>
      </c>
      <c r="C724" t="inlineStr">
        <is>
          <t>02/02/2025 20:30</t>
        </is>
      </c>
      <c r="D724" t="inlineStr">
        <is>
          <t>Rocket Arena</t>
        </is>
      </c>
      <c r="E724" t="inlineStr">
        <is>
          <t>Cleveland Cavaliers</t>
        </is>
      </c>
      <c r="F724" t="inlineStr">
        <is>
          <t>Dallas Mavericks</t>
        </is>
      </c>
      <c r="G724" t="n">
        <v>144</v>
      </c>
      <c r="H724" t="n">
        <v>101</v>
      </c>
      <c r="I724" t="inlineStr">
        <is>
          <t>Cleveland Cavaliers</t>
        </is>
      </c>
      <c r="J724" t="inlineStr">
        <is>
          <t>Dallas Mavericks</t>
        </is>
      </c>
      <c r="K724" t="inlineStr">
        <is>
          <t>Yes</t>
        </is>
      </c>
      <c r="L724" t="inlineStr"/>
      <c r="M724" t="inlineStr">
        <is>
          <t>https://fixturedownload.com/download/nba-2024-UTC.csv</t>
        </is>
      </c>
    </row>
    <row r="725">
      <c r="A725" t="n">
        <v>697</v>
      </c>
      <c r="B725" t="n">
        <v>14</v>
      </c>
      <c r="C725" t="inlineStr">
        <is>
          <t>02/02/2025 20:30</t>
        </is>
      </c>
      <c r="D725" t="inlineStr">
        <is>
          <t>Scotiabank Arena</t>
        </is>
      </c>
      <c r="E725" t="inlineStr">
        <is>
          <t>Toronto Raptors</t>
        </is>
      </c>
      <c r="F725" t="inlineStr">
        <is>
          <t>LA Clippers</t>
        </is>
      </c>
      <c r="G725" t="n">
        <v>115</v>
      </c>
      <c r="H725" t="n">
        <v>108</v>
      </c>
      <c r="I725" t="inlineStr">
        <is>
          <t>Toronto Raptors</t>
        </is>
      </c>
      <c r="J725" t="inlineStr">
        <is>
          <t>LA Clippers</t>
        </is>
      </c>
      <c r="K725" t="inlineStr">
        <is>
          <t>Yes</t>
        </is>
      </c>
      <c r="L725" t="inlineStr"/>
      <c r="M725" t="inlineStr">
        <is>
          <t>https://fixturedownload.com/download/nba-2024-UTC.csv</t>
        </is>
      </c>
    </row>
    <row r="726">
      <c r="A726" t="n">
        <v>698</v>
      </c>
      <c r="B726" t="n">
        <v>14</v>
      </c>
      <c r="C726" t="inlineStr">
        <is>
          <t>02/02/2025 23:00</t>
        </is>
      </c>
      <c r="D726" t="inlineStr">
        <is>
          <t>Wells Fargo Center</t>
        </is>
      </c>
      <c r="E726" t="inlineStr">
        <is>
          <t>Philadelphia 76ers</t>
        </is>
      </c>
      <c r="F726" t="inlineStr">
        <is>
          <t>Boston Celtics</t>
        </is>
      </c>
      <c r="G726" t="n">
        <v>110</v>
      </c>
      <c r="H726" t="n">
        <v>118</v>
      </c>
      <c r="I726" t="inlineStr">
        <is>
          <t>Boston Celtics</t>
        </is>
      </c>
      <c r="J726" t="inlineStr">
        <is>
          <t>Philadelphia 76ers</t>
        </is>
      </c>
      <c r="K726" t="inlineStr">
        <is>
          <t>Yes</t>
        </is>
      </c>
      <c r="L726" t="inlineStr"/>
      <c r="M726" t="inlineStr">
        <is>
          <t>https://fixturedownload.com/download/nba-2024-UTC.csv</t>
        </is>
      </c>
    </row>
    <row r="727">
      <c r="A727" t="n">
        <v>699</v>
      </c>
      <c r="B727" t="n">
        <v>14</v>
      </c>
      <c r="C727" t="inlineStr">
        <is>
          <t>03/02/2025 01:30</t>
        </is>
      </c>
      <c r="D727" t="inlineStr">
        <is>
          <t>Fiserv Forum</t>
        </is>
      </c>
      <c r="E727" t="inlineStr">
        <is>
          <t>Milwaukee Bucks</t>
        </is>
      </c>
      <c r="F727" t="inlineStr">
        <is>
          <t>Memphis Grizzlies</t>
        </is>
      </c>
      <c r="G727" t="n">
        <v>119</v>
      </c>
      <c r="H727" t="n">
        <v>132</v>
      </c>
      <c r="I727" t="inlineStr">
        <is>
          <t>Memphis Grizzlies</t>
        </is>
      </c>
      <c r="J727" t="inlineStr">
        <is>
          <t>Milwaukee Bucks</t>
        </is>
      </c>
      <c r="K727" t="inlineStr">
        <is>
          <t>Yes</t>
        </is>
      </c>
      <c r="L727" t="inlineStr"/>
      <c r="M727" t="inlineStr">
        <is>
          <t>https://fixturedownload.com/download/nba-2024-UTC.csv</t>
        </is>
      </c>
    </row>
    <row r="728">
      <c r="A728" t="n">
        <v>700</v>
      </c>
      <c r="B728" t="n">
        <v>14</v>
      </c>
      <c r="C728" t="inlineStr">
        <is>
          <t>04/02/2025 00:00</t>
        </is>
      </c>
      <c r="D728" t="inlineStr">
        <is>
          <t>Spectrum Center</t>
        </is>
      </c>
      <c r="E728" t="inlineStr">
        <is>
          <t>Charlotte Hornets</t>
        </is>
      </c>
      <c r="F728" t="inlineStr">
        <is>
          <t>Washington Wizards</t>
        </is>
      </c>
      <c r="G728" t="n">
        <v>114</v>
      </c>
      <c r="H728" t="n">
        <v>124</v>
      </c>
      <c r="I728" t="inlineStr">
        <is>
          <t>Washington Wizards</t>
        </is>
      </c>
      <c r="J728" t="inlineStr">
        <is>
          <t>Charlotte Hornets</t>
        </is>
      </c>
      <c r="K728" t="inlineStr">
        <is>
          <t>Yes</t>
        </is>
      </c>
      <c r="L728" t="inlineStr"/>
      <c r="M728" t="inlineStr">
        <is>
          <t>https://fixturedownload.com/download/nba-2024-UTC.csv</t>
        </is>
      </c>
    </row>
    <row r="729">
      <c r="A729" t="n">
        <v>701</v>
      </c>
      <c r="B729" t="n">
        <v>14</v>
      </c>
      <c r="C729" t="inlineStr">
        <is>
          <t>04/02/2025 00:00</t>
        </is>
      </c>
      <c r="D729" t="inlineStr">
        <is>
          <t>Little Caesars Arena</t>
        </is>
      </c>
      <c r="E729" t="inlineStr">
        <is>
          <t>Detroit Pistons</t>
        </is>
      </c>
      <c r="F729" t="inlineStr">
        <is>
          <t>Atlanta Hawks</t>
        </is>
      </c>
      <c r="G729" t="n">
        <v>130</v>
      </c>
      <c r="H729" t="n">
        <v>132</v>
      </c>
      <c r="I729" t="inlineStr">
        <is>
          <t>Atlanta Hawks</t>
        </is>
      </c>
      <c r="J729" t="inlineStr">
        <is>
          <t>Detroit Pistons</t>
        </is>
      </c>
      <c r="K729" t="inlineStr">
        <is>
          <t>Yes</t>
        </is>
      </c>
      <c r="L729" t="inlineStr"/>
      <c r="M729" t="inlineStr">
        <is>
          <t>https://fixturedownload.com/download/nba-2024-UTC.csv</t>
        </is>
      </c>
    </row>
    <row r="730">
      <c r="A730" t="n">
        <v>702</v>
      </c>
      <c r="B730" t="n">
        <v>14</v>
      </c>
      <c r="C730" t="inlineStr">
        <is>
          <t>04/02/2025 00:30</t>
        </is>
      </c>
      <c r="D730" t="inlineStr">
        <is>
          <t>Madison Square Garden</t>
        </is>
      </c>
      <c r="E730" t="inlineStr">
        <is>
          <t>New York Knicks</t>
        </is>
      </c>
      <c r="F730" t="inlineStr">
        <is>
          <t>Houston Rockets</t>
        </is>
      </c>
      <c r="G730" t="n">
        <v>124</v>
      </c>
      <c r="H730" t="n">
        <v>118</v>
      </c>
      <c r="I730" t="inlineStr">
        <is>
          <t>New York Knicks</t>
        </is>
      </c>
      <c r="J730" t="inlineStr">
        <is>
          <t>Houston Rockets</t>
        </is>
      </c>
      <c r="K730" t="inlineStr">
        <is>
          <t>Yes</t>
        </is>
      </c>
      <c r="L730" t="inlineStr"/>
      <c r="M730" t="inlineStr">
        <is>
          <t>https://fixturedownload.com/download/nba-2024-UTC.csv</t>
        </is>
      </c>
    </row>
    <row r="731">
      <c r="A731" t="n">
        <v>703</v>
      </c>
      <c r="B731" t="n">
        <v>14</v>
      </c>
      <c r="C731" t="inlineStr">
        <is>
          <t>04/02/2025 01:00</t>
        </is>
      </c>
      <c r="D731" t="inlineStr">
        <is>
          <t>FedExForum</t>
        </is>
      </c>
      <c r="E731" t="inlineStr">
        <is>
          <t>Memphis Grizzlies</t>
        </is>
      </c>
      <c r="F731" t="inlineStr">
        <is>
          <t>San Antonio Spurs</t>
        </is>
      </c>
      <c r="G731" t="n">
        <v>128</v>
      </c>
      <c r="H731" t="n">
        <v>109</v>
      </c>
      <c r="I731" t="inlineStr">
        <is>
          <t>Memphis Grizzlies</t>
        </is>
      </c>
      <c r="J731" t="inlineStr">
        <is>
          <t>San Antonio Spurs</t>
        </is>
      </c>
      <c r="K731" t="inlineStr">
        <is>
          <t>Yes</t>
        </is>
      </c>
      <c r="L731" t="inlineStr"/>
      <c r="M731" t="inlineStr">
        <is>
          <t>https://fixturedownload.com/download/nba-2024-UTC.csv</t>
        </is>
      </c>
    </row>
    <row r="732">
      <c r="A732" t="n">
        <v>704</v>
      </c>
      <c r="B732" t="n">
        <v>14</v>
      </c>
      <c r="C732" t="inlineStr">
        <is>
          <t>04/02/2025 01:00</t>
        </is>
      </c>
      <c r="D732" t="inlineStr">
        <is>
          <t>Target Center</t>
        </is>
      </c>
      <c r="E732" t="inlineStr">
        <is>
          <t>Minnesota Timberwolves</t>
        </is>
      </c>
      <c r="F732" t="inlineStr">
        <is>
          <t>Sacramento Kings</t>
        </is>
      </c>
      <c r="G732" t="n">
        <v>114</v>
      </c>
      <c r="H732" t="n">
        <v>116</v>
      </c>
      <c r="I732" t="inlineStr">
        <is>
          <t>Sacramento Kings</t>
        </is>
      </c>
      <c r="J732" t="inlineStr">
        <is>
          <t>Minnesota Timberwolves</t>
        </is>
      </c>
      <c r="K732" t="inlineStr">
        <is>
          <t>Yes</t>
        </is>
      </c>
      <c r="L732" t="inlineStr"/>
      <c r="M732" t="inlineStr">
        <is>
          <t>https://fixturedownload.com/download/nba-2024-UTC.csv</t>
        </is>
      </c>
    </row>
    <row r="733">
      <c r="A733" t="n">
        <v>705</v>
      </c>
      <c r="B733" t="n">
        <v>14</v>
      </c>
      <c r="C733" t="inlineStr">
        <is>
          <t>04/02/2025 01:00</t>
        </is>
      </c>
      <c r="D733" t="inlineStr">
        <is>
          <t>Paycom Center</t>
        </is>
      </c>
      <c r="E733" t="inlineStr">
        <is>
          <t>Oklahoma City Thunder</t>
        </is>
      </c>
      <c r="F733" t="inlineStr">
        <is>
          <t>Milwaukee Bucks</t>
        </is>
      </c>
      <c r="G733" t="n">
        <v>125</v>
      </c>
      <c r="H733" t="n">
        <v>96</v>
      </c>
      <c r="I733" t="inlineStr">
        <is>
          <t>Oklahoma City Thunder</t>
        </is>
      </c>
      <c r="J733" t="inlineStr">
        <is>
          <t>Milwaukee Bucks</t>
        </is>
      </c>
      <c r="K733" t="inlineStr">
        <is>
          <t>Yes</t>
        </is>
      </c>
      <c r="L733" t="inlineStr"/>
      <c r="M733" t="inlineStr">
        <is>
          <t>https://fixturedownload.com/download/nba-2024-UTC.csv</t>
        </is>
      </c>
    </row>
    <row r="734">
      <c r="A734" t="n">
        <v>706</v>
      </c>
      <c r="B734" t="n">
        <v>14</v>
      </c>
      <c r="C734" t="inlineStr">
        <is>
          <t>04/02/2025 02:00</t>
        </is>
      </c>
      <c r="D734" t="inlineStr">
        <is>
          <t>Ball Arena</t>
        </is>
      </c>
      <c r="E734" t="inlineStr">
        <is>
          <t>Denver Nuggets</t>
        </is>
      </c>
      <c r="F734" t="inlineStr">
        <is>
          <t>New Orleans Pelicans</t>
        </is>
      </c>
      <c r="G734" t="n">
        <v>125</v>
      </c>
      <c r="H734" t="n">
        <v>113</v>
      </c>
      <c r="I734" t="inlineStr">
        <is>
          <t>Denver Nuggets</t>
        </is>
      </c>
      <c r="J734" t="inlineStr">
        <is>
          <t>New Orleans Pelicans</t>
        </is>
      </c>
      <c r="K734" t="inlineStr">
        <is>
          <t>Yes</t>
        </is>
      </c>
      <c r="L734" t="inlineStr"/>
      <c r="M734" t="inlineStr">
        <is>
          <t>https://fixturedownload.com/download/nba-2024-UTC.csv</t>
        </is>
      </c>
    </row>
    <row r="735">
      <c r="A735" t="n">
        <v>707</v>
      </c>
      <c r="B735" t="n">
        <v>14</v>
      </c>
      <c r="C735" t="inlineStr">
        <is>
          <t>04/02/2025 02:00</t>
        </is>
      </c>
      <c r="D735" t="inlineStr">
        <is>
          <t>Delta Center</t>
        </is>
      </c>
      <c r="E735" t="inlineStr">
        <is>
          <t>Utah Jazz</t>
        </is>
      </c>
      <c r="F735" t="inlineStr">
        <is>
          <t>Indiana Pacers</t>
        </is>
      </c>
      <c r="G735" t="n">
        <v>111</v>
      </c>
      <c r="H735" t="n">
        <v>112</v>
      </c>
      <c r="I735" t="inlineStr">
        <is>
          <t>Indiana Pacers</t>
        </is>
      </c>
      <c r="J735" t="inlineStr">
        <is>
          <t>Utah Jazz</t>
        </is>
      </c>
      <c r="K735" t="inlineStr">
        <is>
          <t>Yes</t>
        </is>
      </c>
      <c r="L735" t="inlineStr"/>
      <c r="M735" t="inlineStr">
        <is>
          <t>https://fixturedownload.com/download/nba-2024-UTC.csv</t>
        </is>
      </c>
    </row>
    <row r="736">
      <c r="A736" t="n">
        <v>708</v>
      </c>
      <c r="B736" t="n">
        <v>14</v>
      </c>
      <c r="C736" t="inlineStr">
        <is>
          <t>04/02/2025 03:00</t>
        </is>
      </c>
      <c r="D736" t="inlineStr">
        <is>
          <t>Chase Center</t>
        </is>
      </c>
      <c r="E736" t="inlineStr">
        <is>
          <t>Golden State Warriors</t>
        </is>
      </c>
      <c r="F736" t="inlineStr">
        <is>
          <t>Orlando Magic</t>
        </is>
      </c>
      <c r="G736" t="n">
        <v>104</v>
      </c>
      <c r="H736" t="n">
        <v>99</v>
      </c>
      <c r="I736" t="inlineStr">
        <is>
          <t>Golden State Warriors</t>
        </is>
      </c>
      <c r="J736" t="inlineStr">
        <is>
          <t>Orlando Magic</t>
        </is>
      </c>
      <c r="K736" t="inlineStr">
        <is>
          <t>Yes</t>
        </is>
      </c>
      <c r="L736" t="inlineStr"/>
      <c r="M736" t="inlineStr">
        <is>
          <t>https://fixturedownload.com/download/nba-2024-UTC.csv</t>
        </is>
      </c>
    </row>
    <row r="737">
      <c r="A737" t="n">
        <v>709</v>
      </c>
      <c r="B737" t="n">
        <v>14</v>
      </c>
      <c r="C737" t="inlineStr">
        <is>
          <t>04/02/2025 03:00</t>
        </is>
      </c>
      <c r="D737" t="inlineStr">
        <is>
          <t>Moda Center</t>
        </is>
      </c>
      <c r="E737" t="inlineStr">
        <is>
          <t>Portland Trail Blazers</t>
        </is>
      </c>
      <c r="F737" t="inlineStr">
        <is>
          <t>Phoenix Suns</t>
        </is>
      </c>
      <c r="G737" t="n">
        <v>121</v>
      </c>
      <c r="H737" t="n">
        <v>119</v>
      </c>
      <c r="I737" t="inlineStr">
        <is>
          <t>Portland Trail Blazers</t>
        </is>
      </c>
      <c r="J737" t="inlineStr">
        <is>
          <t>Phoenix Suns</t>
        </is>
      </c>
      <c r="K737" t="inlineStr">
        <is>
          <t>Yes</t>
        </is>
      </c>
      <c r="L737" t="inlineStr"/>
      <c r="M737" t="inlineStr">
        <is>
          <t>https://fixturedownload.com/download/nba-2024-UTC.csv</t>
        </is>
      </c>
    </row>
    <row r="738">
      <c r="A738" t="n">
        <v>712</v>
      </c>
      <c r="B738" t="n">
        <v>14</v>
      </c>
      <c r="C738" t="inlineStr">
        <is>
          <t>05/02/2025 00:00</t>
        </is>
      </c>
      <c r="D738" t="inlineStr">
        <is>
          <t>Wells Fargo Center</t>
        </is>
      </c>
      <c r="E738" t="inlineStr">
        <is>
          <t>Philadelphia 76ers</t>
        </is>
      </c>
      <c r="F738" t="inlineStr">
        <is>
          <t>Dallas Mavericks</t>
        </is>
      </c>
      <c r="G738" t="n">
        <v>118</v>
      </c>
      <c r="H738" t="n">
        <v>116</v>
      </c>
      <c r="I738" t="inlineStr">
        <is>
          <t>Philadelphia 76ers</t>
        </is>
      </c>
      <c r="J738" t="inlineStr">
        <is>
          <t>Dallas Mavericks</t>
        </is>
      </c>
      <c r="K738" t="inlineStr">
        <is>
          <t>Yes</t>
        </is>
      </c>
      <c r="L738" t="inlineStr"/>
      <c r="M738" t="inlineStr">
        <is>
          <t>https://fixturedownload.com/download/nba-2024-UTC.csv</t>
        </is>
      </c>
    </row>
    <row r="739">
      <c r="A739" t="n">
        <v>710</v>
      </c>
      <c r="B739" t="n">
        <v>14</v>
      </c>
      <c r="C739" t="inlineStr">
        <is>
          <t>05/02/2025 00:30</t>
        </is>
      </c>
      <c r="D739" t="inlineStr">
        <is>
          <t>Rocket Arena</t>
        </is>
      </c>
      <c r="E739" t="inlineStr">
        <is>
          <t>Cleveland Cavaliers</t>
        </is>
      </c>
      <c r="F739" t="inlineStr">
        <is>
          <t>Boston Celtics</t>
        </is>
      </c>
      <c r="G739" t="n">
        <v>105</v>
      </c>
      <c r="H739" t="n">
        <v>112</v>
      </c>
      <c r="I739" t="inlineStr">
        <is>
          <t>Boston Celtics</t>
        </is>
      </c>
      <c r="J739" t="inlineStr">
        <is>
          <t>Cleveland Cavaliers</t>
        </is>
      </c>
      <c r="K739" t="inlineStr">
        <is>
          <t>Yes</t>
        </is>
      </c>
      <c r="L739" t="inlineStr"/>
      <c r="M739" t="inlineStr">
        <is>
          <t>https://fixturedownload.com/download/nba-2024-UTC.csv</t>
        </is>
      </c>
    </row>
    <row r="740">
      <c r="A740" t="n">
        <v>711</v>
      </c>
      <c r="B740" t="n">
        <v>14</v>
      </c>
      <c r="C740" t="inlineStr">
        <is>
          <t>05/02/2025 00:30</t>
        </is>
      </c>
      <c r="D740" t="inlineStr">
        <is>
          <t>Barclays Center</t>
        </is>
      </c>
      <c r="E740" t="inlineStr">
        <is>
          <t>Brooklyn Nets</t>
        </is>
      </c>
      <c r="F740" t="inlineStr">
        <is>
          <t>Houston Rockets</t>
        </is>
      </c>
      <c r="G740" t="n">
        <v>99</v>
      </c>
      <c r="H740" t="n">
        <v>97</v>
      </c>
      <c r="I740" t="inlineStr">
        <is>
          <t>Brooklyn Nets</t>
        </is>
      </c>
      <c r="J740" t="inlineStr">
        <is>
          <t>Houston Rockets</t>
        </is>
      </c>
      <c r="K740" t="inlineStr">
        <is>
          <t>Yes</t>
        </is>
      </c>
      <c r="L740" t="inlineStr"/>
      <c r="M740" t="inlineStr">
        <is>
          <t>https://fixturedownload.com/download/nba-2024-UTC.csv</t>
        </is>
      </c>
    </row>
    <row r="741">
      <c r="A741" t="n">
        <v>713</v>
      </c>
      <c r="B741" t="n">
        <v>14</v>
      </c>
      <c r="C741" t="inlineStr">
        <is>
          <t>05/02/2025 00:30</t>
        </is>
      </c>
      <c r="D741" t="inlineStr">
        <is>
          <t>Scotiabank Arena</t>
        </is>
      </c>
      <c r="E741" t="inlineStr">
        <is>
          <t>Toronto Raptors</t>
        </is>
      </c>
      <c r="F741" t="inlineStr">
        <is>
          <t>New York Knicks</t>
        </is>
      </c>
      <c r="G741" t="n">
        <v>115</v>
      </c>
      <c r="H741" t="n">
        <v>121</v>
      </c>
      <c r="I741" t="inlineStr">
        <is>
          <t>New York Knicks</t>
        </is>
      </c>
      <c r="J741" t="inlineStr">
        <is>
          <t>Toronto Raptors</t>
        </is>
      </c>
      <c r="K741" t="inlineStr">
        <is>
          <t>Yes</t>
        </is>
      </c>
      <c r="L741" t="inlineStr"/>
      <c r="M741" t="inlineStr">
        <is>
          <t>https://fixturedownload.com/download/nba-2024-UTC.csv</t>
        </is>
      </c>
    </row>
    <row r="742">
      <c r="A742" t="n">
        <v>714</v>
      </c>
      <c r="B742" t="n">
        <v>14</v>
      </c>
      <c r="C742" t="inlineStr">
        <is>
          <t>05/02/2025 01:00</t>
        </is>
      </c>
      <c r="D742" t="inlineStr">
        <is>
          <t>United Center</t>
        </is>
      </c>
      <c r="E742" t="inlineStr">
        <is>
          <t>Chicago Bulls</t>
        </is>
      </c>
      <c r="F742" t="inlineStr">
        <is>
          <t>Miami Heat</t>
        </is>
      </c>
      <c r="G742" t="n">
        <v>133</v>
      </c>
      <c r="H742" t="n">
        <v>124</v>
      </c>
      <c r="I742" t="inlineStr">
        <is>
          <t>Chicago Bulls</t>
        </is>
      </c>
      <c r="J742" t="inlineStr">
        <is>
          <t>Miami Heat</t>
        </is>
      </c>
      <c r="K742" t="inlineStr">
        <is>
          <t>Yes</t>
        </is>
      </c>
      <c r="L742" t="inlineStr"/>
      <c r="M742" t="inlineStr">
        <is>
          <t>https://fixturedownload.com/download/nba-2024-UTC.csv</t>
        </is>
      </c>
    </row>
    <row r="743">
      <c r="A743" t="n">
        <v>715</v>
      </c>
      <c r="B743" t="n">
        <v>14</v>
      </c>
      <c r="C743" t="inlineStr">
        <is>
          <t>05/02/2025 03:00</t>
        </is>
      </c>
      <c r="D743" t="inlineStr">
        <is>
          <t>Intuit Dome</t>
        </is>
      </c>
      <c r="E743" t="inlineStr">
        <is>
          <t>LA Clippers</t>
        </is>
      </c>
      <c r="F743" t="inlineStr">
        <is>
          <t>Los Angeles Lakers</t>
        </is>
      </c>
      <c r="G743" t="n">
        <v>97</v>
      </c>
      <c r="H743" t="n">
        <v>122</v>
      </c>
      <c r="I743" t="inlineStr">
        <is>
          <t>Los Angeles Lakers</t>
        </is>
      </c>
      <c r="J743" t="inlineStr">
        <is>
          <t>LA Clippers</t>
        </is>
      </c>
      <c r="K743" t="inlineStr">
        <is>
          <t>Yes</t>
        </is>
      </c>
      <c r="L743" t="inlineStr"/>
      <c r="M743" t="inlineStr">
        <is>
          <t>https://fixturedownload.com/download/nba-2024-UTC.csv</t>
        </is>
      </c>
    </row>
    <row r="744">
      <c r="A744" t="n">
        <v>716</v>
      </c>
      <c r="B744" t="n">
        <v>14</v>
      </c>
      <c r="C744" t="inlineStr">
        <is>
          <t>05/02/2025 03:00</t>
        </is>
      </c>
      <c r="D744" t="inlineStr">
        <is>
          <t>Moda Center</t>
        </is>
      </c>
      <c r="E744" t="inlineStr">
        <is>
          <t>Portland Trail Blazers</t>
        </is>
      </c>
      <c r="F744" t="inlineStr">
        <is>
          <t>Indiana Pacers</t>
        </is>
      </c>
      <c r="G744" t="n">
        <v>112</v>
      </c>
      <c r="H744" t="n">
        <v>89</v>
      </c>
      <c r="I744" t="inlineStr">
        <is>
          <t>Portland Trail Blazers</t>
        </is>
      </c>
      <c r="J744" t="inlineStr">
        <is>
          <t>Indiana Pacers</t>
        </is>
      </c>
      <c r="K744" t="inlineStr">
        <is>
          <t>Yes</t>
        </is>
      </c>
      <c r="L744" t="inlineStr"/>
      <c r="M744" t="inlineStr">
        <is>
          <t>https://fixturedownload.com/download/nba-2024-UTC.csv</t>
        </is>
      </c>
    </row>
    <row r="745">
      <c r="A745" t="n">
        <v>717</v>
      </c>
      <c r="B745" t="n">
        <v>15</v>
      </c>
      <c r="C745" t="inlineStr">
        <is>
          <t>06/02/2025 00:00</t>
        </is>
      </c>
      <c r="D745" t="inlineStr">
        <is>
          <t>Spectrum Center</t>
        </is>
      </c>
      <c r="E745" t="inlineStr">
        <is>
          <t>Charlotte Hornets</t>
        </is>
      </c>
      <c r="F745" t="inlineStr">
        <is>
          <t>Milwaukee Bucks</t>
        </is>
      </c>
      <c r="G745" t="n">
        <v>102</v>
      </c>
      <c r="H745" t="n">
        <v>112</v>
      </c>
      <c r="I745" t="inlineStr">
        <is>
          <t>Milwaukee Bucks</t>
        </is>
      </c>
      <c r="J745" t="inlineStr">
        <is>
          <t>Charlotte Hornets</t>
        </is>
      </c>
      <c r="K745" t="inlineStr">
        <is>
          <t>Yes</t>
        </is>
      </c>
      <c r="L745" t="inlineStr"/>
      <c r="M745" t="inlineStr">
        <is>
          <t>https://fixturedownload.com/download/nba-2024-UTC.csv</t>
        </is>
      </c>
    </row>
    <row r="746">
      <c r="A746" t="n">
        <v>718</v>
      </c>
      <c r="B746" t="n">
        <v>15</v>
      </c>
      <c r="C746" t="inlineStr">
        <is>
          <t>06/02/2025 00:00</t>
        </is>
      </c>
      <c r="D746" t="inlineStr">
        <is>
          <t>Little Caesars Arena</t>
        </is>
      </c>
      <c r="E746" t="inlineStr">
        <is>
          <t>Detroit Pistons</t>
        </is>
      </c>
      <c r="F746" t="inlineStr">
        <is>
          <t>Cleveland Cavaliers</t>
        </is>
      </c>
      <c r="G746" t="n">
        <v>115</v>
      </c>
      <c r="H746" t="n">
        <v>118</v>
      </c>
      <c r="I746" t="inlineStr">
        <is>
          <t>Cleveland Cavaliers</t>
        </is>
      </c>
      <c r="J746" t="inlineStr">
        <is>
          <t>Detroit Pistons</t>
        </is>
      </c>
      <c r="K746" t="inlineStr">
        <is>
          <t>Yes</t>
        </is>
      </c>
      <c r="L746" t="inlineStr"/>
      <c r="M746" t="inlineStr">
        <is>
          <t>https://fixturedownload.com/download/nba-2024-UTC.csv</t>
        </is>
      </c>
    </row>
    <row r="747">
      <c r="A747" t="n">
        <v>719</v>
      </c>
      <c r="B747" t="n">
        <v>15</v>
      </c>
      <c r="C747" t="inlineStr">
        <is>
          <t>06/02/2025 00:00</t>
        </is>
      </c>
      <c r="D747" t="inlineStr">
        <is>
          <t>State Farm Arena</t>
        </is>
      </c>
      <c r="E747" t="inlineStr">
        <is>
          <t>Atlanta Hawks</t>
        </is>
      </c>
      <c r="F747" t="inlineStr">
        <is>
          <t>San Antonio Spurs</t>
        </is>
      </c>
      <c r="G747" t="n">
        <v>125</v>
      </c>
      <c r="H747" t="n">
        <v>126</v>
      </c>
      <c r="I747" t="inlineStr">
        <is>
          <t>San Antonio Spurs</t>
        </is>
      </c>
      <c r="J747" t="inlineStr">
        <is>
          <t>Atlanta Hawks</t>
        </is>
      </c>
      <c r="K747" t="inlineStr">
        <is>
          <t>Yes</t>
        </is>
      </c>
      <c r="L747" t="inlineStr"/>
      <c r="M747" t="inlineStr">
        <is>
          <t>https://fixturedownload.com/download/nba-2024-UTC.csv</t>
        </is>
      </c>
    </row>
    <row r="748">
      <c r="A748" t="n">
        <v>720</v>
      </c>
      <c r="B748" t="n">
        <v>15</v>
      </c>
      <c r="C748" t="inlineStr">
        <is>
          <t>06/02/2025 00:30</t>
        </is>
      </c>
      <c r="D748" t="inlineStr">
        <is>
          <t>Barclays Center</t>
        </is>
      </c>
      <c r="E748" t="inlineStr">
        <is>
          <t>Brooklyn Nets</t>
        </is>
      </c>
      <c r="F748" t="inlineStr">
        <is>
          <t>Washington Wizards</t>
        </is>
      </c>
      <c r="G748" t="n">
        <v>102</v>
      </c>
      <c r="H748" t="n">
        <v>119</v>
      </c>
      <c r="I748" t="inlineStr">
        <is>
          <t>Washington Wizards</t>
        </is>
      </c>
      <c r="J748" t="inlineStr">
        <is>
          <t>Brooklyn Nets</t>
        </is>
      </c>
      <c r="K748" t="inlineStr">
        <is>
          <t>Yes</t>
        </is>
      </c>
      <c r="L748" t="inlineStr"/>
      <c r="M748" t="inlineStr">
        <is>
          <t>https://fixturedownload.com/download/nba-2024-UTC.csv</t>
        </is>
      </c>
    </row>
    <row r="749">
      <c r="A749" t="n">
        <v>721</v>
      </c>
      <c r="B749" t="n">
        <v>15</v>
      </c>
      <c r="C749" t="inlineStr">
        <is>
          <t>06/02/2025 00:30</t>
        </is>
      </c>
      <c r="D749" t="inlineStr">
        <is>
          <t>Wells Fargo Center</t>
        </is>
      </c>
      <c r="E749" t="inlineStr">
        <is>
          <t>Philadelphia 76ers</t>
        </is>
      </c>
      <c r="F749" t="inlineStr">
        <is>
          <t>Miami Heat</t>
        </is>
      </c>
      <c r="G749" t="n">
        <v>101</v>
      </c>
      <c r="H749" t="n">
        <v>108</v>
      </c>
      <c r="I749" t="inlineStr">
        <is>
          <t>Miami Heat</t>
        </is>
      </c>
      <c r="J749" t="inlineStr">
        <is>
          <t>Philadelphia 76ers</t>
        </is>
      </c>
      <c r="K749" t="inlineStr">
        <is>
          <t>Yes</t>
        </is>
      </c>
      <c r="L749" t="inlineStr"/>
      <c r="M749" t="inlineStr">
        <is>
          <t>https://fixturedownload.com/download/nba-2024-UTC.csv</t>
        </is>
      </c>
    </row>
    <row r="750">
      <c r="A750" t="n">
        <v>722</v>
      </c>
      <c r="B750" t="n">
        <v>15</v>
      </c>
      <c r="C750" t="inlineStr">
        <is>
          <t>06/02/2025 00:30</t>
        </is>
      </c>
      <c r="D750" t="inlineStr">
        <is>
          <t>Scotiabank Arena</t>
        </is>
      </c>
      <c r="E750" t="inlineStr">
        <is>
          <t>Toronto Raptors</t>
        </is>
      </c>
      <c r="F750" t="inlineStr">
        <is>
          <t>Memphis Grizzlies</t>
        </is>
      </c>
      <c r="G750" t="n">
        <v>107</v>
      </c>
      <c r="H750" t="n">
        <v>138</v>
      </c>
      <c r="I750" t="inlineStr">
        <is>
          <t>Memphis Grizzlies</t>
        </is>
      </c>
      <c r="J750" t="inlineStr">
        <is>
          <t>Toronto Raptors</t>
        </is>
      </c>
      <c r="K750" t="inlineStr">
        <is>
          <t>Yes</t>
        </is>
      </c>
      <c r="L750" t="inlineStr"/>
      <c r="M750" t="inlineStr">
        <is>
          <t>https://fixturedownload.com/download/nba-2024-UTC.csv</t>
        </is>
      </c>
    </row>
    <row r="751">
      <c r="A751" t="n">
        <v>723</v>
      </c>
      <c r="B751" t="n">
        <v>15</v>
      </c>
      <c r="C751" t="inlineStr">
        <is>
          <t>06/02/2025 01:00</t>
        </is>
      </c>
      <c r="D751" t="inlineStr">
        <is>
          <t>Target Center</t>
        </is>
      </c>
      <c r="E751" t="inlineStr">
        <is>
          <t>Minnesota Timberwolves</t>
        </is>
      </c>
      <c r="F751" t="inlineStr">
        <is>
          <t>Chicago Bulls</t>
        </is>
      </c>
      <c r="G751" t="n">
        <v>127</v>
      </c>
      <c r="H751" t="n">
        <v>108</v>
      </c>
      <c r="I751" t="inlineStr">
        <is>
          <t>Minnesota Timberwolves</t>
        </is>
      </c>
      <c r="J751" t="inlineStr">
        <is>
          <t>Chicago Bulls</t>
        </is>
      </c>
      <c r="K751" t="inlineStr">
        <is>
          <t>Yes</t>
        </is>
      </c>
      <c r="L751" t="inlineStr"/>
      <c r="M751" t="inlineStr">
        <is>
          <t>https://fixturedownload.com/download/nba-2024-UTC.csv</t>
        </is>
      </c>
    </row>
    <row r="752">
      <c r="A752" t="n">
        <v>725</v>
      </c>
      <c r="B752" t="n">
        <v>15</v>
      </c>
      <c r="C752" t="inlineStr">
        <is>
          <t>06/02/2025 02:00</t>
        </is>
      </c>
      <c r="D752" t="inlineStr">
        <is>
          <t>Delta Center</t>
        </is>
      </c>
      <c r="E752" t="inlineStr">
        <is>
          <t>Utah Jazz</t>
        </is>
      </c>
      <c r="F752" t="inlineStr">
        <is>
          <t>Golden State Warriors</t>
        </is>
      </c>
      <c r="G752" t="n">
        <v>131</v>
      </c>
      <c r="H752" t="n">
        <v>128</v>
      </c>
      <c r="I752" t="inlineStr">
        <is>
          <t>Utah Jazz</t>
        </is>
      </c>
      <c r="J752" t="inlineStr">
        <is>
          <t>Golden State Warriors</t>
        </is>
      </c>
      <c r="K752" t="inlineStr">
        <is>
          <t>Yes</t>
        </is>
      </c>
      <c r="L752" t="inlineStr"/>
      <c r="M752" t="inlineStr">
        <is>
          <t>https://fixturedownload.com/download/nba-2024-UTC.csv</t>
        </is>
      </c>
    </row>
    <row r="753">
      <c r="A753" t="n">
        <v>726</v>
      </c>
      <c r="B753" t="n">
        <v>15</v>
      </c>
      <c r="C753" t="inlineStr">
        <is>
          <t>06/02/2025 02:00</t>
        </is>
      </c>
      <c r="D753" t="inlineStr">
        <is>
          <t>Ball Arena</t>
        </is>
      </c>
      <c r="E753" t="inlineStr">
        <is>
          <t>Denver Nuggets</t>
        </is>
      </c>
      <c r="F753" t="inlineStr">
        <is>
          <t>New Orleans Pelicans</t>
        </is>
      </c>
      <c r="G753" t="n">
        <v>144</v>
      </c>
      <c r="H753" t="n">
        <v>119</v>
      </c>
      <c r="I753" t="inlineStr">
        <is>
          <t>Denver Nuggets</t>
        </is>
      </c>
      <c r="J753" t="inlineStr">
        <is>
          <t>New Orleans Pelicans</t>
        </is>
      </c>
      <c r="K753" t="inlineStr">
        <is>
          <t>Yes</t>
        </is>
      </c>
      <c r="L753" t="inlineStr"/>
      <c r="M753" t="inlineStr">
        <is>
          <t>https://fixturedownload.com/download/nba-2024-UTC.csv</t>
        </is>
      </c>
    </row>
    <row r="754">
      <c r="A754" t="n">
        <v>724</v>
      </c>
      <c r="B754" t="n">
        <v>15</v>
      </c>
      <c r="C754" t="inlineStr">
        <is>
          <t>06/02/2025 02:30</t>
        </is>
      </c>
      <c r="D754" t="inlineStr">
        <is>
          <t>Paycom Center</t>
        </is>
      </c>
      <c r="E754" t="inlineStr">
        <is>
          <t>Oklahoma City Thunder</t>
        </is>
      </c>
      <c r="F754" t="inlineStr">
        <is>
          <t>Phoenix Suns</t>
        </is>
      </c>
      <c r="G754" t="n">
        <v>140</v>
      </c>
      <c r="H754" t="n">
        <v>109</v>
      </c>
      <c r="I754" t="inlineStr">
        <is>
          <t>Oklahoma City Thunder</t>
        </is>
      </c>
      <c r="J754" t="inlineStr">
        <is>
          <t>Phoenix Suns</t>
        </is>
      </c>
      <c r="K754" t="inlineStr">
        <is>
          <t>Yes</t>
        </is>
      </c>
      <c r="L754" t="inlineStr"/>
      <c r="M754" t="inlineStr">
        <is>
          <t>https://fixturedownload.com/download/nba-2024-UTC.csv</t>
        </is>
      </c>
    </row>
    <row r="755">
      <c r="A755" t="n">
        <v>727</v>
      </c>
      <c r="B755" t="n">
        <v>15</v>
      </c>
      <c r="C755" t="inlineStr">
        <is>
          <t>06/02/2025 03:00</t>
        </is>
      </c>
      <c r="D755" t="inlineStr">
        <is>
          <t>Golden 1 Center</t>
        </is>
      </c>
      <c r="E755" t="inlineStr">
        <is>
          <t>Sacramento Kings</t>
        </is>
      </c>
      <c r="F755" t="inlineStr">
        <is>
          <t>Orlando Magic</t>
        </is>
      </c>
      <c r="G755" t="n">
        <v>111</v>
      </c>
      <c r="H755" t="n">
        <v>130</v>
      </c>
      <c r="I755" t="inlineStr">
        <is>
          <t>Orlando Magic</t>
        </is>
      </c>
      <c r="J755" t="inlineStr">
        <is>
          <t>Sacramento Kings</t>
        </is>
      </c>
      <c r="K755" t="inlineStr">
        <is>
          <t>Yes</t>
        </is>
      </c>
      <c r="L755" t="inlineStr"/>
      <c r="M755" t="inlineStr">
        <is>
          <t>https://fixturedownload.com/download/nba-2024-UTC.csv</t>
        </is>
      </c>
    </row>
    <row r="756">
      <c r="A756" t="n">
        <v>728</v>
      </c>
      <c r="B756" t="n">
        <v>15</v>
      </c>
      <c r="C756" t="inlineStr">
        <is>
          <t>07/02/2025 00:30</t>
        </is>
      </c>
      <c r="D756" t="inlineStr">
        <is>
          <t>TD Garden</t>
        </is>
      </c>
      <c r="E756" t="inlineStr">
        <is>
          <t>Boston Celtics</t>
        </is>
      </c>
      <c r="F756" t="inlineStr">
        <is>
          <t>Dallas Mavericks</t>
        </is>
      </c>
      <c r="G756" t="n">
        <v>120</v>
      </c>
      <c r="H756" t="n">
        <v>127</v>
      </c>
      <c r="I756" t="inlineStr">
        <is>
          <t>Dallas Mavericks</t>
        </is>
      </c>
      <c r="J756" t="inlineStr">
        <is>
          <t>Boston Celtics</t>
        </is>
      </c>
      <c r="K756" t="inlineStr">
        <is>
          <t>Yes</t>
        </is>
      </c>
      <c r="L756" t="inlineStr"/>
      <c r="M756" t="inlineStr">
        <is>
          <t>https://fixturedownload.com/download/nba-2024-UTC.csv</t>
        </is>
      </c>
    </row>
    <row r="757">
      <c r="A757" t="n">
        <v>729</v>
      </c>
      <c r="B757" t="n">
        <v>15</v>
      </c>
      <c r="C757" t="inlineStr">
        <is>
          <t>07/02/2025 01:00</t>
        </is>
      </c>
      <c r="D757" t="inlineStr">
        <is>
          <t>Target Center</t>
        </is>
      </c>
      <c r="E757" t="inlineStr">
        <is>
          <t>Minnesota Timberwolves</t>
        </is>
      </c>
      <c r="F757" t="inlineStr">
        <is>
          <t>Houston Rockets</t>
        </is>
      </c>
      <c r="G757" t="n">
        <v>127</v>
      </c>
      <c r="H757" t="n">
        <v>114</v>
      </c>
      <c r="I757" t="inlineStr">
        <is>
          <t>Minnesota Timberwolves</t>
        </is>
      </c>
      <c r="J757" t="inlineStr">
        <is>
          <t>Houston Rockets</t>
        </is>
      </c>
      <c r="K757" t="inlineStr">
        <is>
          <t>Yes</t>
        </is>
      </c>
      <c r="L757" t="inlineStr"/>
      <c r="M757" t="inlineStr">
        <is>
          <t>https://fixturedownload.com/download/nba-2024-UTC.csv</t>
        </is>
      </c>
    </row>
    <row r="758">
      <c r="A758" t="n">
        <v>730</v>
      </c>
      <c r="B758" t="n">
        <v>15</v>
      </c>
      <c r="C758" t="inlineStr">
        <is>
          <t>07/02/2025 02:00</t>
        </is>
      </c>
      <c r="D758" t="inlineStr">
        <is>
          <t>Ball Arena</t>
        </is>
      </c>
      <c r="E758" t="inlineStr">
        <is>
          <t>Denver Nuggets</t>
        </is>
      </c>
      <c r="F758" t="inlineStr">
        <is>
          <t>Orlando Magic</t>
        </is>
      </c>
      <c r="G758" t="n">
        <v>112</v>
      </c>
      <c r="H758" t="n">
        <v>90</v>
      </c>
      <c r="I758" t="inlineStr">
        <is>
          <t>Denver Nuggets</t>
        </is>
      </c>
      <c r="J758" t="inlineStr">
        <is>
          <t>Orlando Magic</t>
        </is>
      </c>
      <c r="K758" t="inlineStr">
        <is>
          <t>Yes</t>
        </is>
      </c>
      <c r="L758" t="inlineStr"/>
      <c r="M758" t="inlineStr">
        <is>
          <t>https://fixturedownload.com/download/nba-2024-UTC.csv</t>
        </is>
      </c>
    </row>
    <row r="759">
      <c r="A759" t="n">
        <v>731</v>
      </c>
      <c r="B759" t="n">
        <v>15</v>
      </c>
      <c r="C759" t="inlineStr">
        <is>
          <t>07/02/2025 03:00</t>
        </is>
      </c>
      <c r="D759" t="inlineStr">
        <is>
          <t>Crypto.com Arena</t>
        </is>
      </c>
      <c r="E759" t="inlineStr">
        <is>
          <t>Los Angeles Lakers</t>
        </is>
      </c>
      <c r="F759" t="inlineStr">
        <is>
          <t>Golden State Warriors</t>
        </is>
      </c>
      <c r="G759" t="n">
        <v>120</v>
      </c>
      <c r="H759" t="n">
        <v>112</v>
      </c>
      <c r="I759" t="inlineStr">
        <is>
          <t>Los Angeles Lakers</t>
        </is>
      </c>
      <c r="J759" t="inlineStr">
        <is>
          <t>Golden State Warriors</t>
        </is>
      </c>
      <c r="K759" t="inlineStr">
        <is>
          <t>Yes</t>
        </is>
      </c>
      <c r="L759" t="inlineStr"/>
      <c r="M759" t="inlineStr">
        <is>
          <t>https://fixturedownload.com/download/nba-2024-UTC.csv</t>
        </is>
      </c>
    </row>
    <row r="760">
      <c r="A760" t="n">
        <v>732</v>
      </c>
      <c r="B760" t="n">
        <v>15</v>
      </c>
      <c r="C760" t="inlineStr">
        <is>
          <t>07/02/2025 03:00</t>
        </is>
      </c>
      <c r="D760" t="inlineStr">
        <is>
          <t>Moda Center</t>
        </is>
      </c>
      <c r="E760" t="inlineStr">
        <is>
          <t>Portland Trail Blazers</t>
        </is>
      </c>
      <c r="F760" t="inlineStr">
        <is>
          <t>Sacramento Kings</t>
        </is>
      </c>
      <c r="G760" t="n">
        <v>108</v>
      </c>
      <c r="H760" t="n">
        <v>102</v>
      </c>
      <c r="I760" t="inlineStr">
        <is>
          <t>Portland Trail Blazers</t>
        </is>
      </c>
      <c r="J760" t="inlineStr">
        <is>
          <t>Sacramento Kings</t>
        </is>
      </c>
      <c r="K760" t="inlineStr">
        <is>
          <t>Yes</t>
        </is>
      </c>
      <c r="L760" t="inlineStr"/>
      <c r="M760" t="inlineStr">
        <is>
          <t>https://fixturedownload.com/download/nba-2024-UTC.csv</t>
        </is>
      </c>
    </row>
    <row r="761">
      <c r="A761" t="n">
        <v>733</v>
      </c>
      <c r="B761" t="n">
        <v>15</v>
      </c>
      <c r="C761" t="inlineStr">
        <is>
          <t>07/02/2025 03:30</t>
        </is>
      </c>
      <c r="D761" t="inlineStr">
        <is>
          <t>Intuit Dome</t>
        </is>
      </c>
      <c r="E761" t="inlineStr">
        <is>
          <t>LA Clippers</t>
        </is>
      </c>
      <c r="F761" t="inlineStr">
        <is>
          <t>Indiana Pacers</t>
        </is>
      </c>
      <c r="G761" t="n">
        <v>112</v>
      </c>
      <c r="H761" t="n">
        <v>119</v>
      </c>
      <c r="I761" t="inlineStr">
        <is>
          <t>Indiana Pacers</t>
        </is>
      </c>
      <c r="J761" t="inlineStr">
        <is>
          <t>LA Clippers</t>
        </is>
      </c>
      <c r="K761" t="inlineStr">
        <is>
          <t>Yes</t>
        </is>
      </c>
      <c r="L761" t="inlineStr"/>
      <c r="M761" t="inlineStr">
        <is>
          <t>https://fixturedownload.com/download/nba-2024-UTC.csv</t>
        </is>
      </c>
    </row>
    <row r="762">
      <c r="A762" t="n">
        <v>734</v>
      </c>
      <c r="B762" t="n">
        <v>15</v>
      </c>
      <c r="C762" t="inlineStr">
        <is>
          <t>08/02/2025 00:00</t>
        </is>
      </c>
      <c r="D762" t="inlineStr">
        <is>
          <t>Spectrum Center</t>
        </is>
      </c>
      <c r="E762" t="inlineStr">
        <is>
          <t>Charlotte Hornets</t>
        </is>
      </c>
      <c r="F762" t="inlineStr">
        <is>
          <t>San Antonio Spurs</t>
        </is>
      </c>
      <c r="G762" t="n">
        <v>117</v>
      </c>
      <c r="H762" t="n">
        <v>116</v>
      </c>
      <c r="I762" t="inlineStr">
        <is>
          <t>Charlotte Hornets</t>
        </is>
      </c>
      <c r="J762" t="inlineStr">
        <is>
          <t>San Antonio Spurs</t>
        </is>
      </c>
      <c r="K762" t="inlineStr">
        <is>
          <t>Yes</t>
        </is>
      </c>
      <c r="L762" t="inlineStr"/>
      <c r="M762" t="inlineStr">
        <is>
          <t>https://fixturedownload.com/download/nba-2024-UTC.csv</t>
        </is>
      </c>
    </row>
    <row r="763">
      <c r="A763" t="n">
        <v>735</v>
      </c>
      <c r="B763" t="n">
        <v>15</v>
      </c>
      <c r="C763" t="inlineStr">
        <is>
          <t>08/02/2025 00:00</t>
        </is>
      </c>
      <c r="D763" t="inlineStr">
        <is>
          <t>Capital One Arena</t>
        </is>
      </c>
      <c r="E763" t="inlineStr">
        <is>
          <t>Washington Wizards</t>
        </is>
      </c>
      <c r="F763" t="inlineStr">
        <is>
          <t>Cleveland Cavaliers</t>
        </is>
      </c>
      <c r="G763" t="n">
        <v>124</v>
      </c>
      <c r="H763" t="n">
        <v>134</v>
      </c>
      <c r="I763" t="inlineStr">
        <is>
          <t>Cleveland Cavaliers</t>
        </is>
      </c>
      <c r="J763" t="inlineStr">
        <is>
          <t>Washington Wizards</t>
        </is>
      </c>
      <c r="K763" t="inlineStr">
        <is>
          <t>Yes</t>
        </is>
      </c>
      <c r="L763" t="inlineStr"/>
      <c r="M763" t="inlineStr">
        <is>
          <t>https://fixturedownload.com/download/nba-2024-UTC.csv</t>
        </is>
      </c>
    </row>
    <row r="764">
      <c r="A764" t="n">
        <v>736</v>
      </c>
      <c r="B764" t="n">
        <v>15</v>
      </c>
      <c r="C764" t="inlineStr">
        <is>
          <t>08/02/2025 00:30</t>
        </is>
      </c>
      <c r="D764" t="inlineStr">
        <is>
          <t>State Farm Arena</t>
        </is>
      </c>
      <c r="E764" t="inlineStr">
        <is>
          <t>Atlanta Hawks</t>
        </is>
      </c>
      <c r="F764" t="inlineStr">
        <is>
          <t>Milwaukee Bucks</t>
        </is>
      </c>
      <c r="G764" t="n">
        <v>115</v>
      </c>
      <c r="H764" t="n">
        <v>110</v>
      </c>
      <c r="I764" t="inlineStr">
        <is>
          <t>Atlanta Hawks</t>
        </is>
      </c>
      <c r="J764" t="inlineStr">
        <is>
          <t>Milwaukee Bucks</t>
        </is>
      </c>
      <c r="K764" t="inlineStr">
        <is>
          <t>Yes</t>
        </is>
      </c>
      <c r="L764" t="inlineStr"/>
      <c r="M764" t="inlineStr">
        <is>
          <t>https://fixturedownload.com/download/nba-2024-UTC.csv</t>
        </is>
      </c>
    </row>
    <row r="765">
      <c r="A765" t="n">
        <v>737</v>
      </c>
      <c r="B765" t="n">
        <v>15</v>
      </c>
      <c r="C765" t="inlineStr">
        <is>
          <t>08/02/2025 00:30</t>
        </is>
      </c>
      <c r="D765" t="inlineStr">
        <is>
          <t>Barclays Center</t>
        </is>
      </c>
      <c r="E765" t="inlineStr">
        <is>
          <t>Brooklyn Nets</t>
        </is>
      </c>
      <c r="F765" t="inlineStr">
        <is>
          <t>Miami Heat</t>
        </is>
      </c>
      <c r="G765" t="n">
        <v>102</v>
      </c>
      <c r="H765" t="n">
        <v>86</v>
      </c>
      <c r="I765" t="inlineStr">
        <is>
          <t>Brooklyn Nets</t>
        </is>
      </c>
      <c r="J765" t="inlineStr">
        <is>
          <t>Miami Heat</t>
        </is>
      </c>
      <c r="K765" t="inlineStr">
        <is>
          <t>Yes</t>
        </is>
      </c>
      <c r="L765" t="inlineStr"/>
      <c r="M765" t="inlineStr">
        <is>
          <t>https://fixturedownload.com/download/nba-2024-UTC.csv</t>
        </is>
      </c>
    </row>
    <row r="766">
      <c r="A766" t="n">
        <v>738</v>
      </c>
      <c r="B766" t="n">
        <v>15</v>
      </c>
      <c r="C766" t="inlineStr">
        <is>
          <t>08/02/2025 00:30</t>
        </is>
      </c>
      <c r="D766" t="inlineStr">
        <is>
          <t>Little Caesars Arena</t>
        </is>
      </c>
      <c r="E766" t="inlineStr">
        <is>
          <t>Detroit Pistons</t>
        </is>
      </c>
      <c r="F766" t="inlineStr">
        <is>
          <t>Philadelphia 76ers</t>
        </is>
      </c>
      <c r="G766" t="n">
        <v>125</v>
      </c>
      <c r="H766" t="n">
        <v>112</v>
      </c>
      <c r="I766" t="inlineStr">
        <is>
          <t>Detroit Pistons</t>
        </is>
      </c>
      <c r="J766" t="inlineStr">
        <is>
          <t>Philadelphia 76ers</t>
        </is>
      </c>
      <c r="K766" t="inlineStr">
        <is>
          <t>Yes</t>
        </is>
      </c>
      <c r="L766" t="inlineStr"/>
      <c r="M766" t="inlineStr">
        <is>
          <t>https://fixturedownload.com/download/nba-2024-UTC.csv</t>
        </is>
      </c>
    </row>
    <row r="767">
      <c r="A767" t="n">
        <v>739</v>
      </c>
      <c r="B767" t="n">
        <v>15</v>
      </c>
      <c r="C767" t="inlineStr">
        <is>
          <t>08/02/2025 01:00</t>
        </is>
      </c>
      <c r="D767" t="inlineStr">
        <is>
          <t>Paycom Center</t>
        </is>
      </c>
      <c r="E767" t="inlineStr">
        <is>
          <t>Oklahoma City Thunder</t>
        </is>
      </c>
      <c r="F767" t="inlineStr">
        <is>
          <t>Toronto Raptors</t>
        </is>
      </c>
      <c r="G767" t="n">
        <v>121</v>
      </c>
      <c r="H767" t="n">
        <v>109</v>
      </c>
      <c r="I767" t="inlineStr">
        <is>
          <t>Oklahoma City Thunder</t>
        </is>
      </c>
      <c r="J767" t="inlineStr">
        <is>
          <t>Toronto Raptors</t>
        </is>
      </c>
      <c r="K767" t="inlineStr">
        <is>
          <t>Yes</t>
        </is>
      </c>
      <c r="L767" t="inlineStr"/>
      <c r="M767" t="inlineStr">
        <is>
          <t>https://fixturedownload.com/download/nba-2024-UTC.csv</t>
        </is>
      </c>
    </row>
    <row r="768">
      <c r="A768" t="n">
        <v>740</v>
      </c>
      <c r="B768" t="n">
        <v>15</v>
      </c>
      <c r="C768" t="inlineStr">
        <is>
          <t>08/02/2025 03:00</t>
        </is>
      </c>
      <c r="D768" t="inlineStr">
        <is>
          <t>PHX Arena</t>
        </is>
      </c>
      <c r="E768" t="inlineStr">
        <is>
          <t>Phoenix Suns</t>
        </is>
      </c>
      <c r="F768" t="inlineStr">
        <is>
          <t>Utah Jazz</t>
        </is>
      </c>
      <c r="G768" t="n">
        <v>135</v>
      </c>
      <c r="H768" t="n">
        <v>127</v>
      </c>
      <c r="I768" t="inlineStr">
        <is>
          <t>Phoenix Suns</t>
        </is>
      </c>
      <c r="J768" t="inlineStr">
        <is>
          <t>Utah Jazz</t>
        </is>
      </c>
      <c r="K768" t="inlineStr">
        <is>
          <t>Yes</t>
        </is>
      </c>
      <c r="L768" t="inlineStr"/>
      <c r="M768" t="inlineStr">
        <is>
          <t>https://fixturedownload.com/download/nba-2024-UTC.csv</t>
        </is>
      </c>
    </row>
    <row r="769">
      <c r="A769" t="n">
        <v>741</v>
      </c>
      <c r="B769" t="n">
        <v>15</v>
      </c>
      <c r="C769" t="inlineStr">
        <is>
          <t>08/02/2025 20:00</t>
        </is>
      </c>
      <c r="D769" t="inlineStr">
        <is>
          <t>American Airlines Center</t>
        </is>
      </c>
      <c r="E769" t="inlineStr">
        <is>
          <t>Dallas Mavericks</t>
        </is>
      </c>
      <c r="F769" t="inlineStr">
        <is>
          <t>Houston Rockets</t>
        </is>
      </c>
      <c r="G769" t="n">
        <v>116</v>
      </c>
      <c r="H769" t="n">
        <v>105</v>
      </c>
      <c r="I769" t="inlineStr">
        <is>
          <t>Dallas Mavericks</t>
        </is>
      </c>
      <c r="J769" t="inlineStr">
        <is>
          <t>Houston Rockets</t>
        </is>
      </c>
      <c r="K769" t="inlineStr">
        <is>
          <t>Yes</t>
        </is>
      </c>
      <c r="L769" t="inlineStr"/>
      <c r="M769" t="inlineStr">
        <is>
          <t>https://fixturedownload.com/download/nba-2024-UTC.csv</t>
        </is>
      </c>
    </row>
    <row r="770">
      <c r="A770" t="n">
        <v>742</v>
      </c>
      <c r="B770" t="n">
        <v>15</v>
      </c>
      <c r="C770" t="inlineStr">
        <is>
          <t>08/02/2025 21:00</t>
        </is>
      </c>
      <c r="D770" t="inlineStr">
        <is>
          <t>Crypto.com Arena</t>
        </is>
      </c>
      <c r="E770" t="inlineStr">
        <is>
          <t>Los Angeles Lakers</t>
        </is>
      </c>
      <c r="F770" t="inlineStr">
        <is>
          <t>Indiana Pacers</t>
        </is>
      </c>
      <c r="G770" t="n">
        <v>124</v>
      </c>
      <c r="H770" t="n">
        <v>117</v>
      </c>
      <c r="I770" t="inlineStr">
        <is>
          <t>Los Angeles Lakers</t>
        </is>
      </c>
      <c r="J770" t="inlineStr">
        <is>
          <t>Indiana Pacers</t>
        </is>
      </c>
      <c r="K770" t="inlineStr">
        <is>
          <t>Yes</t>
        </is>
      </c>
      <c r="L770" t="inlineStr"/>
      <c r="M770" t="inlineStr">
        <is>
          <t>https://fixturedownload.com/download/nba-2024-UTC.csv</t>
        </is>
      </c>
    </row>
    <row r="771">
      <c r="A771" t="n">
        <v>743</v>
      </c>
      <c r="B771" t="n">
        <v>15</v>
      </c>
      <c r="C771" t="inlineStr">
        <is>
          <t>09/02/2025 00:00</t>
        </is>
      </c>
      <c r="D771" t="inlineStr">
        <is>
          <t>Kia Center</t>
        </is>
      </c>
      <c r="E771" t="inlineStr">
        <is>
          <t>Orlando Magic</t>
        </is>
      </c>
      <c r="F771" t="inlineStr">
        <is>
          <t>San Antonio Spurs</t>
        </is>
      </c>
      <c r="G771" t="n">
        <v>112</v>
      </c>
      <c r="H771" t="n">
        <v>111</v>
      </c>
      <c r="I771" t="inlineStr">
        <is>
          <t>Orlando Magic</t>
        </is>
      </c>
      <c r="J771" t="inlineStr">
        <is>
          <t>San Antonio Spurs</t>
        </is>
      </c>
      <c r="K771" t="inlineStr">
        <is>
          <t>Yes</t>
        </is>
      </c>
      <c r="L771" t="inlineStr"/>
      <c r="M771" t="inlineStr">
        <is>
          <t>https://fixturedownload.com/download/nba-2024-UTC.csv</t>
        </is>
      </c>
    </row>
    <row r="772">
      <c r="A772" t="n">
        <v>744</v>
      </c>
      <c r="B772" t="n">
        <v>15</v>
      </c>
      <c r="C772" t="inlineStr">
        <is>
          <t>09/02/2025 00:00</t>
        </is>
      </c>
      <c r="D772" t="inlineStr">
        <is>
          <t>Capital One Arena</t>
        </is>
      </c>
      <c r="E772" t="inlineStr">
        <is>
          <t>Washington Wizards</t>
        </is>
      </c>
      <c r="F772" t="inlineStr">
        <is>
          <t>Atlanta Hawks</t>
        </is>
      </c>
      <c r="G772" t="n">
        <v>111</v>
      </c>
      <c r="H772" t="n">
        <v>125</v>
      </c>
      <c r="I772" t="inlineStr">
        <is>
          <t>Atlanta Hawks</t>
        </is>
      </c>
      <c r="J772" t="inlineStr">
        <is>
          <t>Washington Wizards</t>
        </is>
      </c>
      <c r="K772" t="inlineStr">
        <is>
          <t>Yes</t>
        </is>
      </c>
      <c r="L772" t="inlineStr"/>
      <c r="M772" t="inlineStr">
        <is>
          <t>https://fixturedownload.com/download/nba-2024-UTC.csv</t>
        </is>
      </c>
    </row>
    <row r="773">
      <c r="A773" t="n">
        <v>745</v>
      </c>
      <c r="B773" t="n">
        <v>15</v>
      </c>
      <c r="C773" t="inlineStr">
        <is>
          <t>09/02/2025 01:00</t>
        </is>
      </c>
      <c r="D773" t="inlineStr">
        <is>
          <t>United Center</t>
        </is>
      </c>
      <c r="E773" t="inlineStr">
        <is>
          <t>Chicago Bulls</t>
        </is>
      </c>
      <c r="F773" t="inlineStr">
        <is>
          <t>Golden State Warriors</t>
        </is>
      </c>
      <c r="G773" t="n">
        <v>111</v>
      </c>
      <c r="H773" t="n">
        <v>132</v>
      </c>
      <c r="I773" t="inlineStr">
        <is>
          <t>Golden State Warriors</t>
        </is>
      </c>
      <c r="J773" t="inlineStr">
        <is>
          <t>Chicago Bulls</t>
        </is>
      </c>
      <c r="K773" t="inlineStr">
        <is>
          <t>Yes</t>
        </is>
      </c>
      <c r="L773" t="inlineStr"/>
      <c r="M773" t="inlineStr">
        <is>
          <t>https://fixturedownload.com/download/nba-2024-UTC.csv</t>
        </is>
      </c>
    </row>
    <row r="774">
      <c r="A774" t="n">
        <v>746</v>
      </c>
      <c r="B774" t="n">
        <v>15</v>
      </c>
      <c r="C774" t="inlineStr">
        <is>
          <t>09/02/2025 01:00</t>
        </is>
      </c>
      <c r="D774" t="inlineStr">
        <is>
          <t>FedExForum</t>
        </is>
      </c>
      <c r="E774" t="inlineStr">
        <is>
          <t>Memphis Grizzlies</t>
        </is>
      </c>
      <c r="F774" t="inlineStr">
        <is>
          <t>Oklahoma City Thunder</t>
        </is>
      </c>
      <c r="G774" t="n">
        <v>112</v>
      </c>
      <c r="H774" t="n">
        <v>125</v>
      </c>
      <c r="I774" t="inlineStr">
        <is>
          <t>Oklahoma City Thunder</t>
        </is>
      </c>
      <c r="J774" t="inlineStr">
        <is>
          <t>Memphis Grizzlies</t>
        </is>
      </c>
      <c r="K774" t="inlineStr">
        <is>
          <t>Yes</t>
        </is>
      </c>
      <c r="L774" t="inlineStr"/>
      <c r="M774" t="inlineStr">
        <is>
          <t>https://fixturedownload.com/download/nba-2024-UTC.csv</t>
        </is>
      </c>
    </row>
    <row r="775">
      <c r="A775" t="n">
        <v>747</v>
      </c>
      <c r="B775" t="n">
        <v>15</v>
      </c>
      <c r="C775" t="inlineStr">
        <is>
          <t>09/02/2025 01:00</t>
        </is>
      </c>
      <c r="D775" t="inlineStr">
        <is>
          <t>Target Center</t>
        </is>
      </c>
      <c r="E775" t="inlineStr">
        <is>
          <t>Minnesota Timberwolves</t>
        </is>
      </c>
      <c r="F775" t="inlineStr">
        <is>
          <t>Portland Trail Blazers</t>
        </is>
      </c>
      <c r="G775" t="n">
        <v>114</v>
      </c>
      <c r="H775" t="n">
        <v>98</v>
      </c>
      <c r="I775" t="inlineStr">
        <is>
          <t>Minnesota Timberwolves</t>
        </is>
      </c>
      <c r="J775" t="inlineStr">
        <is>
          <t>Portland Trail Blazers</t>
        </is>
      </c>
      <c r="K775" t="inlineStr">
        <is>
          <t>Yes</t>
        </is>
      </c>
      <c r="L775" t="inlineStr"/>
      <c r="M775" t="inlineStr">
        <is>
          <t>https://fixturedownload.com/download/nba-2024-UTC.csv</t>
        </is>
      </c>
    </row>
    <row r="776">
      <c r="A776" t="n">
        <v>748</v>
      </c>
      <c r="B776" t="n">
        <v>15</v>
      </c>
      <c r="C776" t="inlineStr">
        <is>
          <t>09/02/2025 01:30</t>
        </is>
      </c>
      <c r="D776" t="inlineStr">
        <is>
          <t>Madison Square Garden</t>
        </is>
      </c>
      <c r="E776" t="inlineStr">
        <is>
          <t>New York Knicks</t>
        </is>
      </c>
      <c r="F776" t="inlineStr">
        <is>
          <t>Boston Celtics</t>
        </is>
      </c>
      <c r="G776" t="n">
        <v>104</v>
      </c>
      <c r="H776" t="n">
        <v>131</v>
      </c>
      <c r="I776" t="inlineStr">
        <is>
          <t>Boston Celtics</t>
        </is>
      </c>
      <c r="J776" t="inlineStr">
        <is>
          <t>New York Knicks</t>
        </is>
      </c>
      <c r="K776" t="inlineStr">
        <is>
          <t>Yes</t>
        </is>
      </c>
      <c r="L776" t="inlineStr"/>
      <c r="M776" t="inlineStr">
        <is>
          <t>https://fixturedownload.com/download/nba-2024-UTC.csv</t>
        </is>
      </c>
    </row>
    <row r="777">
      <c r="A777" t="n">
        <v>749</v>
      </c>
      <c r="B777" t="n">
        <v>15</v>
      </c>
      <c r="C777" t="inlineStr">
        <is>
          <t>09/02/2025 02:00</t>
        </is>
      </c>
      <c r="D777" t="inlineStr">
        <is>
          <t>PHX Arena</t>
        </is>
      </c>
      <c r="E777" t="inlineStr">
        <is>
          <t>Phoenix Suns</t>
        </is>
      </c>
      <c r="F777" t="inlineStr">
        <is>
          <t>Denver Nuggets</t>
        </is>
      </c>
      <c r="G777" t="n">
        <v>105</v>
      </c>
      <c r="H777" t="n">
        <v>122</v>
      </c>
      <c r="I777" t="inlineStr">
        <is>
          <t>Denver Nuggets</t>
        </is>
      </c>
      <c r="J777" t="inlineStr">
        <is>
          <t>Phoenix Suns</t>
        </is>
      </c>
      <c r="K777" t="inlineStr">
        <is>
          <t>Yes</t>
        </is>
      </c>
      <c r="L777" t="inlineStr"/>
      <c r="M777" t="inlineStr">
        <is>
          <t>https://fixturedownload.com/download/nba-2024-UTC.csv</t>
        </is>
      </c>
    </row>
    <row r="778">
      <c r="A778" t="n">
        <v>750</v>
      </c>
      <c r="B778" t="n">
        <v>15</v>
      </c>
      <c r="C778" t="inlineStr">
        <is>
          <t>09/02/2025 03:00</t>
        </is>
      </c>
      <c r="D778" t="inlineStr">
        <is>
          <t>Golden 1 Center</t>
        </is>
      </c>
      <c r="E778" t="inlineStr">
        <is>
          <t>Sacramento Kings</t>
        </is>
      </c>
      <c r="F778" t="inlineStr">
        <is>
          <t>New Orleans Pelicans</t>
        </is>
      </c>
      <c r="G778" t="n">
        <v>123</v>
      </c>
      <c r="H778" t="n">
        <v>118</v>
      </c>
      <c r="I778" t="inlineStr">
        <is>
          <t>Sacramento Kings</t>
        </is>
      </c>
      <c r="J778" t="inlineStr">
        <is>
          <t>New Orleans Pelicans</t>
        </is>
      </c>
      <c r="K778" t="inlineStr">
        <is>
          <t>Yes</t>
        </is>
      </c>
      <c r="L778" t="inlineStr"/>
      <c r="M778" t="inlineStr">
        <is>
          <t>https://fixturedownload.com/download/nba-2024-UTC.csv</t>
        </is>
      </c>
    </row>
    <row r="779">
      <c r="A779" t="n">
        <v>751</v>
      </c>
      <c r="B779" t="n">
        <v>15</v>
      </c>
      <c r="C779" t="inlineStr">
        <is>
          <t>09/02/2025 03:30</t>
        </is>
      </c>
      <c r="D779" t="inlineStr">
        <is>
          <t>Intuit Dome</t>
        </is>
      </c>
      <c r="E779" t="inlineStr">
        <is>
          <t>LA Clippers</t>
        </is>
      </c>
      <c r="F779" t="inlineStr">
        <is>
          <t>Utah Jazz</t>
        </is>
      </c>
      <c r="G779" t="n">
        <v>130</v>
      </c>
      <c r="H779" t="n">
        <v>110</v>
      </c>
      <c r="I779" t="inlineStr">
        <is>
          <t>LA Clippers</t>
        </is>
      </c>
      <c r="J779" t="inlineStr">
        <is>
          <t>Utah Jazz</t>
        </is>
      </c>
      <c r="K779" t="inlineStr">
        <is>
          <t>Yes</t>
        </is>
      </c>
      <c r="L779" t="inlineStr"/>
      <c r="M779" t="inlineStr">
        <is>
          <t>https://fixturedownload.com/download/nba-2024-UTC.csv</t>
        </is>
      </c>
    </row>
    <row r="780">
      <c r="A780" t="n">
        <v>752</v>
      </c>
      <c r="B780" t="n">
        <v>15</v>
      </c>
      <c r="C780" t="inlineStr">
        <is>
          <t>09/02/2025 18:00</t>
        </is>
      </c>
      <c r="D780" t="inlineStr">
        <is>
          <t>Little Caesars Arena</t>
        </is>
      </c>
      <c r="E780" t="inlineStr">
        <is>
          <t>Detroit Pistons</t>
        </is>
      </c>
      <c r="F780" t="inlineStr">
        <is>
          <t>Charlotte Hornets</t>
        </is>
      </c>
      <c r="G780" t="n">
        <v>112</v>
      </c>
      <c r="H780" t="n">
        <v>102</v>
      </c>
      <c r="I780" t="inlineStr">
        <is>
          <t>Detroit Pistons</t>
        </is>
      </c>
      <c r="J780" t="inlineStr">
        <is>
          <t>Charlotte Hornets</t>
        </is>
      </c>
      <c r="K780" t="inlineStr">
        <is>
          <t>Yes</t>
        </is>
      </c>
      <c r="L780" t="inlineStr"/>
      <c r="M780" t="inlineStr">
        <is>
          <t>https://fixturedownload.com/download/nba-2024-UTC.csv</t>
        </is>
      </c>
    </row>
    <row r="781">
      <c r="A781" t="n">
        <v>753</v>
      </c>
      <c r="B781" t="n">
        <v>15</v>
      </c>
      <c r="C781" t="inlineStr">
        <is>
          <t>09/02/2025 19:00</t>
        </is>
      </c>
      <c r="D781" t="inlineStr">
        <is>
          <t>Toyota Center</t>
        </is>
      </c>
      <c r="E781" t="inlineStr">
        <is>
          <t>Houston Rockets</t>
        </is>
      </c>
      <c r="F781" t="inlineStr">
        <is>
          <t>Toronto Raptors</t>
        </is>
      </c>
      <c r="G781" t="n">
        <v>94</v>
      </c>
      <c r="H781" t="n">
        <v>87</v>
      </c>
      <c r="I781" t="inlineStr">
        <is>
          <t>Houston Rockets</t>
        </is>
      </c>
      <c r="J781" t="inlineStr">
        <is>
          <t>Toronto Raptors</t>
        </is>
      </c>
      <c r="K781" t="inlineStr">
        <is>
          <t>Yes</t>
        </is>
      </c>
      <c r="L781" t="inlineStr"/>
      <c r="M781" t="inlineStr">
        <is>
          <t>https://fixturedownload.com/download/nba-2024-UTC.csv</t>
        </is>
      </c>
    </row>
    <row r="782">
      <c r="A782" t="n">
        <v>754</v>
      </c>
      <c r="B782" t="n">
        <v>15</v>
      </c>
      <c r="C782" t="inlineStr">
        <is>
          <t>09/02/2025 19:00</t>
        </is>
      </c>
      <c r="D782" t="inlineStr">
        <is>
          <t>Fiserv Forum</t>
        </is>
      </c>
      <c r="E782" t="inlineStr">
        <is>
          <t>Milwaukee Bucks</t>
        </is>
      </c>
      <c r="F782" t="inlineStr">
        <is>
          <t>Philadelphia 76ers</t>
        </is>
      </c>
      <c r="G782" t="n">
        <v>135</v>
      </c>
      <c r="H782" t="n">
        <v>127</v>
      </c>
      <c r="I782" t="inlineStr">
        <is>
          <t>Milwaukee Bucks</t>
        </is>
      </c>
      <c r="J782" t="inlineStr">
        <is>
          <t>Philadelphia 76ers</t>
        </is>
      </c>
      <c r="K782" t="inlineStr">
        <is>
          <t>Yes</t>
        </is>
      </c>
      <c r="L782" t="inlineStr"/>
      <c r="M782" t="inlineStr">
        <is>
          <t>https://fixturedownload.com/download/nba-2024-UTC.csv</t>
        </is>
      </c>
    </row>
    <row r="783">
      <c r="A783" t="n">
        <v>755</v>
      </c>
      <c r="B783" t="n">
        <v>15</v>
      </c>
      <c r="C783" t="inlineStr">
        <is>
          <t>11/02/2025 00:00</t>
        </is>
      </c>
      <c r="D783" t="inlineStr">
        <is>
          <t>Rocket Arena</t>
        </is>
      </c>
      <c r="E783" t="inlineStr">
        <is>
          <t>Cleveland Cavaliers</t>
        </is>
      </c>
      <c r="F783" t="inlineStr">
        <is>
          <t>Minnesota Timberwolves</t>
        </is>
      </c>
      <c r="G783" t="n">
        <v>128</v>
      </c>
      <c r="H783" t="n">
        <v>107</v>
      </c>
      <c r="I783" t="inlineStr">
        <is>
          <t>Cleveland Cavaliers</t>
        </is>
      </c>
      <c r="J783" t="inlineStr">
        <is>
          <t>Minnesota Timberwolves</t>
        </is>
      </c>
      <c r="K783" t="inlineStr">
        <is>
          <t>Yes</t>
        </is>
      </c>
      <c r="L783" t="inlineStr"/>
      <c r="M783" t="inlineStr">
        <is>
          <t>https://fixturedownload.com/download/nba-2024-UTC.csv</t>
        </is>
      </c>
    </row>
    <row r="784">
      <c r="A784" t="n">
        <v>756</v>
      </c>
      <c r="B784" t="n">
        <v>15</v>
      </c>
      <c r="C784" t="inlineStr">
        <is>
          <t>11/02/2025 00:00</t>
        </is>
      </c>
      <c r="D784" t="inlineStr">
        <is>
          <t>Kia Center</t>
        </is>
      </c>
      <c r="E784" t="inlineStr">
        <is>
          <t>Orlando Magic</t>
        </is>
      </c>
      <c r="F784" t="inlineStr">
        <is>
          <t>Atlanta Hawks</t>
        </is>
      </c>
      <c r="G784" t="n">
        <v>106</v>
      </c>
      <c r="H784" t="n">
        <v>112</v>
      </c>
      <c r="I784" t="inlineStr">
        <is>
          <t>Atlanta Hawks</t>
        </is>
      </c>
      <c r="J784" t="inlineStr">
        <is>
          <t>Orlando Magic</t>
        </is>
      </c>
      <c r="K784" t="inlineStr">
        <is>
          <t>Yes</t>
        </is>
      </c>
      <c r="L784" t="inlineStr"/>
      <c r="M784" t="inlineStr">
        <is>
          <t>https://fixturedownload.com/download/nba-2024-UTC.csv</t>
        </is>
      </c>
    </row>
    <row r="785">
      <c r="A785" t="n">
        <v>757</v>
      </c>
      <c r="B785" t="n">
        <v>15</v>
      </c>
      <c r="C785" t="inlineStr">
        <is>
          <t>11/02/2025 00:00</t>
        </is>
      </c>
      <c r="D785" t="inlineStr">
        <is>
          <t>Capital One Arena</t>
        </is>
      </c>
      <c r="E785" t="inlineStr">
        <is>
          <t>Washington Wizards</t>
        </is>
      </c>
      <c r="F785" t="inlineStr">
        <is>
          <t>San Antonio Spurs</t>
        </is>
      </c>
      <c r="G785" t="n">
        <v>121</v>
      </c>
      <c r="H785" t="n">
        <v>131</v>
      </c>
      <c r="I785" t="inlineStr">
        <is>
          <t>San Antonio Spurs</t>
        </is>
      </c>
      <c r="J785" t="inlineStr">
        <is>
          <t>Washington Wizards</t>
        </is>
      </c>
      <c r="K785" t="inlineStr">
        <is>
          <t>Yes</t>
        </is>
      </c>
      <c r="L785" t="inlineStr"/>
      <c r="M785" t="inlineStr">
        <is>
          <t>https://fixturedownload.com/download/nba-2024-UTC.csv</t>
        </is>
      </c>
    </row>
    <row r="786">
      <c r="A786" t="n">
        <v>758</v>
      </c>
      <c r="B786" t="n">
        <v>15</v>
      </c>
      <c r="C786" t="inlineStr">
        <is>
          <t>11/02/2025 00:30</t>
        </is>
      </c>
      <c r="D786" t="inlineStr">
        <is>
          <t>Barclays Center</t>
        </is>
      </c>
      <c r="E786" t="inlineStr">
        <is>
          <t>Brooklyn Nets</t>
        </is>
      </c>
      <c r="F786" t="inlineStr">
        <is>
          <t>Charlotte Hornets</t>
        </is>
      </c>
      <c r="G786" t="n">
        <v>97</v>
      </c>
      <c r="H786" t="n">
        <v>89</v>
      </c>
      <c r="I786" t="inlineStr">
        <is>
          <t>Brooklyn Nets</t>
        </is>
      </c>
      <c r="J786" t="inlineStr">
        <is>
          <t>Charlotte Hornets</t>
        </is>
      </c>
      <c r="K786" t="inlineStr">
        <is>
          <t>Yes</t>
        </is>
      </c>
      <c r="L786" t="inlineStr"/>
      <c r="M786" t="inlineStr">
        <is>
          <t>https://fixturedownload.com/download/nba-2024-UTC.csv</t>
        </is>
      </c>
    </row>
    <row r="787">
      <c r="A787" t="n">
        <v>759</v>
      </c>
      <c r="B787" t="n">
        <v>15</v>
      </c>
      <c r="C787" t="inlineStr">
        <is>
          <t>11/02/2025 00:30</t>
        </is>
      </c>
      <c r="D787" t="inlineStr">
        <is>
          <t>Kaseya Center</t>
        </is>
      </c>
      <c r="E787" t="inlineStr">
        <is>
          <t>Miami Heat</t>
        </is>
      </c>
      <c r="F787" t="inlineStr">
        <is>
          <t>Boston Celtics</t>
        </is>
      </c>
      <c r="G787" t="n">
        <v>85</v>
      </c>
      <c r="H787" t="n">
        <v>103</v>
      </c>
      <c r="I787" t="inlineStr">
        <is>
          <t>Boston Celtics</t>
        </is>
      </c>
      <c r="J787" t="inlineStr">
        <is>
          <t>Miami Heat</t>
        </is>
      </c>
      <c r="K787" t="inlineStr">
        <is>
          <t>Yes</t>
        </is>
      </c>
      <c r="L787" t="inlineStr"/>
      <c r="M787" t="inlineStr">
        <is>
          <t>https://fixturedownload.com/download/nba-2024-UTC.csv</t>
        </is>
      </c>
    </row>
    <row r="788">
      <c r="A788" t="n">
        <v>760</v>
      </c>
      <c r="B788" t="n">
        <v>15</v>
      </c>
      <c r="C788" t="inlineStr">
        <is>
          <t>11/02/2025 01:00</t>
        </is>
      </c>
      <c r="D788" t="inlineStr">
        <is>
          <t>Fiserv Forum</t>
        </is>
      </c>
      <c r="E788" t="inlineStr">
        <is>
          <t>Milwaukee Bucks</t>
        </is>
      </c>
      <c r="F788" t="inlineStr">
        <is>
          <t>Golden State Warriors</t>
        </is>
      </c>
      <c r="G788" t="n">
        <v>111</v>
      </c>
      <c r="H788" t="n">
        <v>125</v>
      </c>
      <c r="I788" t="inlineStr">
        <is>
          <t>Golden State Warriors</t>
        </is>
      </c>
      <c r="J788" t="inlineStr">
        <is>
          <t>Milwaukee Bucks</t>
        </is>
      </c>
      <c r="K788" t="inlineStr">
        <is>
          <t>Yes</t>
        </is>
      </c>
      <c r="L788" t="inlineStr"/>
      <c r="M788" t="inlineStr">
        <is>
          <t>https://fixturedownload.com/download/nba-2024-UTC.csv</t>
        </is>
      </c>
    </row>
    <row r="789">
      <c r="A789" t="n">
        <v>761</v>
      </c>
      <c r="B789" t="n">
        <v>15</v>
      </c>
      <c r="C789" t="inlineStr">
        <is>
          <t>11/02/2025 01:00</t>
        </is>
      </c>
      <c r="D789" t="inlineStr">
        <is>
          <t>Paycom Center</t>
        </is>
      </c>
      <c r="E789" t="inlineStr">
        <is>
          <t>Oklahoma City Thunder</t>
        </is>
      </c>
      <c r="F789" t="inlineStr">
        <is>
          <t>New Orleans Pelicans</t>
        </is>
      </c>
      <c r="G789" t="n">
        <v>137</v>
      </c>
      <c r="H789" t="n">
        <v>101</v>
      </c>
      <c r="I789" t="inlineStr">
        <is>
          <t>Oklahoma City Thunder</t>
        </is>
      </c>
      <c r="J789" t="inlineStr">
        <is>
          <t>New Orleans Pelicans</t>
        </is>
      </c>
      <c r="K789" t="inlineStr">
        <is>
          <t>Yes</t>
        </is>
      </c>
      <c r="L789" t="inlineStr"/>
      <c r="M789" t="inlineStr">
        <is>
          <t>https://fixturedownload.com/download/nba-2024-UTC.csv</t>
        </is>
      </c>
    </row>
    <row r="790">
      <c r="A790" t="n">
        <v>762</v>
      </c>
      <c r="B790" t="n">
        <v>15</v>
      </c>
      <c r="C790" t="inlineStr">
        <is>
          <t>11/02/2025 01:30</t>
        </is>
      </c>
      <c r="D790" t="inlineStr">
        <is>
          <t>American Airlines Center</t>
        </is>
      </c>
      <c r="E790" t="inlineStr">
        <is>
          <t>Dallas Mavericks</t>
        </is>
      </c>
      <c r="F790" t="inlineStr">
        <is>
          <t>Sacramento Kings</t>
        </is>
      </c>
      <c r="G790" t="n">
        <v>128</v>
      </c>
      <c r="H790" t="n">
        <v>129</v>
      </c>
      <c r="I790" t="inlineStr">
        <is>
          <t>Sacramento Kings</t>
        </is>
      </c>
      <c r="J790" t="inlineStr">
        <is>
          <t>Dallas Mavericks</t>
        </is>
      </c>
      <c r="K790" t="inlineStr">
        <is>
          <t>Yes</t>
        </is>
      </c>
      <c r="L790" t="inlineStr"/>
      <c r="M790" t="inlineStr">
        <is>
          <t>https://fixturedownload.com/download/nba-2024-UTC.csv</t>
        </is>
      </c>
    </row>
    <row r="791">
      <c r="A791" t="n">
        <v>763</v>
      </c>
      <c r="B791" t="n">
        <v>15</v>
      </c>
      <c r="C791" t="inlineStr">
        <is>
          <t>11/02/2025 02:00</t>
        </is>
      </c>
      <c r="D791" t="inlineStr">
        <is>
          <t>Ball Arena</t>
        </is>
      </c>
      <c r="E791" t="inlineStr">
        <is>
          <t>Denver Nuggets</t>
        </is>
      </c>
      <c r="F791" t="inlineStr">
        <is>
          <t>Portland Trail Blazers</t>
        </is>
      </c>
      <c r="G791" t="n">
        <v>146</v>
      </c>
      <c r="H791" t="n">
        <v>117</v>
      </c>
      <c r="I791" t="inlineStr">
        <is>
          <t>Denver Nuggets</t>
        </is>
      </c>
      <c r="J791" t="inlineStr">
        <is>
          <t>Portland Trail Blazers</t>
        </is>
      </c>
      <c r="K791" t="inlineStr">
        <is>
          <t>Yes</t>
        </is>
      </c>
      <c r="L791" t="inlineStr"/>
      <c r="M791" t="inlineStr">
        <is>
          <t>https://fixturedownload.com/download/nba-2024-UTC.csv</t>
        </is>
      </c>
    </row>
    <row r="792">
      <c r="A792" t="n">
        <v>768</v>
      </c>
      <c r="B792" t="n">
        <v>15</v>
      </c>
      <c r="C792" t="inlineStr">
        <is>
          <t>11/02/2025 03:30</t>
        </is>
      </c>
      <c r="D792" t="inlineStr">
        <is>
          <t>Crypto.com Arena</t>
        </is>
      </c>
      <c r="E792" t="inlineStr">
        <is>
          <t>Los Angeles Lakers</t>
        </is>
      </c>
      <c r="F792" t="inlineStr">
        <is>
          <t>Utah Jazz</t>
        </is>
      </c>
      <c r="G792" t="n">
        <v>132</v>
      </c>
      <c r="H792" t="n">
        <v>113</v>
      </c>
      <c r="I792" t="inlineStr">
        <is>
          <t>Los Angeles Lakers</t>
        </is>
      </c>
      <c r="J792" t="inlineStr">
        <is>
          <t>Utah Jazz</t>
        </is>
      </c>
      <c r="K792" t="inlineStr">
        <is>
          <t>Yes</t>
        </is>
      </c>
      <c r="L792" t="inlineStr"/>
      <c r="M792" t="inlineStr">
        <is>
          <t>https://fixturedownload.com/download/nba-2024-UTC.csv</t>
        </is>
      </c>
    </row>
    <row r="793">
      <c r="A793" t="n">
        <v>764</v>
      </c>
      <c r="B793" t="n">
        <v>15</v>
      </c>
      <c r="C793" t="inlineStr">
        <is>
          <t>12/02/2025 00:00</t>
        </is>
      </c>
      <c r="D793" t="inlineStr">
        <is>
          <t>Wells Fargo Center</t>
        </is>
      </c>
      <c r="E793" t="inlineStr">
        <is>
          <t>Philadelphia 76ers</t>
        </is>
      </c>
      <c r="F793" t="inlineStr">
        <is>
          <t>Toronto Raptors</t>
        </is>
      </c>
      <c r="G793" t="n">
        <v>103</v>
      </c>
      <c r="H793" t="n">
        <v>106</v>
      </c>
      <c r="I793" t="inlineStr">
        <is>
          <t>Toronto Raptors</t>
        </is>
      </c>
      <c r="J793" t="inlineStr">
        <is>
          <t>Philadelphia 76ers</t>
        </is>
      </c>
      <c r="K793" t="inlineStr">
        <is>
          <t>Yes</t>
        </is>
      </c>
      <c r="L793" t="inlineStr"/>
      <c r="M793" t="inlineStr">
        <is>
          <t>https://fixturedownload.com/download/nba-2024-UTC.csv</t>
        </is>
      </c>
    </row>
    <row r="794">
      <c r="A794" t="n">
        <v>765</v>
      </c>
      <c r="B794" t="n">
        <v>15</v>
      </c>
      <c r="C794" t="inlineStr">
        <is>
          <t>12/02/2025 00:30</t>
        </is>
      </c>
      <c r="D794" t="inlineStr">
        <is>
          <t>Gainbridge Fieldhouse</t>
        </is>
      </c>
      <c r="E794" t="inlineStr">
        <is>
          <t>Indiana Pacers</t>
        </is>
      </c>
      <c r="F794" t="inlineStr">
        <is>
          <t>New York Knicks</t>
        </is>
      </c>
      <c r="G794" t="n">
        <v>115</v>
      </c>
      <c r="H794" t="n">
        <v>128</v>
      </c>
      <c r="I794" t="inlineStr">
        <is>
          <t>New York Knicks</t>
        </is>
      </c>
      <c r="J794" t="inlineStr">
        <is>
          <t>Indiana Pacers</t>
        </is>
      </c>
      <c r="K794" t="inlineStr">
        <is>
          <t>Yes</t>
        </is>
      </c>
      <c r="L794" t="inlineStr"/>
      <c r="M794" t="inlineStr">
        <is>
          <t>https://fixturedownload.com/download/nba-2024-UTC.csv</t>
        </is>
      </c>
    </row>
    <row r="795">
      <c r="A795" t="n">
        <v>766</v>
      </c>
      <c r="B795" t="n">
        <v>15</v>
      </c>
      <c r="C795" t="inlineStr">
        <is>
          <t>12/02/2025 01:00</t>
        </is>
      </c>
      <c r="D795" t="inlineStr">
        <is>
          <t>United Center</t>
        </is>
      </c>
      <c r="E795" t="inlineStr">
        <is>
          <t>Chicago Bulls</t>
        </is>
      </c>
      <c r="F795" t="inlineStr">
        <is>
          <t>Detroit Pistons</t>
        </is>
      </c>
      <c r="G795" t="n">
        <v>92</v>
      </c>
      <c r="H795" t="n">
        <v>132</v>
      </c>
      <c r="I795" t="inlineStr">
        <is>
          <t>Detroit Pistons</t>
        </is>
      </c>
      <c r="J795" t="inlineStr">
        <is>
          <t>Chicago Bulls</t>
        </is>
      </c>
      <c r="K795" t="inlineStr">
        <is>
          <t>Yes</t>
        </is>
      </c>
      <c r="L795" t="inlineStr"/>
      <c r="M795" t="inlineStr">
        <is>
          <t>https://fixturedownload.com/download/nba-2024-UTC.csv</t>
        </is>
      </c>
    </row>
    <row r="796">
      <c r="A796" t="n">
        <v>767</v>
      </c>
      <c r="B796" t="n">
        <v>15</v>
      </c>
      <c r="C796" t="inlineStr">
        <is>
          <t>12/02/2025 03:00</t>
        </is>
      </c>
      <c r="D796" t="inlineStr">
        <is>
          <t>PHX Arena</t>
        </is>
      </c>
      <c r="E796" t="inlineStr">
        <is>
          <t>Phoenix Suns</t>
        </is>
      </c>
      <c r="F796" t="inlineStr">
        <is>
          <t>Memphis Grizzlies</t>
        </is>
      </c>
      <c r="G796" t="n">
        <v>112</v>
      </c>
      <c r="H796" t="n">
        <v>119</v>
      </c>
      <c r="I796" t="inlineStr">
        <is>
          <t>Memphis Grizzlies</t>
        </is>
      </c>
      <c r="J796" t="inlineStr">
        <is>
          <t>Phoenix Suns</t>
        </is>
      </c>
      <c r="K796" t="inlineStr">
        <is>
          <t>Yes</t>
        </is>
      </c>
      <c r="L796" t="inlineStr"/>
      <c r="M796" t="inlineStr">
        <is>
          <t>https://fixturedownload.com/download/nba-2024-UTC.csv</t>
        </is>
      </c>
    </row>
    <row r="797">
      <c r="A797" t="n">
        <v>769</v>
      </c>
      <c r="B797" t="n">
        <v>15</v>
      </c>
      <c r="C797" t="inlineStr">
        <is>
          <t>13/02/2025 00:00</t>
        </is>
      </c>
      <c r="D797" t="inlineStr">
        <is>
          <t>TD Garden</t>
        </is>
      </c>
      <c r="E797" t="inlineStr">
        <is>
          <t>Boston Celtics</t>
        </is>
      </c>
      <c r="F797" t="inlineStr">
        <is>
          <t>San Antonio Spurs</t>
        </is>
      </c>
      <c r="G797" t="n">
        <v>116</v>
      </c>
      <c r="H797" t="n">
        <v>103</v>
      </c>
      <c r="I797" t="inlineStr">
        <is>
          <t>Boston Celtics</t>
        </is>
      </c>
      <c r="J797" t="inlineStr">
        <is>
          <t>San Antonio Spurs</t>
        </is>
      </c>
      <c r="K797" t="inlineStr">
        <is>
          <t>Yes</t>
        </is>
      </c>
      <c r="L797" t="inlineStr"/>
      <c r="M797" t="inlineStr">
        <is>
          <t>https://fixturedownload.com/download/nba-2024-UTC.csv</t>
        </is>
      </c>
    </row>
    <row r="798">
      <c r="A798" t="n">
        <v>770</v>
      </c>
      <c r="B798" t="n">
        <v>15</v>
      </c>
      <c r="C798" t="inlineStr">
        <is>
          <t>13/02/2025 00:00</t>
        </is>
      </c>
      <c r="D798" t="inlineStr">
        <is>
          <t>Kia Center</t>
        </is>
      </c>
      <c r="E798" t="inlineStr">
        <is>
          <t>Orlando Magic</t>
        </is>
      </c>
      <c r="F798" t="inlineStr">
        <is>
          <t>Charlotte Hornets</t>
        </is>
      </c>
      <c r="G798" t="n">
        <v>102</v>
      </c>
      <c r="H798" t="n">
        <v>86</v>
      </c>
      <c r="I798" t="inlineStr">
        <is>
          <t>Orlando Magic</t>
        </is>
      </c>
      <c r="J798" t="inlineStr">
        <is>
          <t>Charlotte Hornets</t>
        </is>
      </c>
      <c r="K798" t="inlineStr">
        <is>
          <t>Yes</t>
        </is>
      </c>
      <c r="L798" t="inlineStr"/>
      <c r="M798" t="inlineStr">
        <is>
          <t>https://fixturedownload.com/download/nba-2024-UTC.csv</t>
        </is>
      </c>
    </row>
    <row r="799">
      <c r="A799" t="n">
        <v>771</v>
      </c>
      <c r="B799" t="n">
        <v>15</v>
      </c>
      <c r="C799" t="inlineStr">
        <is>
          <t>13/02/2025 00:00</t>
        </is>
      </c>
      <c r="D799" t="inlineStr">
        <is>
          <t>Capital One Arena</t>
        </is>
      </c>
      <c r="E799" t="inlineStr">
        <is>
          <t>Washington Wizards</t>
        </is>
      </c>
      <c r="F799" t="inlineStr">
        <is>
          <t>Indiana Pacers</t>
        </is>
      </c>
      <c r="G799" t="n">
        <v>130</v>
      </c>
      <c r="H799" t="n">
        <v>134</v>
      </c>
      <c r="I799" t="inlineStr">
        <is>
          <t>Indiana Pacers</t>
        </is>
      </c>
      <c r="J799" t="inlineStr">
        <is>
          <t>Washington Wizards</t>
        </is>
      </c>
      <c r="K799" t="inlineStr">
        <is>
          <t>Yes</t>
        </is>
      </c>
      <c r="L799" t="inlineStr"/>
      <c r="M799" t="inlineStr">
        <is>
          <t>https://fixturedownload.com/download/nba-2024-UTC.csv</t>
        </is>
      </c>
    </row>
    <row r="800">
      <c r="A800" t="n">
        <v>772</v>
      </c>
      <c r="B800" t="n">
        <v>15</v>
      </c>
      <c r="C800" t="inlineStr">
        <is>
          <t>13/02/2025 00:30</t>
        </is>
      </c>
      <c r="D800" t="inlineStr">
        <is>
          <t>Barclays Center</t>
        </is>
      </c>
      <c r="E800" t="inlineStr">
        <is>
          <t>Brooklyn Nets</t>
        </is>
      </c>
      <c r="F800" t="inlineStr">
        <is>
          <t>Philadelphia 76ers</t>
        </is>
      </c>
      <c r="G800" t="n">
        <v>100</v>
      </c>
      <c r="H800" t="n">
        <v>96</v>
      </c>
      <c r="I800" t="inlineStr">
        <is>
          <t>Brooklyn Nets</t>
        </is>
      </c>
      <c r="J800" t="inlineStr">
        <is>
          <t>Philadelphia 76ers</t>
        </is>
      </c>
      <c r="K800" t="inlineStr">
        <is>
          <t>Yes</t>
        </is>
      </c>
      <c r="L800" t="inlineStr"/>
      <c r="M800" t="inlineStr">
        <is>
          <t>https://fixturedownload.com/download/nba-2024-UTC.csv</t>
        </is>
      </c>
    </row>
    <row r="801">
      <c r="A801" t="n">
        <v>773</v>
      </c>
      <c r="B801" t="n">
        <v>15</v>
      </c>
      <c r="C801" t="inlineStr">
        <is>
          <t>13/02/2025 00:30</t>
        </is>
      </c>
      <c r="D801" t="inlineStr">
        <is>
          <t>Madison Square Garden</t>
        </is>
      </c>
      <c r="E801" t="inlineStr">
        <is>
          <t>New York Knicks</t>
        </is>
      </c>
      <c r="F801" t="inlineStr">
        <is>
          <t>Atlanta Hawks</t>
        </is>
      </c>
      <c r="G801" t="n">
        <v>149</v>
      </c>
      <c r="H801" t="n">
        <v>148</v>
      </c>
      <c r="I801" t="inlineStr">
        <is>
          <t>New York Knicks</t>
        </is>
      </c>
      <c r="J801" t="inlineStr">
        <is>
          <t>Atlanta Hawks</t>
        </is>
      </c>
      <c r="K801" t="inlineStr">
        <is>
          <t>Yes</t>
        </is>
      </c>
      <c r="L801" t="inlineStr"/>
      <c r="M801" t="inlineStr">
        <is>
          <t>https://fixturedownload.com/download/nba-2024-UTC.csv</t>
        </is>
      </c>
    </row>
    <row r="802">
      <c r="A802" t="n">
        <v>774</v>
      </c>
      <c r="B802" t="n">
        <v>15</v>
      </c>
      <c r="C802" t="inlineStr">
        <is>
          <t>13/02/2025 00:30</t>
        </is>
      </c>
      <c r="D802" t="inlineStr">
        <is>
          <t>Scotiabank Arena</t>
        </is>
      </c>
      <c r="E802" t="inlineStr">
        <is>
          <t>Toronto Raptors</t>
        </is>
      </c>
      <c r="F802" t="inlineStr">
        <is>
          <t>Cleveland Cavaliers</t>
        </is>
      </c>
      <c r="G802" t="n">
        <v>108</v>
      </c>
      <c r="H802" t="n">
        <v>131</v>
      </c>
      <c r="I802" t="inlineStr">
        <is>
          <t>Cleveland Cavaliers</t>
        </is>
      </c>
      <c r="J802" t="inlineStr">
        <is>
          <t>Toronto Raptors</t>
        </is>
      </c>
      <c r="K802" t="inlineStr">
        <is>
          <t>Yes</t>
        </is>
      </c>
      <c r="L802" t="inlineStr"/>
      <c r="M802" t="inlineStr">
        <is>
          <t>https://fixturedownload.com/download/nba-2024-UTC.csv</t>
        </is>
      </c>
    </row>
    <row r="803">
      <c r="A803" t="n">
        <v>775</v>
      </c>
      <c r="B803" t="n">
        <v>15</v>
      </c>
      <c r="C803" t="inlineStr">
        <is>
          <t>13/02/2025 01:00</t>
        </is>
      </c>
      <c r="D803" t="inlineStr">
        <is>
          <t>United Center</t>
        </is>
      </c>
      <c r="E803" t="inlineStr">
        <is>
          <t>Chicago Bulls</t>
        </is>
      </c>
      <c r="F803" t="inlineStr">
        <is>
          <t>Detroit Pistons</t>
        </is>
      </c>
      <c r="G803" t="n">
        <v>110</v>
      </c>
      <c r="H803" t="n">
        <v>128</v>
      </c>
      <c r="I803" t="inlineStr">
        <is>
          <t>Detroit Pistons</t>
        </is>
      </c>
      <c r="J803" t="inlineStr">
        <is>
          <t>Chicago Bulls</t>
        </is>
      </c>
      <c r="K803" t="inlineStr">
        <is>
          <t>Yes</t>
        </is>
      </c>
      <c r="L803" t="inlineStr"/>
      <c r="M803" t="inlineStr">
        <is>
          <t>https://fixturedownload.com/download/nba-2024-UTC.csv</t>
        </is>
      </c>
    </row>
    <row r="804">
      <c r="A804" t="n">
        <v>776</v>
      </c>
      <c r="B804" t="n">
        <v>15</v>
      </c>
      <c r="C804" t="inlineStr">
        <is>
          <t>13/02/2025 01:00</t>
        </is>
      </c>
      <c r="D804" t="inlineStr">
        <is>
          <t>Target Center</t>
        </is>
      </c>
      <c r="E804" t="inlineStr">
        <is>
          <t>Minnesota Timberwolves</t>
        </is>
      </c>
      <c r="F804" t="inlineStr">
        <is>
          <t>Milwaukee Bucks</t>
        </is>
      </c>
      <c r="G804" t="n">
        <v>101</v>
      </c>
      <c r="H804" t="n">
        <v>103</v>
      </c>
      <c r="I804" t="inlineStr">
        <is>
          <t>Milwaukee Bucks</t>
        </is>
      </c>
      <c r="J804" t="inlineStr">
        <is>
          <t>Minnesota Timberwolves</t>
        </is>
      </c>
      <c r="K804" t="inlineStr">
        <is>
          <t>Yes</t>
        </is>
      </c>
      <c r="L804" t="inlineStr"/>
      <c r="M804" t="inlineStr">
        <is>
          <t>https://fixturedownload.com/download/nba-2024-UTC.csv</t>
        </is>
      </c>
    </row>
    <row r="805">
      <c r="A805" t="n">
        <v>777</v>
      </c>
      <c r="B805" t="n">
        <v>15</v>
      </c>
      <c r="C805" t="inlineStr">
        <is>
          <t>13/02/2025 01:00</t>
        </is>
      </c>
      <c r="D805" t="inlineStr">
        <is>
          <t>Smoothie King Center</t>
        </is>
      </c>
      <c r="E805" t="inlineStr">
        <is>
          <t>New Orleans Pelicans</t>
        </is>
      </c>
      <c r="F805" t="inlineStr">
        <is>
          <t>Sacramento Kings</t>
        </is>
      </c>
      <c r="G805" t="n">
        <v>111</v>
      </c>
      <c r="H805" t="n">
        <v>119</v>
      </c>
      <c r="I805" t="inlineStr">
        <is>
          <t>Sacramento Kings</t>
        </is>
      </c>
      <c r="J805" t="inlineStr">
        <is>
          <t>New Orleans Pelicans</t>
        </is>
      </c>
      <c r="K805" t="inlineStr">
        <is>
          <t>Yes</t>
        </is>
      </c>
      <c r="L805" t="inlineStr"/>
      <c r="M805" t="inlineStr">
        <is>
          <t>https://fixturedownload.com/download/nba-2024-UTC.csv</t>
        </is>
      </c>
    </row>
    <row r="806">
      <c r="A806" t="n">
        <v>778</v>
      </c>
      <c r="B806" t="n">
        <v>15</v>
      </c>
      <c r="C806" t="inlineStr">
        <is>
          <t>13/02/2025 01:00</t>
        </is>
      </c>
      <c r="D806" t="inlineStr">
        <is>
          <t>Paycom Center</t>
        </is>
      </c>
      <c r="E806" t="inlineStr">
        <is>
          <t>Oklahoma City Thunder</t>
        </is>
      </c>
      <c r="F806" t="inlineStr">
        <is>
          <t>Miami Heat</t>
        </is>
      </c>
      <c r="G806" t="n">
        <v>115</v>
      </c>
      <c r="H806" t="n">
        <v>101</v>
      </c>
      <c r="I806" t="inlineStr">
        <is>
          <t>Oklahoma City Thunder</t>
        </is>
      </c>
      <c r="J806" t="inlineStr">
        <is>
          <t>Miami Heat</t>
        </is>
      </c>
      <c r="K806" t="inlineStr">
        <is>
          <t>Yes</t>
        </is>
      </c>
      <c r="L806" t="inlineStr"/>
      <c r="M806" t="inlineStr">
        <is>
          <t>https://fixturedownload.com/download/nba-2024-UTC.csv</t>
        </is>
      </c>
    </row>
    <row r="807">
      <c r="A807" t="n">
        <v>779</v>
      </c>
      <c r="B807" t="n">
        <v>15</v>
      </c>
      <c r="C807" t="inlineStr">
        <is>
          <t>13/02/2025 01:30</t>
        </is>
      </c>
      <c r="D807" t="inlineStr">
        <is>
          <t>Toyota Center</t>
        </is>
      </c>
      <c r="E807" t="inlineStr">
        <is>
          <t>Houston Rockets</t>
        </is>
      </c>
      <c r="F807" t="inlineStr">
        <is>
          <t>Phoenix Suns</t>
        </is>
      </c>
      <c r="G807" t="n">
        <v>119</v>
      </c>
      <c r="H807" t="n">
        <v>111</v>
      </c>
      <c r="I807" t="inlineStr">
        <is>
          <t>Houston Rockets</t>
        </is>
      </c>
      <c r="J807" t="inlineStr">
        <is>
          <t>Phoenix Suns</t>
        </is>
      </c>
      <c r="K807" t="inlineStr">
        <is>
          <t>Yes</t>
        </is>
      </c>
      <c r="L807" t="inlineStr"/>
      <c r="M807" t="inlineStr">
        <is>
          <t>https://fixturedownload.com/download/nba-2024-UTC.csv</t>
        </is>
      </c>
    </row>
    <row r="808">
      <c r="A808" t="n">
        <v>780</v>
      </c>
      <c r="B808" t="n">
        <v>15</v>
      </c>
      <c r="C808" t="inlineStr">
        <is>
          <t>13/02/2025 02:00</t>
        </is>
      </c>
      <c r="D808" t="inlineStr">
        <is>
          <t>Ball Arena</t>
        </is>
      </c>
      <c r="E808" t="inlineStr">
        <is>
          <t>Denver Nuggets</t>
        </is>
      </c>
      <c r="F808" t="inlineStr">
        <is>
          <t>Portland Trail Blazers</t>
        </is>
      </c>
      <c r="G808" t="n">
        <v>132</v>
      </c>
      <c r="H808" t="n">
        <v>121</v>
      </c>
      <c r="I808" t="inlineStr">
        <is>
          <t>Denver Nuggets</t>
        </is>
      </c>
      <c r="J808" t="inlineStr">
        <is>
          <t>Portland Trail Blazers</t>
        </is>
      </c>
      <c r="K808" t="inlineStr">
        <is>
          <t>Yes</t>
        </is>
      </c>
      <c r="L808" t="inlineStr"/>
      <c r="M808" t="inlineStr">
        <is>
          <t>https://fixturedownload.com/download/nba-2024-UTC.csv</t>
        </is>
      </c>
    </row>
    <row r="809">
      <c r="A809" t="n">
        <v>781</v>
      </c>
      <c r="B809" t="n">
        <v>15</v>
      </c>
      <c r="C809" t="inlineStr">
        <is>
          <t>13/02/2025 02:00</t>
        </is>
      </c>
      <c r="D809" t="inlineStr">
        <is>
          <t>Delta Center</t>
        </is>
      </c>
      <c r="E809" t="inlineStr">
        <is>
          <t>Utah Jazz</t>
        </is>
      </c>
      <c r="F809" t="inlineStr">
        <is>
          <t>Los Angeles Lakers</t>
        </is>
      </c>
      <c r="G809" t="n">
        <v>131</v>
      </c>
      <c r="H809" t="n">
        <v>119</v>
      </c>
      <c r="I809" t="inlineStr">
        <is>
          <t>Utah Jazz</t>
        </is>
      </c>
      <c r="J809" t="inlineStr">
        <is>
          <t>Los Angeles Lakers</t>
        </is>
      </c>
      <c r="K809" t="inlineStr">
        <is>
          <t>Yes</t>
        </is>
      </c>
      <c r="L809" t="inlineStr"/>
      <c r="M809" t="inlineStr">
        <is>
          <t>https://fixturedownload.com/download/nba-2024-UTC.csv</t>
        </is>
      </c>
    </row>
    <row r="810">
      <c r="A810" t="n">
        <v>782</v>
      </c>
      <c r="B810" t="n">
        <v>15</v>
      </c>
      <c r="C810" t="inlineStr">
        <is>
          <t>13/02/2025 02:30</t>
        </is>
      </c>
      <c r="D810" t="inlineStr">
        <is>
          <t>American Airlines Center</t>
        </is>
      </c>
      <c r="E810" t="inlineStr">
        <is>
          <t>Dallas Mavericks</t>
        </is>
      </c>
      <c r="F810" t="inlineStr">
        <is>
          <t>Golden State Warriors</t>
        </is>
      </c>
      <c r="G810" t="n">
        <v>111</v>
      </c>
      <c r="H810" t="n">
        <v>107</v>
      </c>
      <c r="I810" t="inlineStr">
        <is>
          <t>Dallas Mavericks</t>
        </is>
      </c>
      <c r="J810" t="inlineStr">
        <is>
          <t>Golden State Warriors</t>
        </is>
      </c>
      <c r="K810" t="inlineStr">
        <is>
          <t>Yes</t>
        </is>
      </c>
      <c r="L810" t="inlineStr"/>
      <c r="M810" t="inlineStr">
        <is>
          <t>https://fixturedownload.com/download/nba-2024-UTC.csv</t>
        </is>
      </c>
    </row>
    <row r="811">
      <c r="A811" t="n">
        <v>783</v>
      </c>
      <c r="B811" t="n">
        <v>15</v>
      </c>
      <c r="C811" t="inlineStr">
        <is>
          <t>13/02/2025 03:30</t>
        </is>
      </c>
      <c r="D811" t="inlineStr">
        <is>
          <t>Intuit Dome</t>
        </is>
      </c>
      <c r="E811" t="inlineStr">
        <is>
          <t>LA Clippers</t>
        </is>
      </c>
      <c r="F811" t="inlineStr">
        <is>
          <t>Memphis Grizzlies</t>
        </is>
      </c>
      <c r="G811" t="n">
        <v>128</v>
      </c>
      <c r="H811" t="n">
        <v>114</v>
      </c>
      <c r="I811" t="inlineStr">
        <is>
          <t>LA Clippers</t>
        </is>
      </c>
      <c r="J811" t="inlineStr">
        <is>
          <t>Memphis Grizzlies</t>
        </is>
      </c>
      <c r="K811" t="inlineStr">
        <is>
          <t>Yes</t>
        </is>
      </c>
      <c r="L811" t="inlineStr"/>
      <c r="M811" t="inlineStr">
        <is>
          <t>https://fixturedownload.com/download/nba-2024-UTC.csv</t>
        </is>
      </c>
    </row>
    <row r="812">
      <c r="A812" t="n">
        <v>784</v>
      </c>
      <c r="B812" t="n">
        <v>16</v>
      </c>
      <c r="C812" t="inlineStr">
        <is>
          <t>14/02/2025 01:00</t>
        </is>
      </c>
      <c r="D812" t="inlineStr">
        <is>
          <t>Toyota Center</t>
        </is>
      </c>
      <c r="E812" t="inlineStr">
        <is>
          <t>Houston Rockets</t>
        </is>
      </c>
      <c r="F812" t="inlineStr">
        <is>
          <t>Golden State Warriors</t>
        </is>
      </c>
      <c r="G812" t="n">
        <v>98</v>
      </c>
      <c r="H812" t="n">
        <v>105</v>
      </c>
      <c r="I812" t="inlineStr">
        <is>
          <t>Golden State Warriors</t>
        </is>
      </c>
      <c r="J812" t="inlineStr">
        <is>
          <t>Houston Rockets</t>
        </is>
      </c>
      <c r="K812" t="inlineStr">
        <is>
          <t>Yes</t>
        </is>
      </c>
      <c r="L812" t="inlineStr"/>
      <c r="M812" t="inlineStr">
        <is>
          <t>https://fixturedownload.com/download/nba-2024-UTC.csv</t>
        </is>
      </c>
    </row>
    <row r="813">
      <c r="A813" t="n">
        <v>785</v>
      </c>
      <c r="B813" t="n">
        <v>16</v>
      </c>
      <c r="C813" t="inlineStr">
        <is>
          <t>14/02/2025 01:00</t>
        </is>
      </c>
      <c r="D813" t="inlineStr">
        <is>
          <t>Smoothie King Center</t>
        </is>
      </c>
      <c r="E813" t="inlineStr">
        <is>
          <t>New Orleans Pelicans</t>
        </is>
      </c>
      <c r="F813" t="inlineStr">
        <is>
          <t>Sacramento Kings</t>
        </is>
      </c>
      <c r="G813" t="n">
        <v>140</v>
      </c>
      <c r="H813" t="n">
        <v>133</v>
      </c>
      <c r="I813" t="inlineStr">
        <is>
          <t>New Orleans Pelicans</t>
        </is>
      </c>
      <c r="J813" t="inlineStr">
        <is>
          <t>Sacramento Kings</t>
        </is>
      </c>
      <c r="K813" t="inlineStr">
        <is>
          <t>Yes</t>
        </is>
      </c>
      <c r="L813" t="inlineStr"/>
      <c r="M813" t="inlineStr">
        <is>
          <t>https://fixturedownload.com/download/nba-2024-UTC.csv</t>
        </is>
      </c>
    </row>
    <row r="814">
      <c r="A814" t="n">
        <v>786</v>
      </c>
      <c r="B814" t="n">
        <v>16</v>
      </c>
      <c r="C814" t="inlineStr">
        <is>
          <t>14/02/2025 01:30</t>
        </is>
      </c>
      <c r="D814" t="inlineStr">
        <is>
          <t>American Airlines Center</t>
        </is>
      </c>
      <c r="E814" t="inlineStr">
        <is>
          <t>Dallas Mavericks</t>
        </is>
      </c>
      <c r="F814" t="inlineStr">
        <is>
          <t>Miami Heat</t>
        </is>
      </c>
      <c r="G814" t="n">
        <v>118</v>
      </c>
      <c r="H814" t="n">
        <v>113</v>
      </c>
      <c r="I814" t="inlineStr">
        <is>
          <t>Dallas Mavericks</t>
        </is>
      </c>
      <c r="J814" t="inlineStr">
        <is>
          <t>Miami Heat</t>
        </is>
      </c>
      <c r="K814" t="inlineStr">
        <is>
          <t>Yes</t>
        </is>
      </c>
      <c r="L814" t="inlineStr"/>
      <c r="M814" t="inlineStr">
        <is>
          <t>https://fixturedownload.com/download/nba-2024-UTC.csv</t>
        </is>
      </c>
    </row>
    <row r="815">
      <c r="A815" t="n">
        <v>787</v>
      </c>
      <c r="B815" t="n">
        <v>16</v>
      </c>
      <c r="C815" t="inlineStr">
        <is>
          <t>14/02/2025 01:30</t>
        </is>
      </c>
      <c r="D815" t="inlineStr">
        <is>
          <t>Target Center</t>
        </is>
      </c>
      <c r="E815" t="inlineStr">
        <is>
          <t>Minnesota Timberwolves</t>
        </is>
      </c>
      <c r="F815" t="inlineStr">
        <is>
          <t>Oklahoma City Thunder</t>
        </is>
      </c>
      <c r="G815" t="n">
        <v>116</v>
      </c>
      <c r="H815" t="n">
        <v>101</v>
      </c>
      <c r="I815" t="inlineStr">
        <is>
          <t>Minnesota Timberwolves</t>
        </is>
      </c>
      <c r="J815" t="inlineStr">
        <is>
          <t>Oklahoma City Thunder</t>
        </is>
      </c>
      <c r="K815" t="inlineStr">
        <is>
          <t>Yes</t>
        </is>
      </c>
      <c r="L815" t="inlineStr"/>
      <c r="M815" t="inlineStr">
        <is>
          <t>https://fixturedownload.com/download/nba-2024-UTC.csv</t>
        </is>
      </c>
    </row>
    <row r="816">
      <c r="A816" t="n">
        <v>1004</v>
      </c>
      <c r="B816" t="n">
        <v>16</v>
      </c>
      <c r="C816" t="inlineStr">
        <is>
          <t>14/02/2025 02:00</t>
        </is>
      </c>
      <c r="D816" t="inlineStr">
        <is>
          <t>Delta Center</t>
        </is>
      </c>
      <c r="E816" t="inlineStr">
        <is>
          <t>Utah Jazz</t>
        </is>
      </c>
      <c r="F816" t="inlineStr">
        <is>
          <t>LA Clippers</t>
        </is>
      </c>
      <c r="G816" t="n">
        <v>116</v>
      </c>
      <c r="H816" t="n">
        <v>120</v>
      </c>
      <c r="I816" t="inlineStr">
        <is>
          <t>LA Clippers</t>
        </is>
      </c>
      <c r="J816" t="inlineStr">
        <is>
          <t>Utah Jazz</t>
        </is>
      </c>
      <c r="K816" t="inlineStr">
        <is>
          <t>Yes</t>
        </is>
      </c>
      <c r="L816" t="inlineStr"/>
      <c r="M816" t="inlineStr">
        <is>
          <t>https://fixturedownload.com/download/nba-2024-UTC.csv</t>
        </is>
      </c>
    </row>
    <row r="817">
      <c r="A817" t="n">
        <v>524</v>
      </c>
      <c r="B817" t="n">
        <v>16</v>
      </c>
      <c r="C817" t="inlineStr">
        <is>
          <t>20/02/2025 03:00</t>
        </is>
      </c>
      <c r="D817" t="inlineStr">
        <is>
          <t>Crypto.com Arena</t>
        </is>
      </c>
      <c r="E817" t="inlineStr">
        <is>
          <t>Los Angeles Lakers</t>
        </is>
      </c>
      <c r="F817" t="inlineStr">
        <is>
          <t>Charlotte Hornets</t>
        </is>
      </c>
      <c r="G817" t="n">
        <v>97</v>
      </c>
      <c r="H817" t="n">
        <v>100</v>
      </c>
      <c r="I817" t="inlineStr">
        <is>
          <t>Charlotte Hornets</t>
        </is>
      </c>
      <c r="J817" t="inlineStr">
        <is>
          <t>Los Angeles Lakers</t>
        </is>
      </c>
      <c r="K817" t="inlineStr">
        <is>
          <t>Yes</t>
        </is>
      </c>
      <c r="L817" t="inlineStr"/>
      <c r="M817" t="inlineStr">
        <is>
          <t>https://fixturedownload.com/download/nba-2024-UTC.csv</t>
        </is>
      </c>
    </row>
    <row r="818">
      <c r="A818" t="n">
        <v>788</v>
      </c>
      <c r="B818" t="n">
        <v>16</v>
      </c>
      <c r="C818" t="inlineStr">
        <is>
          <t>21/02/2025 00:00</t>
        </is>
      </c>
      <c r="D818" t="inlineStr">
        <is>
          <t>Gainbridge Fieldhouse</t>
        </is>
      </c>
      <c r="E818" t="inlineStr">
        <is>
          <t>Indiana Pacers</t>
        </is>
      </c>
      <c r="F818" t="inlineStr">
        <is>
          <t>Memphis Grizzlies</t>
        </is>
      </c>
      <c r="G818" t="n">
        <v>127</v>
      </c>
      <c r="H818" t="n">
        <v>113</v>
      </c>
      <c r="I818" t="inlineStr">
        <is>
          <t>Indiana Pacers</t>
        </is>
      </c>
      <c r="J818" t="inlineStr">
        <is>
          <t>Memphis Grizzlies</t>
        </is>
      </c>
      <c r="K818" t="inlineStr">
        <is>
          <t>Yes</t>
        </is>
      </c>
      <c r="L818" t="inlineStr"/>
      <c r="M818" t="inlineStr">
        <is>
          <t>https://fixturedownload.com/download/nba-2024-UTC.csv</t>
        </is>
      </c>
    </row>
    <row r="819">
      <c r="A819" t="n">
        <v>789</v>
      </c>
      <c r="B819" t="n">
        <v>16</v>
      </c>
      <c r="C819" t="inlineStr">
        <is>
          <t>21/02/2025 00:00</t>
        </is>
      </c>
      <c r="D819" t="inlineStr">
        <is>
          <t>Wells Fargo Center</t>
        </is>
      </c>
      <c r="E819" t="inlineStr">
        <is>
          <t>Philadelphia 76ers</t>
        </is>
      </c>
      <c r="F819" t="inlineStr">
        <is>
          <t>Boston Celtics</t>
        </is>
      </c>
      <c r="G819" t="n">
        <v>104</v>
      </c>
      <c r="H819" t="n">
        <v>124</v>
      </c>
      <c r="I819" t="inlineStr">
        <is>
          <t>Boston Celtics</t>
        </is>
      </c>
      <c r="J819" t="inlineStr">
        <is>
          <t>Philadelphia 76ers</t>
        </is>
      </c>
      <c r="K819" t="inlineStr">
        <is>
          <t>Yes</t>
        </is>
      </c>
      <c r="L819" t="inlineStr"/>
      <c r="M819" t="inlineStr">
        <is>
          <t>https://fixturedownload.com/download/nba-2024-UTC.csv</t>
        </is>
      </c>
    </row>
    <row r="820">
      <c r="A820" t="n">
        <v>790</v>
      </c>
      <c r="B820" t="n">
        <v>16</v>
      </c>
      <c r="C820" t="inlineStr">
        <is>
          <t>21/02/2025 00:30</t>
        </is>
      </c>
      <c r="D820" t="inlineStr">
        <is>
          <t>State Farm Arena</t>
        </is>
      </c>
      <c r="E820" t="inlineStr">
        <is>
          <t>Atlanta Hawks</t>
        </is>
      </c>
      <c r="F820" t="inlineStr">
        <is>
          <t>Orlando Magic</t>
        </is>
      </c>
      <c r="G820" t="n">
        <v>108</v>
      </c>
      <c r="H820" t="n">
        <v>114</v>
      </c>
      <c r="I820" t="inlineStr">
        <is>
          <t>Orlando Magic</t>
        </is>
      </c>
      <c r="J820" t="inlineStr">
        <is>
          <t>Atlanta Hawks</t>
        </is>
      </c>
      <c r="K820" t="inlineStr">
        <is>
          <t>Yes</t>
        </is>
      </c>
      <c r="L820" t="inlineStr"/>
      <c r="M820" t="inlineStr">
        <is>
          <t>https://fixturedownload.com/download/nba-2024-UTC.csv</t>
        </is>
      </c>
    </row>
    <row r="821">
      <c r="A821" t="n">
        <v>791</v>
      </c>
      <c r="B821" t="n">
        <v>16</v>
      </c>
      <c r="C821" t="inlineStr">
        <is>
          <t>21/02/2025 00:30</t>
        </is>
      </c>
      <c r="D821" t="inlineStr">
        <is>
          <t>Barclays Center</t>
        </is>
      </c>
      <c r="E821" t="inlineStr">
        <is>
          <t>Brooklyn Nets</t>
        </is>
      </c>
      <c r="F821" t="inlineStr">
        <is>
          <t>Cleveland Cavaliers</t>
        </is>
      </c>
      <c r="G821" t="n">
        <v>97</v>
      </c>
      <c r="H821" t="n">
        <v>110</v>
      </c>
      <c r="I821" t="inlineStr">
        <is>
          <t>Cleveland Cavaliers</t>
        </is>
      </c>
      <c r="J821" t="inlineStr">
        <is>
          <t>Brooklyn Nets</t>
        </is>
      </c>
      <c r="K821" t="inlineStr">
        <is>
          <t>Yes</t>
        </is>
      </c>
      <c r="L821" t="inlineStr"/>
      <c r="M821" t="inlineStr">
        <is>
          <t>https://fixturedownload.com/download/nba-2024-UTC.csv</t>
        </is>
      </c>
    </row>
    <row r="822">
      <c r="A822" t="n">
        <v>792</v>
      </c>
      <c r="B822" t="n">
        <v>16</v>
      </c>
      <c r="C822" t="inlineStr">
        <is>
          <t>21/02/2025 00:30</t>
        </is>
      </c>
      <c r="D822" t="inlineStr">
        <is>
          <t>Madison Square Garden</t>
        </is>
      </c>
      <c r="E822" t="inlineStr">
        <is>
          <t>New York Knicks</t>
        </is>
      </c>
      <c r="F822" t="inlineStr">
        <is>
          <t>Chicago Bulls</t>
        </is>
      </c>
      <c r="G822" t="n">
        <v>113</v>
      </c>
      <c r="H822" t="n">
        <v>111</v>
      </c>
      <c r="I822" t="inlineStr">
        <is>
          <t>New York Knicks</t>
        </is>
      </c>
      <c r="J822" t="inlineStr">
        <is>
          <t>Chicago Bulls</t>
        </is>
      </c>
      <c r="K822" t="inlineStr">
        <is>
          <t>Yes</t>
        </is>
      </c>
      <c r="L822" t="inlineStr"/>
      <c r="M822" t="inlineStr">
        <is>
          <t>https://fixturedownload.com/download/nba-2024-UTC.csv</t>
        </is>
      </c>
    </row>
    <row r="823">
      <c r="A823" t="n">
        <v>793</v>
      </c>
      <c r="B823" t="n">
        <v>16</v>
      </c>
      <c r="C823" t="inlineStr">
        <is>
          <t>21/02/2025 01:00</t>
        </is>
      </c>
      <c r="D823" t="inlineStr">
        <is>
          <t>Fiserv Forum</t>
        </is>
      </c>
      <c r="E823" t="inlineStr">
        <is>
          <t>Milwaukee Bucks</t>
        </is>
      </c>
      <c r="F823" t="inlineStr">
        <is>
          <t>LA Clippers</t>
        </is>
      </c>
      <c r="G823" t="n">
        <v>116</v>
      </c>
      <c r="H823" t="n">
        <v>110</v>
      </c>
      <c r="I823" t="inlineStr">
        <is>
          <t>Milwaukee Bucks</t>
        </is>
      </c>
      <c r="J823" t="inlineStr">
        <is>
          <t>LA Clippers</t>
        </is>
      </c>
      <c r="K823" t="inlineStr">
        <is>
          <t>Yes</t>
        </is>
      </c>
      <c r="L823" t="inlineStr"/>
      <c r="M823" t="inlineStr">
        <is>
          <t>https://fixturedownload.com/download/nba-2024-UTC.csv</t>
        </is>
      </c>
    </row>
    <row r="824">
      <c r="A824" t="n">
        <v>794</v>
      </c>
      <c r="B824" t="n">
        <v>16</v>
      </c>
      <c r="C824" t="inlineStr">
        <is>
          <t>21/02/2025 02:00</t>
        </is>
      </c>
      <c r="D824" t="inlineStr">
        <is>
          <t>Ball Arena</t>
        </is>
      </c>
      <c r="E824" t="inlineStr">
        <is>
          <t>Denver Nuggets</t>
        </is>
      </c>
      <c r="F824" t="inlineStr">
        <is>
          <t>Charlotte Hornets</t>
        </is>
      </c>
      <c r="G824" t="n">
        <v>129</v>
      </c>
      <c r="H824" t="n">
        <v>115</v>
      </c>
      <c r="I824" t="inlineStr">
        <is>
          <t>Denver Nuggets</t>
        </is>
      </c>
      <c r="J824" t="inlineStr">
        <is>
          <t>Charlotte Hornets</t>
        </is>
      </c>
      <c r="K824" t="inlineStr">
        <is>
          <t>Yes</t>
        </is>
      </c>
      <c r="L824" t="inlineStr"/>
      <c r="M824" t="inlineStr">
        <is>
          <t>https://fixturedownload.com/download/nba-2024-UTC.csv</t>
        </is>
      </c>
    </row>
    <row r="825">
      <c r="A825" t="n">
        <v>795</v>
      </c>
      <c r="B825" t="n">
        <v>16</v>
      </c>
      <c r="C825" t="inlineStr">
        <is>
          <t>21/02/2025 02:30</t>
        </is>
      </c>
      <c r="D825" t="inlineStr">
        <is>
          <t>Moody Center</t>
        </is>
      </c>
      <c r="E825" t="inlineStr">
        <is>
          <t>San Antonio Spurs</t>
        </is>
      </c>
      <c r="F825" t="inlineStr">
        <is>
          <t>Phoenix Suns</t>
        </is>
      </c>
      <c r="G825" t="n">
        <v>120</v>
      </c>
      <c r="H825" t="n">
        <v>109</v>
      </c>
      <c r="I825" t="inlineStr">
        <is>
          <t>San Antonio Spurs</t>
        </is>
      </c>
      <c r="J825" t="inlineStr">
        <is>
          <t>Phoenix Suns</t>
        </is>
      </c>
      <c r="K825" t="inlineStr">
        <is>
          <t>Yes</t>
        </is>
      </c>
      <c r="L825" t="inlineStr"/>
      <c r="M825" t="inlineStr">
        <is>
          <t>https://fixturedownload.com/download/nba-2024-UTC.csv</t>
        </is>
      </c>
    </row>
    <row r="826">
      <c r="A826" t="n">
        <v>796</v>
      </c>
      <c r="B826" t="n">
        <v>16</v>
      </c>
      <c r="C826" t="inlineStr">
        <is>
          <t>21/02/2025 03:00</t>
        </is>
      </c>
      <c r="D826" t="inlineStr">
        <is>
          <t>Moda Center</t>
        </is>
      </c>
      <c r="E826" t="inlineStr">
        <is>
          <t>Portland Trail Blazers</t>
        </is>
      </c>
      <c r="F826" t="inlineStr">
        <is>
          <t>Los Angeles Lakers</t>
        </is>
      </c>
      <c r="G826" t="n">
        <v>102</v>
      </c>
      <c r="H826" t="n">
        <v>110</v>
      </c>
      <c r="I826" t="inlineStr">
        <is>
          <t>Los Angeles Lakers</t>
        </is>
      </c>
      <c r="J826" t="inlineStr">
        <is>
          <t>Portland Trail Blazers</t>
        </is>
      </c>
      <c r="K826" t="inlineStr">
        <is>
          <t>Yes</t>
        </is>
      </c>
      <c r="L826" t="inlineStr"/>
      <c r="M826" t="inlineStr">
        <is>
          <t>https://fixturedownload.com/download/nba-2024-UTC.csv</t>
        </is>
      </c>
    </row>
    <row r="827">
      <c r="A827" t="n">
        <v>797</v>
      </c>
      <c r="B827" t="n">
        <v>16</v>
      </c>
      <c r="C827" t="inlineStr">
        <is>
          <t>22/02/2025 00:00</t>
        </is>
      </c>
      <c r="D827" t="inlineStr">
        <is>
          <t>Rocket Arena</t>
        </is>
      </c>
      <c r="E827" t="inlineStr">
        <is>
          <t>Cleveland Cavaliers</t>
        </is>
      </c>
      <c r="F827" t="inlineStr">
        <is>
          <t>New York Knicks</t>
        </is>
      </c>
      <c r="G827" t="n">
        <v>142</v>
      </c>
      <c r="H827" t="n">
        <v>105</v>
      </c>
      <c r="I827" t="inlineStr">
        <is>
          <t>Cleveland Cavaliers</t>
        </is>
      </c>
      <c r="J827" t="inlineStr">
        <is>
          <t>New York Knicks</t>
        </is>
      </c>
      <c r="K827" t="inlineStr">
        <is>
          <t>Yes</t>
        </is>
      </c>
      <c r="L827" t="inlineStr"/>
      <c r="M827" t="inlineStr">
        <is>
          <t>https://fixturedownload.com/download/nba-2024-UTC.csv</t>
        </is>
      </c>
    </row>
    <row r="828">
      <c r="A828" t="n">
        <v>798</v>
      </c>
      <c r="B828" t="n">
        <v>16</v>
      </c>
      <c r="C828" t="inlineStr">
        <is>
          <t>22/02/2025 00:00</t>
        </is>
      </c>
      <c r="D828" t="inlineStr">
        <is>
          <t>Kia Center</t>
        </is>
      </c>
      <c r="E828" t="inlineStr">
        <is>
          <t>Orlando Magic</t>
        </is>
      </c>
      <c r="F828" t="inlineStr">
        <is>
          <t>Memphis Grizzlies</t>
        </is>
      </c>
      <c r="G828" t="n">
        <v>104</v>
      </c>
      <c r="H828" t="n">
        <v>105</v>
      </c>
      <c r="I828" t="inlineStr">
        <is>
          <t>Memphis Grizzlies</t>
        </is>
      </c>
      <c r="J828" t="inlineStr">
        <is>
          <t>Orlando Magic</t>
        </is>
      </c>
      <c r="K828" t="inlineStr">
        <is>
          <t>Yes</t>
        </is>
      </c>
      <c r="L828" t="inlineStr"/>
      <c r="M828" t="inlineStr">
        <is>
          <t>https://fixturedownload.com/download/nba-2024-UTC.csv</t>
        </is>
      </c>
    </row>
    <row r="829">
      <c r="A829" t="n">
        <v>799</v>
      </c>
      <c r="B829" t="n">
        <v>16</v>
      </c>
      <c r="C829" t="inlineStr">
        <is>
          <t>22/02/2025 00:00</t>
        </is>
      </c>
      <c r="D829" t="inlineStr">
        <is>
          <t>Capital One Arena</t>
        </is>
      </c>
      <c r="E829" t="inlineStr">
        <is>
          <t>Washington Wizards</t>
        </is>
      </c>
      <c r="F829" t="inlineStr">
        <is>
          <t>Milwaukee Bucks</t>
        </is>
      </c>
      <c r="G829" t="n">
        <v>101</v>
      </c>
      <c r="H829" t="n">
        <v>104</v>
      </c>
      <c r="I829" t="inlineStr">
        <is>
          <t>Milwaukee Bucks</t>
        </is>
      </c>
      <c r="J829" t="inlineStr">
        <is>
          <t>Washington Wizards</t>
        </is>
      </c>
      <c r="K829" t="inlineStr">
        <is>
          <t>Yes</t>
        </is>
      </c>
      <c r="L829" t="inlineStr"/>
      <c r="M829" t="inlineStr">
        <is>
          <t>https://fixturedownload.com/download/nba-2024-UTC.csv</t>
        </is>
      </c>
    </row>
    <row r="830">
      <c r="A830" t="n">
        <v>800</v>
      </c>
      <c r="B830" t="n">
        <v>16</v>
      </c>
      <c r="C830" t="inlineStr">
        <is>
          <t>22/02/2025 00:30</t>
        </is>
      </c>
      <c r="D830" t="inlineStr">
        <is>
          <t>Scotiabank Arena</t>
        </is>
      </c>
      <c r="E830" t="inlineStr">
        <is>
          <t>Toronto Raptors</t>
        </is>
      </c>
      <c r="F830" t="inlineStr">
        <is>
          <t>Miami Heat</t>
        </is>
      </c>
      <c r="G830" t="n">
        <v>111</v>
      </c>
      <c r="H830" t="n">
        <v>120</v>
      </c>
      <c r="I830" t="inlineStr">
        <is>
          <t>Miami Heat</t>
        </is>
      </c>
      <c r="J830" t="inlineStr">
        <is>
          <t>Toronto Raptors</t>
        </is>
      </c>
      <c r="K830" t="inlineStr">
        <is>
          <t>Yes</t>
        </is>
      </c>
      <c r="L830" t="inlineStr"/>
      <c r="M830" t="inlineStr">
        <is>
          <t>https://fixturedownload.com/download/nba-2024-UTC.csv</t>
        </is>
      </c>
    </row>
    <row r="831">
      <c r="A831" t="n">
        <v>802</v>
      </c>
      <c r="B831" t="n">
        <v>16</v>
      </c>
      <c r="C831" t="inlineStr">
        <is>
          <t>22/02/2025 01:30</t>
        </is>
      </c>
      <c r="D831" t="inlineStr">
        <is>
          <t>Moody Center</t>
        </is>
      </c>
      <c r="E831" t="inlineStr">
        <is>
          <t>San Antonio Spurs</t>
        </is>
      </c>
      <c r="F831" t="inlineStr">
        <is>
          <t>Detroit Pistons</t>
        </is>
      </c>
      <c r="G831" t="n">
        <v>110</v>
      </c>
      <c r="H831" t="n">
        <v>125</v>
      </c>
      <c r="I831" t="inlineStr">
        <is>
          <t>Detroit Pistons</t>
        </is>
      </c>
      <c r="J831" t="inlineStr">
        <is>
          <t>San Antonio Spurs</t>
        </is>
      </c>
      <c r="K831" t="inlineStr">
        <is>
          <t>Yes</t>
        </is>
      </c>
      <c r="L831" t="inlineStr"/>
      <c r="M831" t="inlineStr">
        <is>
          <t>https://fixturedownload.com/download/nba-2024-UTC.csv</t>
        </is>
      </c>
    </row>
    <row r="832">
      <c r="A832" t="n">
        <v>803</v>
      </c>
      <c r="B832" t="n">
        <v>16</v>
      </c>
      <c r="C832" t="inlineStr">
        <is>
          <t>22/02/2025 01:30</t>
        </is>
      </c>
      <c r="D832" t="inlineStr">
        <is>
          <t>American Airlines Center</t>
        </is>
      </c>
      <c r="E832" t="inlineStr">
        <is>
          <t>Dallas Mavericks</t>
        </is>
      </c>
      <c r="F832" t="inlineStr">
        <is>
          <t>New Orleans Pelicans</t>
        </is>
      </c>
      <c r="G832" t="n">
        <v>111</v>
      </c>
      <c r="H832" t="n">
        <v>103</v>
      </c>
      <c r="I832" t="inlineStr">
        <is>
          <t>Dallas Mavericks</t>
        </is>
      </c>
      <c r="J832" t="inlineStr">
        <is>
          <t>New Orleans Pelicans</t>
        </is>
      </c>
      <c r="K832" t="inlineStr">
        <is>
          <t>Yes</t>
        </is>
      </c>
      <c r="L832" t="inlineStr"/>
      <c r="M832" t="inlineStr">
        <is>
          <t>https://fixturedownload.com/download/nba-2024-UTC.csv</t>
        </is>
      </c>
    </row>
    <row r="833">
      <c r="A833" t="n">
        <v>801</v>
      </c>
      <c r="B833" t="n">
        <v>16</v>
      </c>
      <c r="C833" t="inlineStr">
        <is>
          <t>22/02/2025 02:30</t>
        </is>
      </c>
      <c r="D833" t="inlineStr">
        <is>
          <t>Toyota Center</t>
        </is>
      </c>
      <c r="E833" t="inlineStr">
        <is>
          <t>Houston Rockets</t>
        </is>
      </c>
      <c r="F833" t="inlineStr">
        <is>
          <t>Minnesota Timberwolves</t>
        </is>
      </c>
      <c r="G833" t="n">
        <v>121</v>
      </c>
      <c r="H833" t="n">
        <v>115</v>
      </c>
      <c r="I833" t="inlineStr">
        <is>
          <t>Houston Rockets</t>
        </is>
      </c>
      <c r="J833" t="inlineStr">
        <is>
          <t>Minnesota Timberwolves</t>
        </is>
      </c>
      <c r="K833" t="inlineStr">
        <is>
          <t>Yes</t>
        </is>
      </c>
      <c r="L833" t="inlineStr"/>
      <c r="M833" t="inlineStr">
        <is>
          <t>https://fixturedownload.com/download/nba-2024-UTC.csv</t>
        </is>
      </c>
    </row>
    <row r="834">
      <c r="A834" t="n">
        <v>804</v>
      </c>
      <c r="B834" t="n">
        <v>16</v>
      </c>
      <c r="C834" t="inlineStr">
        <is>
          <t>22/02/2025 02:30</t>
        </is>
      </c>
      <c r="D834" t="inlineStr">
        <is>
          <t>Delta Center</t>
        </is>
      </c>
      <c r="E834" t="inlineStr">
        <is>
          <t>Utah Jazz</t>
        </is>
      </c>
      <c r="F834" t="inlineStr">
        <is>
          <t>Oklahoma City Thunder</t>
        </is>
      </c>
      <c r="G834" t="n">
        <v>107</v>
      </c>
      <c r="H834" t="n">
        <v>130</v>
      </c>
      <c r="I834" t="inlineStr">
        <is>
          <t>Oklahoma City Thunder</t>
        </is>
      </c>
      <c r="J834" t="inlineStr">
        <is>
          <t>Utah Jazz</t>
        </is>
      </c>
      <c r="K834" t="inlineStr">
        <is>
          <t>Yes</t>
        </is>
      </c>
      <c r="L834" t="inlineStr"/>
      <c r="M834" t="inlineStr">
        <is>
          <t>https://fixturedownload.com/download/nba-2024-UTC.csv</t>
        </is>
      </c>
    </row>
    <row r="835">
      <c r="A835" t="n">
        <v>805</v>
      </c>
      <c r="B835" t="n">
        <v>16</v>
      </c>
      <c r="C835" t="inlineStr">
        <is>
          <t>22/02/2025 03:00</t>
        </is>
      </c>
      <c r="D835" t="inlineStr">
        <is>
          <t>Golden 1 Center</t>
        </is>
      </c>
      <c r="E835" t="inlineStr">
        <is>
          <t>Sacramento Kings</t>
        </is>
      </c>
      <c r="F835" t="inlineStr">
        <is>
          <t>Golden State Warriors</t>
        </is>
      </c>
      <c r="G835" t="n">
        <v>108</v>
      </c>
      <c r="H835" t="n">
        <v>132</v>
      </c>
      <c r="I835" t="inlineStr">
        <is>
          <t>Golden State Warriors</t>
        </is>
      </c>
      <c r="J835" t="inlineStr">
        <is>
          <t>Sacramento Kings</t>
        </is>
      </c>
      <c r="K835" t="inlineStr">
        <is>
          <t>Yes</t>
        </is>
      </c>
      <c r="L835" t="inlineStr"/>
      <c r="M835" t="inlineStr">
        <is>
          <t>https://fixturedownload.com/download/nba-2024-UTC.csv</t>
        </is>
      </c>
    </row>
    <row r="836">
      <c r="A836" t="n">
        <v>806</v>
      </c>
      <c r="B836" t="n">
        <v>16</v>
      </c>
      <c r="C836" t="inlineStr">
        <is>
          <t>22/02/2025 22:00</t>
        </is>
      </c>
      <c r="D836" t="inlineStr">
        <is>
          <t>United Center</t>
        </is>
      </c>
      <c r="E836" t="inlineStr">
        <is>
          <t>Chicago Bulls</t>
        </is>
      </c>
      <c r="F836" t="inlineStr">
        <is>
          <t>Phoenix Suns</t>
        </is>
      </c>
      <c r="G836" t="n">
        <v>117</v>
      </c>
      <c r="H836" t="n">
        <v>121</v>
      </c>
      <c r="I836" t="inlineStr">
        <is>
          <t>Phoenix Suns</t>
        </is>
      </c>
      <c r="J836" t="inlineStr">
        <is>
          <t>Chicago Bulls</t>
        </is>
      </c>
      <c r="K836" t="inlineStr">
        <is>
          <t>Yes</t>
        </is>
      </c>
      <c r="L836" t="inlineStr"/>
      <c r="M836" t="inlineStr">
        <is>
          <t>https://fixturedownload.com/download/nba-2024-UTC.csv</t>
        </is>
      </c>
    </row>
    <row r="837">
      <c r="A837" t="n">
        <v>807</v>
      </c>
      <c r="B837" t="n">
        <v>16</v>
      </c>
      <c r="C837" t="inlineStr">
        <is>
          <t>23/02/2025 00:30</t>
        </is>
      </c>
      <c r="D837" t="inlineStr">
        <is>
          <t>Wells Fargo Center</t>
        </is>
      </c>
      <c r="E837" t="inlineStr">
        <is>
          <t>Philadelphia 76ers</t>
        </is>
      </c>
      <c r="F837" t="inlineStr">
        <is>
          <t>Brooklyn Nets</t>
        </is>
      </c>
      <c r="G837" t="n">
        <v>103</v>
      </c>
      <c r="H837" t="n">
        <v>105</v>
      </c>
      <c r="I837" t="inlineStr">
        <is>
          <t>Brooklyn Nets</t>
        </is>
      </c>
      <c r="J837" t="inlineStr">
        <is>
          <t>Philadelphia 76ers</t>
        </is>
      </c>
      <c r="K837" t="inlineStr">
        <is>
          <t>Yes</t>
        </is>
      </c>
      <c r="L837" t="inlineStr"/>
      <c r="M837" t="inlineStr">
        <is>
          <t>https://fixturedownload.com/download/nba-2024-UTC.csv</t>
        </is>
      </c>
    </row>
    <row r="838">
      <c r="A838" t="n">
        <v>808</v>
      </c>
      <c r="B838" t="n">
        <v>16</v>
      </c>
      <c r="C838" t="inlineStr">
        <is>
          <t>23/02/2025 01:30</t>
        </is>
      </c>
      <c r="D838" t="inlineStr">
        <is>
          <t>Ball Arena</t>
        </is>
      </c>
      <c r="E838" t="inlineStr">
        <is>
          <t>Denver Nuggets</t>
        </is>
      </c>
      <c r="F838" t="inlineStr">
        <is>
          <t>Los Angeles Lakers</t>
        </is>
      </c>
      <c r="G838" t="n">
        <v>100</v>
      </c>
      <c r="H838" t="n">
        <v>123</v>
      </c>
      <c r="I838" t="inlineStr">
        <is>
          <t>Los Angeles Lakers</t>
        </is>
      </c>
      <c r="J838" t="inlineStr">
        <is>
          <t>Denver Nuggets</t>
        </is>
      </c>
      <c r="K838" t="inlineStr">
        <is>
          <t>Yes</t>
        </is>
      </c>
      <c r="L838" t="inlineStr"/>
      <c r="M838" t="inlineStr">
        <is>
          <t>https://fixturedownload.com/download/nba-2024-UTC.csv</t>
        </is>
      </c>
    </row>
    <row r="839">
      <c r="A839" t="n">
        <v>809</v>
      </c>
      <c r="B839" t="n">
        <v>16</v>
      </c>
      <c r="C839" t="inlineStr">
        <is>
          <t>23/02/2025 02:30</t>
        </is>
      </c>
      <c r="D839" t="inlineStr">
        <is>
          <t>Delta Center</t>
        </is>
      </c>
      <c r="E839" t="inlineStr">
        <is>
          <t>Utah Jazz</t>
        </is>
      </c>
      <c r="F839" t="inlineStr">
        <is>
          <t>Houston Rockets</t>
        </is>
      </c>
      <c r="G839" t="n">
        <v>124</v>
      </c>
      <c r="H839" t="n">
        <v>115</v>
      </c>
      <c r="I839" t="inlineStr">
        <is>
          <t>Utah Jazz</t>
        </is>
      </c>
      <c r="J839" t="inlineStr">
        <is>
          <t>Houston Rockets</t>
        </is>
      </c>
      <c r="K839" t="inlineStr">
        <is>
          <t>Yes</t>
        </is>
      </c>
      <c r="L839" t="inlineStr"/>
      <c r="M839" t="inlineStr">
        <is>
          <t>https://fixturedownload.com/download/nba-2024-UTC.csv</t>
        </is>
      </c>
    </row>
    <row r="840">
      <c r="A840" t="n">
        <v>810</v>
      </c>
      <c r="B840" t="n">
        <v>16</v>
      </c>
      <c r="C840" t="inlineStr">
        <is>
          <t>23/02/2025 03:00</t>
        </is>
      </c>
      <c r="D840" t="inlineStr">
        <is>
          <t>Moda Center</t>
        </is>
      </c>
      <c r="E840" t="inlineStr">
        <is>
          <t>Portland Trail Blazers</t>
        </is>
      </c>
      <c r="F840" t="inlineStr">
        <is>
          <t>Charlotte Hornets</t>
        </is>
      </c>
      <c r="G840" t="n">
        <v>141</v>
      </c>
      <c r="H840" t="n">
        <v>88</v>
      </c>
      <c r="I840" t="inlineStr">
        <is>
          <t>Portland Trail Blazers</t>
        </is>
      </c>
      <c r="J840" t="inlineStr">
        <is>
          <t>Charlotte Hornets</t>
        </is>
      </c>
      <c r="K840" t="inlineStr">
        <is>
          <t>Yes</t>
        </is>
      </c>
      <c r="L840" t="inlineStr"/>
      <c r="M840" t="inlineStr">
        <is>
          <t>https://fixturedownload.com/download/nba-2024-UTC.csv</t>
        </is>
      </c>
    </row>
    <row r="841">
      <c r="A841" t="n">
        <v>811</v>
      </c>
      <c r="B841" t="n">
        <v>16</v>
      </c>
      <c r="C841" t="inlineStr">
        <is>
          <t>23/02/2025 18:00</t>
        </is>
      </c>
      <c r="D841" t="inlineStr">
        <is>
          <t>TD Garden</t>
        </is>
      </c>
      <c r="E841" t="inlineStr">
        <is>
          <t>Boston Celtics</t>
        </is>
      </c>
      <c r="F841" t="inlineStr">
        <is>
          <t>New York Knicks</t>
        </is>
      </c>
      <c r="G841" t="n">
        <v>118</v>
      </c>
      <c r="H841" t="n">
        <v>105</v>
      </c>
      <c r="I841" t="inlineStr">
        <is>
          <t>Boston Celtics</t>
        </is>
      </c>
      <c r="J841" t="inlineStr">
        <is>
          <t>New York Knicks</t>
        </is>
      </c>
      <c r="K841" t="inlineStr">
        <is>
          <t>Yes</t>
        </is>
      </c>
      <c r="L841" t="inlineStr"/>
      <c r="M841" t="inlineStr">
        <is>
          <t>https://fixturedownload.com/download/nba-2024-UTC.csv</t>
        </is>
      </c>
    </row>
    <row r="842">
      <c r="A842" t="n">
        <v>812</v>
      </c>
      <c r="B842" t="n">
        <v>16</v>
      </c>
      <c r="C842" t="inlineStr">
        <is>
          <t>23/02/2025 20:30</t>
        </is>
      </c>
      <c r="D842" t="inlineStr">
        <is>
          <t>Chase Center</t>
        </is>
      </c>
      <c r="E842" t="inlineStr">
        <is>
          <t>Golden State Warriors</t>
        </is>
      </c>
      <c r="F842" t="inlineStr">
        <is>
          <t>Dallas Mavericks</t>
        </is>
      </c>
      <c r="G842" t="n">
        <v>126</v>
      </c>
      <c r="H842" t="n">
        <v>102</v>
      </c>
      <c r="I842" t="inlineStr">
        <is>
          <t>Golden State Warriors</t>
        </is>
      </c>
      <c r="J842" t="inlineStr">
        <is>
          <t>Dallas Mavericks</t>
        </is>
      </c>
      <c r="K842" t="inlineStr">
        <is>
          <t>Yes</t>
        </is>
      </c>
      <c r="L842" t="inlineStr"/>
      <c r="M842" t="inlineStr">
        <is>
          <t>https://fixturedownload.com/download/nba-2024-UTC.csv</t>
        </is>
      </c>
    </row>
    <row r="843">
      <c r="A843" t="n">
        <v>813</v>
      </c>
      <c r="B843" t="n">
        <v>16</v>
      </c>
      <c r="C843" t="inlineStr">
        <is>
          <t>23/02/2025 22:00</t>
        </is>
      </c>
      <c r="D843" t="inlineStr">
        <is>
          <t>Gainbridge Fieldhouse</t>
        </is>
      </c>
      <c r="E843" t="inlineStr">
        <is>
          <t>Indiana Pacers</t>
        </is>
      </c>
      <c r="F843" t="inlineStr">
        <is>
          <t>LA Clippers</t>
        </is>
      </c>
      <c r="G843" t="n">
        <v>129</v>
      </c>
      <c r="H843" t="n">
        <v>111</v>
      </c>
      <c r="I843" t="inlineStr">
        <is>
          <t>Indiana Pacers</t>
        </is>
      </c>
      <c r="J843" t="inlineStr">
        <is>
          <t>LA Clippers</t>
        </is>
      </c>
      <c r="K843" t="inlineStr">
        <is>
          <t>Yes</t>
        </is>
      </c>
      <c r="L843" t="inlineStr"/>
      <c r="M843" t="inlineStr">
        <is>
          <t>https://fixturedownload.com/download/nba-2024-UTC.csv</t>
        </is>
      </c>
    </row>
    <row r="844">
      <c r="A844" t="n">
        <v>814</v>
      </c>
      <c r="B844" t="n">
        <v>16</v>
      </c>
      <c r="C844" t="inlineStr">
        <is>
          <t>23/02/2025 23:00</t>
        </is>
      </c>
      <c r="D844" t="inlineStr">
        <is>
          <t>State Farm Arena</t>
        </is>
      </c>
      <c r="E844" t="inlineStr">
        <is>
          <t>Atlanta Hawks</t>
        </is>
      </c>
      <c r="F844" t="inlineStr">
        <is>
          <t>Detroit Pistons</t>
        </is>
      </c>
      <c r="G844" t="n">
        <v>143</v>
      </c>
      <c r="H844" t="n">
        <v>148</v>
      </c>
      <c r="I844" t="inlineStr">
        <is>
          <t>Detroit Pistons</t>
        </is>
      </c>
      <c r="J844" t="inlineStr">
        <is>
          <t>Atlanta Hawks</t>
        </is>
      </c>
      <c r="K844" t="inlineStr">
        <is>
          <t>Yes</t>
        </is>
      </c>
      <c r="L844" t="inlineStr"/>
      <c r="M844" t="inlineStr">
        <is>
          <t>https://fixturedownload.com/download/nba-2024-UTC.csv</t>
        </is>
      </c>
    </row>
    <row r="845">
      <c r="A845" t="n">
        <v>815</v>
      </c>
      <c r="B845" t="n">
        <v>16</v>
      </c>
      <c r="C845" t="inlineStr">
        <is>
          <t>23/02/2025 23:00</t>
        </is>
      </c>
      <c r="D845" t="inlineStr">
        <is>
          <t>Kia Center</t>
        </is>
      </c>
      <c r="E845" t="inlineStr">
        <is>
          <t>Orlando Magic</t>
        </is>
      </c>
      <c r="F845" t="inlineStr">
        <is>
          <t>Washington Wizards</t>
        </is>
      </c>
      <c r="G845" t="n">
        <v>110</v>
      </c>
      <c r="H845" t="n">
        <v>90</v>
      </c>
      <c r="I845" t="inlineStr">
        <is>
          <t>Orlando Magic</t>
        </is>
      </c>
      <c r="J845" t="inlineStr">
        <is>
          <t>Washington Wizards</t>
        </is>
      </c>
      <c r="K845" t="inlineStr">
        <is>
          <t>Yes</t>
        </is>
      </c>
      <c r="L845" t="inlineStr"/>
      <c r="M845" t="inlineStr">
        <is>
          <t>https://fixturedownload.com/download/nba-2024-UTC.csv</t>
        </is>
      </c>
    </row>
    <row r="846">
      <c r="A846" t="n">
        <v>816</v>
      </c>
      <c r="B846" t="n">
        <v>16</v>
      </c>
      <c r="C846" t="inlineStr">
        <is>
          <t>23/02/2025 23:00</t>
        </is>
      </c>
      <c r="D846" t="inlineStr">
        <is>
          <t>Scotiabank Arena</t>
        </is>
      </c>
      <c r="E846" t="inlineStr">
        <is>
          <t>Toronto Raptors</t>
        </is>
      </c>
      <c r="F846" t="inlineStr">
        <is>
          <t>Phoenix Suns</t>
        </is>
      </c>
      <c r="G846" t="n">
        <v>127</v>
      </c>
      <c r="H846" t="n">
        <v>109</v>
      </c>
      <c r="I846" t="inlineStr">
        <is>
          <t>Toronto Raptors</t>
        </is>
      </c>
      <c r="J846" t="inlineStr">
        <is>
          <t>Phoenix Suns</t>
        </is>
      </c>
      <c r="K846" t="inlineStr">
        <is>
          <t>Yes</t>
        </is>
      </c>
      <c r="L846" t="inlineStr"/>
      <c r="M846" t="inlineStr">
        <is>
          <t>https://fixturedownload.com/download/nba-2024-UTC.csv</t>
        </is>
      </c>
    </row>
    <row r="847">
      <c r="A847" t="n">
        <v>817</v>
      </c>
      <c r="B847" t="n">
        <v>16</v>
      </c>
      <c r="C847" t="inlineStr">
        <is>
          <t>23/02/2025 23:00</t>
        </is>
      </c>
      <c r="D847" t="inlineStr">
        <is>
          <t>Fiserv Forum</t>
        </is>
      </c>
      <c r="E847" t="inlineStr">
        <is>
          <t>Milwaukee Bucks</t>
        </is>
      </c>
      <c r="F847" t="inlineStr">
        <is>
          <t>Miami Heat</t>
        </is>
      </c>
      <c r="G847" t="n">
        <v>120</v>
      </c>
      <c r="H847" t="n">
        <v>113</v>
      </c>
      <c r="I847" t="inlineStr">
        <is>
          <t>Milwaukee Bucks</t>
        </is>
      </c>
      <c r="J847" t="inlineStr">
        <is>
          <t>Miami Heat</t>
        </is>
      </c>
      <c r="K847" t="inlineStr">
        <is>
          <t>Yes</t>
        </is>
      </c>
      <c r="L847" t="inlineStr"/>
      <c r="M847" t="inlineStr">
        <is>
          <t>https://fixturedownload.com/download/nba-2024-UTC.csv</t>
        </is>
      </c>
    </row>
    <row r="848">
      <c r="A848" t="n">
        <v>818</v>
      </c>
      <c r="B848" t="n">
        <v>16</v>
      </c>
      <c r="C848" t="inlineStr">
        <is>
          <t>24/02/2025 00:00</t>
        </is>
      </c>
      <c r="D848" t="inlineStr">
        <is>
          <t>Smoothie King Center</t>
        </is>
      </c>
      <c r="E848" t="inlineStr">
        <is>
          <t>New Orleans Pelicans</t>
        </is>
      </c>
      <c r="F848" t="inlineStr">
        <is>
          <t>San Antonio Spurs</t>
        </is>
      </c>
      <c r="G848" t="n">
        <v>114</v>
      </c>
      <c r="H848" t="n">
        <v>96</v>
      </c>
      <c r="I848" t="inlineStr">
        <is>
          <t>New Orleans Pelicans</t>
        </is>
      </c>
      <c r="J848" t="inlineStr">
        <is>
          <t>San Antonio Spurs</t>
        </is>
      </c>
      <c r="K848" t="inlineStr">
        <is>
          <t>Yes</t>
        </is>
      </c>
      <c r="L848" t="inlineStr"/>
      <c r="M848" t="inlineStr">
        <is>
          <t>https://fixturedownload.com/download/nba-2024-UTC.csv</t>
        </is>
      </c>
    </row>
    <row r="849">
      <c r="A849" t="n">
        <v>819</v>
      </c>
      <c r="B849" t="n">
        <v>16</v>
      </c>
      <c r="C849" t="inlineStr">
        <is>
          <t>24/02/2025 00:00</t>
        </is>
      </c>
      <c r="D849" t="inlineStr">
        <is>
          <t>Rocket Arena</t>
        </is>
      </c>
      <c r="E849" t="inlineStr">
        <is>
          <t>Cleveland Cavaliers</t>
        </is>
      </c>
      <c r="F849" t="inlineStr">
        <is>
          <t>Memphis Grizzlies</t>
        </is>
      </c>
      <c r="G849" t="n">
        <v>129</v>
      </c>
      <c r="H849" t="n">
        <v>123</v>
      </c>
      <c r="I849" t="inlineStr">
        <is>
          <t>Cleveland Cavaliers</t>
        </is>
      </c>
      <c r="J849" t="inlineStr">
        <is>
          <t>Memphis Grizzlies</t>
        </is>
      </c>
      <c r="K849" t="inlineStr">
        <is>
          <t>Yes</t>
        </is>
      </c>
      <c r="L849" t="inlineStr"/>
      <c r="M849" t="inlineStr">
        <is>
          <t>https://fixturedownload.com/download/nba-2024-UTC.csv</t>
        </is>
      </c>
    </row>
    <row r="850">
      <c r="A850" t="n">
        <v>820</v>
      </c>
      <c r="B850" t="n">
        <v>16</v>
      </c>
      <c r="C850" t="inlineStr">
        <is>
          <t>24/02/2025 02:30</t>
        </is>
      </c>
      <c r="D850" t="inlineStr">
        <is>
          <t>Target Center</t>
        </is>
      </c>
      <c r="E850" t="inlineStr">
        <is>
          <t>Minnesota Timberwolves</t>
        </is>
      </c>
      <c r="F850" t="inlineStr">
        <is>
          <t>Oklahoma City Thunder</t>
        </is>
      </c>
      <c r="G850" t="n">
        <v>123</v>
      </c>
      <c r="H850" t="n">
        <v>130</v>
      </c>
      <c r="I850" t="inlineStr">
        <is>
          <t>Oklahoma City Thunder</t>
        </is>
      </c>
      <c r="J850" t="inlineStr">
        <is>
          <t>Minnesota Timberwolves</t>
        </is>
      </c>
      <c r="K850" t="inlineStr">
        <is>
          <t>Yes</t>
        </is>
      </c>
      <c r="L850" t="inlineStr"/>
      <c r="M850" t="inlineStr">
        <is>
          <t>https://fixturedownload.com/download/nba-2024-UTC.csv</t>
        </is>
      </c>
    </row>
    <row r="851">
      <c r="A851" t="n">
        <v>821</v>
      </c>
      <c r="B851" t="n">
        <v>16</v>
      </c>
      <c r="C851" t="inlineStr">
        <is>
          <t>25/02/2025 00:00</t>
        </is>
      </c>
      <c r="D851" t="inlineStr">
        <is>
          <t>Little Caesars Arena</t>
        </is>
      </c>
      <c r="E851" t="inlineStr">
        <is>
          <t>Detroit Pistons</t>
        </is>
      </c>
      <c r="F851" t="inlineStr">
        <is>
          <t>LA Clippers</t>
        </is>
      </c>
      <c r="G851" t="n">
        <v>106</v>
      </c>
      <c r="H851" t="n">
        <v>97</v>
      </c>
      <c r="I851" t="inlineStr">
        <is>
          <t>Detroit Pistons</t>
        </is>
      </c>
      <c r="J851" t="inlineStr">
        <is>
          <t>LA Clippers</t>
        </is>
      </c>
      <c r="K851" t="inlineStr">
        <is>
          <t>Yes</t>
        </is>
      </c>
      <c r="L851" t="inlineStr"/>
      <c r="M851" t="inlineStr">
        <is>
          <t>https://fixturedownload.com/download/nba-2024-UTC.csv</t>
        </is>
      </c>
    </row>
    <row r="852">
      <c r="A852" t="n">
        <v>822</v>
      </c>
      <c r="B852" t="n">
        <v>16</v>
      </c>
      <c r="C852" t="inlineStr">
        <is>
          <t>25/02/2025 00:00</t>
        </is>
      </c>
      <c r="D852" t="inlineStr">
        <is>
          <t>Gainbridge Fieldhouse</t>
        </is>
      </c>
      <c r="E852" t="inlineStr">
        <is>
          <t>Indiana Pacers</t>
        </is>
      </c>
      <c r="F852" t="inlineStr">
        <is>
          <t>Denver Nuggets</t>
        </is>
      </c>
      <c r="G852" t="n">
        <v>116</v>
      </c>
      <c r="H852" t="n">
        <v>125</v>
      </c>
      <c r="I852" t="inlineStr">
        <is>
          <t>Denver Nuggets</t>
        </is>
      </c>
      <c r="J852" t="inlineStr">
        <is>
          <t>Indiana Pacers</t>
        </is>
      </c>
      <c r="K852" t="inlineStr">
        <is>
          <t>Yes</t>
        </is>
      </c>
      <c r="L852" t="inlineStr"/>
      <c r="M852" t="inlineStr">
        <is>
          <t>https://fixturedownload.com/download/nba-2024-UTC.csv</t>
        </is>
      </c>
    </row>
    <row r="853">
      <c r="A853" t="n">
        <v>823</v>
      </c>
      <c r="B853" t="n">
        <v>16</v>
      </c>
      <c r="C853" t="inlineStr">
        <is>
          <t>25/02/2025 00:00</t>
        </is>
      </c>
      <c r="D853" t="inlineStr">
        <is>
          <t>Wells Fargo Center</t>
        </is>
      </c>
      <c r="E853" t="inlineStr">
        <is>
          <t>Philadelphia 76ers</t>
        </is>
      </c>
      <c r="F853" t="inlineStr">
        <is>
          <t>Chicago Bulls</t>
        </is>
      </c>
      <c r="G853" t="n">
        <v>110</v>
      </c>
      <c r="H853" t="n">
        <v>142</v>
      </c>
      <c r="I853" t="inlineStr">
        <is>
          <t>Chicago Bulls</t>
        </is>
      </c>
      <c r="J853" t="inlineStr">
        <is>
          <t>Philadelphia 76ers</t>
        </is>
      </c>
      <c r="K853" t="inlineStr">
        <is>
          <t>Yes</t>
        </is>
      </c>
      <c r="L853" t="inlineStr"/>
      <c r="M853" t="inlineStr">
        <is>
          <t>https://fixturedownload.com/download/nba-2024-UTC.csv</t>
        </is>
      </c>
    </row>
    <row r="854">
      <c r="A854" t="n">
        <v>824</v>
      </c>
      <c r="B854" t="n">
        <v>16</v>
      </c>
      <c r="C854" t="inlineStr">
        <is>
          <t>25/02/2025 00:00</t>
        </is>
      </c>
      <c r="D854" t="inlineStr">
        <is>
          <t>Capital One Arena</t>
        </is>
      </c>
      <c r="E854" t="inlineStr">
        <is>
          <t>Washington Wizards</t>
        </is>
      </c>
      <c r="F854" t="inlineStr">
        <is>
          <t>Brooklyn Nets</t>
        </is>
      </c>
      <c r="G854" t="n">
        <v>107</v>
      </c>
      <c r="H854" t="n">
        <v>99</v>
      </c>
      <c r="I854" t="inlineStr">
        <is>
          <t>Washington Wizards</t>
        </is>
      </c>
      <c r="J854" t="inlineStr">
        <is>
          <t>Brooklyn Nets</t>
        </is>
      </c>
      <c r="K854" t="inlineStr">
        <is>
          <t>Yes</t>
        </is>
      </c>
      <c r="L854" t="inlineStr"/>
      <c r="M854" t="inlineStr">
        <is>
          <t>https://fixturedownload.com/download/nba-2024-UTC.csv</t>
        </is>
      </c>
    </row>
    <row r="855">
      <c r="A855" t="n">
        <v>825</v>
      </c>
      <c r="B855" t="n">
        <v>16</v>
      </c>
      <c r="C855" t="inlineStr">
        <is>
          <t>25/02/2025 00:30</t>
        </is>
      </c>
      <c r="D855" t="inlineStr">
        <is>
          <t>State Farm Arena</t>
        </is>
      </c>
      <c r="E855" t="inlineStr">
        <is>
          <t>Atlanta Hawks</t>
        </is>
      </c>
      <c r="F855" t="inlineStr">
        <is>
          <t>Miami Heat</t>
        </is>
      </c>
      <c r="G855" t="n">
        <v>98</v>
      </c>
      <c r="H855" t="n">
        <v>86</v>
      </c>
      <c r="I855" t="inlineStr">
        <is>
          <t>Atlanta Hawks</t>
        </is>
      </c>
      <c r="J855" t="inlineStr">
        <is>
          <t>Miami Heat</t>
        </is>
      </c>
      <c r="K855" t="inlineStr">
        <is>
          <t>Yes</t>
        </is>
      </c>
      <c r="L855" t="inlineStr"/>
      <c r="M855" t="inlineStr">
        <is>
          <t>https://fixturedownload.com/download/nba-2024-UTC.csv</t>
        </is>
      </c>
    </row>
    <row r="856">
      <c r="A856" t="n">
        <v>826</v>
      </c>
      <c r="B856" t="n">
        <v>16</v>
      </c>
      <c r="C856" t="inlineStr">
        <is>
          <t>25/02/2025 01:00</t>
        </is>
      </c>
      <c r="D856" t="inlineStr">
        <is>
          <t>Paycom Center</t>
        </is>
      </c>
      <c r="E856" t="inlineStr">
        <is>
          <t>Oklahoma City Thunder</t>
        </is>
      </c>
      <c r="F856" t="inlineStr">
        <is>
          <t>Minnesota Timberwolves</t>
        </is>
      </c>
      <c r="G856" t="n">
        <v>128</v>
      </c>
      <c r="H856" t="n">
        <v>131</v>
      </c>
      <c r="I856" t="inlineStr">
        <is>
          <t>Minnesota Timberwolves</t>
        </is>
      </c>
      <c r="J856" t="inlineStr">
        <is>
          <t>Oklahoma City Thunder</t>
        </is>
      </c>
      <c r="K856" t="inlineStr">
        <is>
          <t>Yes</t>
        </is>
      </c>
      <c r="L856" t="inlineStr"/>
      <c r="M856" t="inlineStr">
        <is>
          <t>https://fixturedownload.com/download/nba-2024-UTC.csv</t>
        </is>
      </c>
    </row>
    <row r="857">
      <c r="A857" t="n">
        <v>827</v>
      </c>
      <c r="B857" t="n">
        <v>16</v>
      </c>
      <c r="C857" t="inlineStr">
        <is>
          <t>25/02/2025 02:00</t>
        </is>
      </c>
      <c r="D857" t="inlineStr">
        <is>
          <t>Delta Center</t>
        </is>
      </c>
      <c r="E857" t="inlineStr">
        <is>
          <t>Utah Jazz</t>
        </is>
      </c>
      <c r="F857" t="inlineStr">
        <is>
          <t>Portland Trail Blazers</t>
        </is>
      </c>
      <c r="G857" t="n">
        <v>112</v>
      </c>
      <c r="H857" t="n">
        <v>114</v>
      </c>
      <c r="I857" t="inlineStr">
        <is>
          <t>Portland Trail Blazers</t>
        </is>
      </c>
      <c r="J857" t="inlineStr">
        <is>
          <t>Utah Jazz</t>
        </is>
      </c>
      <c r="K857" t="inlineStr">
        <is>
          <t>Yes</t>
        </is>
      </c>
      <c r="L857" t="inlineStr"/>
      <c r="M857" t="inlineStr">
        <is>
          <t>https://fixturedownload.com/download/nba-2024-UTC.csv</t>
        </is>
      </c>
    </row>
    <row r="858">
      <c r="A858" t="n">
        <v>828</v>
      </c>
      <c r="B858" t="n">
        <v>16</v>
      </c>
      <c r="C858" t="inlineStr">
        <is>
          <t>25/02/2025 03:00</t>
        </is>
      </c>
      <c r="D858" t="inlineStr">
        <is>
          <t>Golden 1 Center</t>
        </is>
      </c>
      <c r="E858" t="inlineStr">
        <is>
          <t>Sacramento Kings</t>
        </is>
      </c>
      <c r="F858" t="inlineStr">
        <is>
          <t>Charlotte Hornets</t>
        </is>
      </c>
      <c r="G858" t="n">
        <v>130</v>
      </c>
      <c r="H858" t="n">
        <v>88</v>
      </c>
      <c r="I858" t="inlineStr">
        <is>
          <t>Sacramento Kings</t>
        </is>
      </c>
      <c r="J858" t="inlineStr">
        <is>
          <t>Charlotte Hornets</t>
        </is>
      </c>
      <c r="K858" t="inlineStr">
        <is>
          <t>Yes</t>
        </is>
      </c>
      <c r="L858" t="inlineStr"/>
      <c r="M858" t="inlineStr">
        <is>
          <t>https://fixturedownload.com/download/nba-2024-UTC.csv</t>
        </is>
      </c>
    </row>
    <row r="859">
      <c r="A859" t="n">
        <v>829</v>
      </c>
      <c r="B859" t="n">
        <v>16</v>
      </c>
      <c r="C859" t="inlineStr">
        <is>
          <t>26/02/2025 00:00</t>
        </is>
      </c>
      <c r="D859" t="inlineStr">
        <is>
          <t>Scotiabank Arena</t>
        </is>
      </c>
      <c r="E859" t="inlineStr">
        <is>
          <t>Toronto Raptors</t>
        </is>
      </c>
      <c r="F859" t="inlineStr">
        <is>
          <t>Boston Celtics</t>
        </is>
      </c>
      <c r="G859" t="n">
        <v>101</v>
      </c>
      <c r="H859" t="n">
        <v>111</v>
      </c>
      <c r="I859" t="inlineStr">
        <is>
          <t>Boston Celtics</t>
        </is>
      </c>
      <c r="J859" t="inlineStr">
        <is>
          <t>Toronto Raptors</t>
        </is>
      </c>
      <c r="K859" t="inlineStr">
        <is>
          <t>Yes</t>
        </is>
      </c>
      <c r="L859" t="inlineStr"/>
      <c r="M859" t="inlineStr">
        <is>
          <t>https://fixturedownload.com/download/nba-2024-UTC.csv</t>
        </is>
      </c>
    </row>
    <row r="860">
      <c r="A860" t="n">
        <v>830</v>
      </c>
      <c r="B860" t="n">
        <v>16</v>
      </c>
      <c r="C860" t="inlineStr">
        <is>
          <t>26/02/2025 00:30</t>
        </is>
      </c>
      <c r="D860" t="inlineStr">
        <is>
          <t>Kia Center</t>
        </is>
      </c>
      <c r="E860" t="inlineStr">
        <is>
          <t>Orlando Magic</t>
        </is>
      </c>
      <c r="F860" t="inlineStr">
        <is>
          <t>Cleveland Cavaliers</t>
        </is>
      </c>
      <c r="G860" t="n">
        <v>82</v>
      </c>
      <c r="H860" t="n">
        <v>122</v>
      </c>
      <c r="I860" t="inlineStr">
        <is>
          <t>Cleveland Cavaliers</t>
        </is>
      </c>
      <c r="J860" t="inlineStr">
        <is>
          <t>Orlando Magic</t>
        </is>
      </c>
      <c r="K860" t="inlineStr">
        <is>
          <t>Yes</t>
        </is>
      </c>
      <c r="L860" t="inlineStr"/>
      <c r="M860" t="inlineStr">
        <is>
          <t>https://fixturedownload.com/download/nba-2024-UTC.csv</t>
        </is>
      </c>
    </row>
    <row r="861">
      <c r="A861" t="n">
        <v>831</v>
      </c>
      <c r="B861" t="n">
        <v>16</v>
      </c>
      <c r="C861" t="inlineStr">
        <is>
          <t>26/02/2025 01:00</t>
        </is>
      </c>
      <c r="D861" t="inlineStr">
        <is>
          <t>Toyota Center</t>
        </is>
      </c>
      <c r="E861" t="inlineStr">
        <is>
          <t>Houston Rockets</t>
        </is>
      </c>
      <c r="F861" t="inlineStr">
        <is>
          <t>Milwaukee Bucks</t>
        </is>
      </c>
      <c r="G861" t="n">
        <v>100</v>
      </c>
      <c r="H861" t="n">
        <v>97</v>
      </c>
      <c r="I861" t="inlineStr">
        <is>
          <t>Houston Rockets</t>
        </is>
      </c>
      <c r="J861" t="inlineStr">
        <is>
          <t>Milwaukee Bucks</t>
        </is>
      </c>
      <c r="K861" t="inlineStr">
        <is>
          <t>Yes</t>
        </is>
      </c>
      <c r="L861" t="inlineStr"/>
      <c r="M861" t="inlineStr">
        <is>
          <t>https://fixturedownload.com/download/nba-2024-UTC.csv</t>
        </is>
      </c>
    </row>
    <row r="862">
      <c r="A862" t="n">
        <v>832</v>
      </c>
      <c r="B862" t="n">
        <v>16</v>
      </c>
      <c r="C862" t="inlineStr">
        <is>
          <t>26/02/2025 01:00</t>
        </is>
      </c>
      <c r="D862" t="inlineStr">
        <is>
          <t>FedExForum</t>
        </is>
      </c>
      <c r="E862" t="inlineStr">
        <is>
          <t>Memphis Grizzlies</t>
        </is>
      </c>
      <c r="F862" t="inlineStr">
        <is>
          <t>Phoenix Suns</t>
        </is>
      </c>
      <c r="G862" t="n">
        <v>151</v>
      </c>
      <c r="H862" t="n">
        <v>148</v>
      </c>
      <c r="I862" t="inlineStr">
        <is>
          <t>Memphis Grizzlies</t>
        </is>
      </c>
      <c r="J862" t="inlineStr">
        <is>
          <t>Phoenix Suns</t>
        </is>
      </c>
      <c r="K862" t="inlineStr">
        <is>
          <t>Yes</t>
        </is>
      </c>
      <c r="L862" t="inlineStr"/>
      <c r="M862" t="inlineStr">
        <is>
          <t>https://fixturedownload.com/download/nba-2024-UTC.csv</t>
        </is>
      </c>
    </row>
    <row r="863">
      <c r="A863" t="n">
        <v>833</v>
      </c>
      <c r="B863" t="n">
        <v>16</v>
      </c>
      <c r="C863" t="inlineStr">
        <is>
          <t>26/02/2025 01:00</t>
        </is>
      </c>
      <c r="D863" t="inlineStr">
        <is>
          <t>Smoothie King Center</t>
        </is>
      </c>
      <c r="E863" t="inlineStr">
        <is>
          <t>New Orleans Pelicans</t>
        </is>
      </c>
      <c r="F863" t="inlineStr">
        <is>
          <t>San Antonio Spurs</t>
        </is>
      </c>
      <c r="G863" t="n">
        <v>109</v>
      </c>
      <c r="H863" t="n">
        <v>103</v>
      </c>
      <c r="I863" t="inlineStr">
        <is>
          <t>New Orleans Pelicans</t>
        </is>
      </c>
      <c r="J863" t="inlineStr">
        <is>
          <t>San Antonio Spurs</t>
        </is>
      </c>
      <c r="K863" t="inlineStr">
        <is>
          <t>Yes</t>
        </is>
      </c>
      <c r="L863" t="inlineStr"/>
      <c r="M863" t="inlineStr">
        <is>
          <t>https://fixturedownload.com/download/nba-2024-UTC.csv</t>
        </is>
      </c>
    </row>
    <row r="864">
      <c r="A864" t="n">
        <v>834</v>
      </c>
      <c r="B864" t="n">
        <v>16</v>
      </c>
      <c r="C864" t="inlineStr">
        <is>
          <t>26/02/2025 03:00</t>
        </is>
      </c>
      <c r="D864" t="inlineStr">
        <is>
          <t>Chase Center</t>
        </is>
      </c>
      <c r="E864" t="inlineStr">
        <is>
          <t>Golden State Warriors</t>
        </is>
      </c>
      <c r="F864" t="inlineStr">
        <is>
          <t>Charlotte Hornets</t>
        </is>
      </c>
      <c r="G864" t="n">
        <v>128</v>
      </c>
      <c r="H864" t="n">
        <v>92</v>
      </c>
      <c r="I864" t="inlineStr">
        <is>
          <t>Golden State Warriors</t>
        </is>
      </c>
      <c r="J864" t="inlineStr">
        <is>
          <t>Charlotte Hornets</t>
        </is>
      </c>
      <c r="K864" t="inlineStr">
        <is>
          <t>Yes</t>
        </is>
      </c>
      <c r="L864" t="inlineStr"/>
      <c r="M864" t="inlineStr">
        <is>
          <t>https://fixturedownload.com/download/nba-2024-UTC.csv</t>
        </is>
      </c>
    </row>
    <row r="865">
      <c r="A865" t="n">
        <v>835</v>
      </c>
      <c r="B865" t="n">
        <v>16</v>
      </c>
      <c r="C865" t="inlineStr">
        <is>
          <t>26/02/2025 03:00</t>
        </is>
      </c>
      <c r="D865" t="inlineStr">
        <is>
          <t>Crypto.com Arena</t>
        </is>
      </c>
      <c r="E865" t="inlineStr">
        <is>
          <t>Los Angeles Lakers</t>
        </is>
      </c>
      <c r="F865" t="inlineStr">
        <is>
          <t>Dallas Mavericks</t>
        </is>
      </c>
      <c r="G865" t="n">
        <v>107</v>
      </c>
      <c r="H865" t="n">
        <v>99</v>
      </c>
      <c r="I865" t="inlineStr">
        <is>
          <t>Los Angeles Lakers</t>
        </is>
      </c>
      <c r="J865" t="inlineStr">
        <is>
          <t>Dallas Mavericks</t>
        </is>
      </c>
      <c r="K865" t="inlineStr">
        <is>
          <t>Yes</t>
        </is>
      </c>
      <c r="L865" t="inlineStr"/>
      <c r="M865" t="inlineStr">
        <is>
          <t>https://fixturedownload.com/download/nba-2024-UTC.csv</t>
        </is>
      </c>
    </row>
    <row r="866">
      <c r="A866" t="n">
        <v>836</v>
      </c>
      <c r="B866" t="n">
        <v>17</v>
      </c>
      <c r="C866" t="inlineStr">
        <is>
          <t>27/02/2025 00:00</t>
        </is>
      </c>
      <c r="D866" t="inlineStr">
        <is>
          <t>Little Caesars Arena</t>
        </is>
      </c>
      <c r="E866" t="inlineStr">
        <is>
          <t>Detroit Pistons</t>
        </is>
      </c>
      <c r="F866" t="inlineStr">
        <is>
          <t>Boston Celtics</t>
        </is>
      </c>
      <c r="G866" t="n">
        <v>117</v>
      </c>
      <c r="H866" t="n">
        <v>97</v>
      </c>
      <c r="I866" t="inlineStr">
        <is>
          <t>Detroit Pistons</t>
        </is>
      </c>
      <c r="J866" t="inlineStr">
        <is>
          <t>Boston Celtics</t>
        </is>
      </c>
      <c r="K866" t="inlineStr">
        <is>
          <t>Yes</t>
        </is>
      </c>
      <c r="L866" t="inlineStr"/>
      <c r="M866" t="inlineStr">
        <is>
          <t>https://fixturedownload.com/download/nba-2024-UTC.csv</t>
        </is>
      </c>
    </row>
    <row r="867">
      <c r="A867" t="n">
        <v>837</v>
      </c>
      <c r="B867" t="n">
        <v>17</v>
      </c>
      <c r="C867" t="inlineStr">
        <is>
          <t>27/02/2025 00:00</t>
        </is>
      </c>
      <c r="D867" t="inlineStr">
        <is>
          <t>Gainbridge Fieldhouse</t>
        </is>
      </c>
      <c r="E867" t="inlineStr">
        <is>
          <t>Indiana Pacers</t>
        </is>
      </c>
      <c r="F867" t="inlineStr">
        <is>
          <t>Toronto Raptors</t>
        </is>
      </c>
      <c r="G867" t="n">
        <v>111</v>
      </c>
      <c r="H867" t="n">
        <v>91</v>
      </c>
      <c r="I867" t="inlineStr">
        <is>
          <t>Indiana Pacers</t>
        </is>
      </c>
      <c r="J867" t="inlineStr">
        <is>
          <t>Toronto Raptors</t>
        </is>
      </c>
      <c r="K867" t="inlineStr">
        <is>
          <t>Yes</t>
        </is>
      </c>
      <c r="L867" t="inlineStr"/>
      <c r="M867" t="inlineStr">
        <is>
          <t>https://fixturedownload.com/download/nba-2024-UTC.csv</t>
        </is>
      </c>
    </row>
    <row r="868">
      <c r="A868" t="n">
        <v>838</v>
      </c>
      <c r="B868" t="n">
        <v>17</v>
      </c>
      <c r="C868" t="inlineStr">
        <is>
          <t>27/02/2025 00:00</t>
        </is>
      </c>
      <c r="D868" t="inlineStr">
        <is>
          <t>Madison Square Garden</t>
        </is>
      </c>
      <c r="E868" t="inlineStr">
        <is>
          <t>New York Knicks</t>
        </is>
      </c>
      <c r="F868" t="inlineStr">
        <is>
          <t>Philadelphia 76ers</t>
        </is>
      </c>
      <c r="G868" t="n">
        <v>110</v>
      </c>
      <c r="H868" t="n">
        <v>105</v>
      </c>
      <c r="I868" t="inlineStr">
        <is>
          <t>New York Knicks</t>
        </is>
      </c>
      <c r="J868" t="inlineStr">
        <is>
          <t>Philadelphia 76ers</t>
        </is>
      </c>
      <c r="K868" t="inlineStr">
        <is>
          <t>Yes</t>
        </is>
      </c>
      <c r="L868" t="inlineStr"/>
      <c r="M868" t="inlineStr">
        <is>
          <t>https://fixturedownload.com/download/nba-2024-UTC.csv</t>
        </is>
      </c>
    </row>
    <row r="869">
      <c r="A869" t="n">
        <v>839</v>
      </c>
      <c r="B869" t="n">
        <v>17</v>
      </c>
      <c r="C869" t="inlineStr">
        <is>
          <t>27/02/2025 00:00</t>
        </is>
      </c>
      <c r="D869" t="inlineStr">
        <is>
          <t>Capital One Arena</t>
        </is>
      </c>
      <c r="E869" t="inlineStr">
        <is>
          <t>Washington Wizards</t>
        </is>
      </c>
      <c r="F869" t="inlineStr">
        <is>
          <t>Portland Trail Blazers</t>
        </is>
      </c>
      <c r="G869" t="n">
        <v>121</v>
      </c>
      <c r="H869" t="n">
        <v>129</v>
      </c>
      <c r="I869" t="inlineStr">
        <is>
          <t>Portland Trail Blazers</t>
        </is>
      </c>
      <c r="J869" t="inlineStr">
        <is>
          <t>Washington Wizards</t>
        </is>
      </c>
      <c r="K869" t="inlineStr">
        <is>
          <t>Yes</t>
        </is>
      </c>
      <c r="L869" t="inlineStr"/>
      <c r="M869" t="inlineStr">
        <is>
          <t>https://fixturedownload.com/download/nba-2024-UTC.csv</t>
        </is>
      </c>
    </row>
    <row r="870">
      <c r="A870" t="n">
        <v>840</v>
      </c>
      <c r="B870" t="n">
        <v>17</v>
      </c>
      <c r="C870" t="inlineStr">
        <is>
          <t>27/02/2025 00:30</t>
        </is>
      </c>
      <c r="D870" t="inlineStr">
        <is>
          <t>Barclays Center</t>
        </is>
      </c>
      <c r="E870" t="inlineStr">
        <is>
          <t>Brooklyn Nets</t>
        </is>
      </c>
      <c r="F870" t="inlineStr">
        <is>
          <t>Oklahoma City Thunder</t>
        </is>
      </c>
      <c r="G870" t="n">
        <v>121</v>
      </c>
      <c r="H870" t="n">
        <v>129</v>
      </c>
      <c r="I870" t="inlineStr">
        <is>
          <t>Oklahoma City Thunder</t>
        </is>
      </c>
      <c r="J870" t="inlineStr">
        <is>
          <t>Brooklyn Nets</t>
        </is>
      </c>
      <c r="K870" t="inlineStr">
        <is>
          <t>Yes</t>
        </is>
      </c>
      <c r="L870" t="inlineStr"/>
      <c r="M870" t="inlineStr">
        <is>
          <t>https://fixturedownload.com/download/nba-2024-UTC.csv</t>
        </is>
      </c>
    </row>
    <row r="871">
      <c r="A871" t="n">
        <v>841</v>
      </c>
      <c r="B871" t="n">
        <v>17</v>
      </c>
      <c r="C871" t="inlineStr">
        <is>
          <t>27/02/2025 00:30</t>
        </is>
      </c>
      <c r="D871" t="inlineStr">
        <is>
          <t>Kaseya Center</t>
        </is>
      </c>
      <c r="E871" t="inlineStr">
        <is>
          <t>Miami Heat</t>
        </is>
      </c>
      <c r="F871" t="inlineStr">
        <is>
          <t>Atlanta Hawks</t>
        </is>
      </c>
      <c r="G871" t="n">
        <v>131</v>
      </c>
      <c r="H871" t="n">
        <v>109</v>
      </c>
      <c r="I871" t="inlineStr">
        <is>
          <t>Miami Heat</t>
        </is>
      </c>
      <c r="J871" t="inlineStr">
        <is>
          <t>Atlanta Hawks</t>
        </is>
      </c>
      <c r="K871" t="inlineStr">
        <is>
          <t>Yes</t>
        </is>
      </c>
      <c r="L871" t="inlineStr"/>
      <c r="M871" t="inlineStr">
        <is>
          <t>https://fixturedownload.com/download/nba-2024-UTC.csv</t>
        </is>
      </c>
    </row>
    <row r="872">
      <c r="A872" t="n">
        <v>842</v>
      </c>
      <c r="B872" t="n">
        <v>17</v>
      </c>
      <c r="C872" t="inlineStr">
        <is>
          <t>27/02/2025 01:00</t>
        </is>
      </c>
      <c r="D872" t="inlineStr">
        <is>
          <t>United Center</t>
        </is>
      </c>
      <c r="E872" t="inlineStr">
        <is>
          <t>Chicago Bulls</t>
        </is>
      </c>
      <c r="F872" t="inlineStr">
        <is>
          <t>LA Clippers</t>
        </is>
      </c>
      <c r="G872" t="n">
        <v>117</v>
      </c>
      <c r="H872" t="n">
        <v>122</v>
      </c>
      <c r="I872" t="inlineStr">
        <is>
          <t>LA Clippers</t>
        </is>
      </c>
      <c r="J872" t="inlineStr">
        <is>
          <t>Chicago Bulls</t>
        </is>
      </c>
      <c r="K872" t="inlineStr">
        <is>
          <t>Yes</t>
        </is>
      </c>
      <c r="L872" t="inlineStr"/>
      <c r="M872" t="inlineStr">
        <is>
          <t>https://fixturedownload.com/download/nba-2024-UTC.csv</t>
        </is>
      </c>
    </row>
    <row r="873">
      <c r="A873" t="n">
        <v>843</v>
      </c>
      <c r="B873" t="n">
        <v>17</v>
      </c>
      <c r="C873" t="inlineStr">
        <is>
          <t>27/02/2025 02:00</t>
        </is>
      </c>
      <c r="D873" t="inlineStr">
        <is>
          <t>Delta Center</t>
        </is>
      </c>
      <c r="E873" t="inlineStr">
        <is>
          <t>Utah Jazz</t>
        </is>
      </c>
      <c r="F873" t="inlineStr">
        <is>
          <t>Sacramento Kings</t>
        </is>
      </c>
      <c r="G873" t="n">
        <v>101</v>
      </c>
      <c r="H873" t="n">
        <v>118</v>
      </c>
      <c r="I873" t="inlineStr">
        <is>
          <t>Sacramento Kings</t>
        </is>
      </c>
      <c r="J873" t="inlineStr">
        <is>
          <t>Utah Jazz</t>
        </is>
      </c>
      <c r="K873" t="inlineStr">
        <is>
          <t>Yes</t>
        </is>
      </c>
      <c r="L873" t="inlineStr"/>
      <c r="M873" t="inlineStr">
        <is>
          <t>https://fixturedownload.com/download/nba-2024-UTC.csv</t>
        </is>
      </c>
    </row>
    <row r="874">
      <c r="A874" t="n">
        <v>844</v>
      </c>
      <c r="B874" t="n">
        <v>17</v>
      </c>
      <c r="C874" t="inlineStr">
        <is>
          <t>27/02/2025 02:30</t>
        </is>
      </c>
      <c r="D874" t="inlineStr">
        <is>
          <t>Toyota Center</t>
        </is>
      </c>
      <c r="E874" t="inlineStr">
        <is>
          <t>Houston Rockets</t>
        </is>
      </c>
      <c r="F874" t="inlineStr">
        <is>
          <t>San Antonio Spurs</t>
        </is>
      </c>
      <c r="G874" t="n">
        <v>118</v>
      </c>
      <c r="H874" t="n">
        <v>106</v>
      </c>
      <c r="I874" t="inlineStr">
        <is>
          <t>Houston Rockets</t>
        </is>
      </c>
      <c r="J874" t="inlineStr">
        <is>
          <t>San Antonio Spurs</t>
        </is>
      </c>
      <c r="K874" t="inlineStr">
        <is>
          <t>Yes</t>
        </is>
      </c>
      <c r="L874" t="inlineStr"/>
      <c r="M874" t="inlineStr">
        <is>
          <t>https://fixturedownload.com/download/nba-2024-UTC.csv</t>
        </is>
      </c>
    </row>
    <row r="875">
      <c r="A875" t="n">
        <v>845</v>
      </c>
      <c r="B875" t="n">
        <v>17</v>
      </c>
      <c r="C875" t="inlineStr">
        <is>
          <t>28/02/2025 00:00</t>
        </is>
      </c>
      <c r="D875" t="inlineStr">
        <is>
          <t>Kia Center</t>
        </is>
      </c>
      <c r="E875" t="inlineStr">
        <is>
          <t>Orlando Magic</t>
        </is>
      </c>
      <c r="F875" t="inlineStr">
        <is>
          <t>Golden State Warriors</t>
        </is>
      </c>
      <c r="G875" t="n">
        <v>115</v>
      </c>
      <c r="H875" t="n">
        <v>121</v>
      </c>
      <c r="I875" t="inlineStr">
        <is>
          <t>Golden State Warriors</t>
        </is>
      </c>
      <c r="J875" t="inlineStr">
        <is>
          <t>Orlando Magic</t>
        </is>
      </c>
      <c r="K875" t="inlineStr">
        <is>
          <t>Yes</t>
        </is>
      </c>
      <c r="L875" t="inlineStr"/>
      <c r="M875" t="inlineStr">
        <is>
          <t>https://fixturedownload.com/download/nba-2024-UTC.csv</t>
        </is>
      </c>
    </row>
    <row r="876">
      <c r="A876" t="n">
        <v>846</v>
      </c>
      <c r="B876" t="n">
        <v>17</v>
      </c>
      <c r="C876" t="inlineStr">
        <is>
          <t>28/02/2025 01:00</t>
        </is>
      </c>
      <c r="D876" t="inlineStr">
        <is>
          <t>Fiserv Forum</t>
        </is>
      </c>
      <c r="E876" t="inlineStr">
        <is>
          <t>Milwaukee Bucks</t>
        </is>
      </c>
      <c r="F876" t="inlineStr">
        <is>
          <t>Denver Nuggets</t>
        </is>
      </c>
      <c r="G876" t="n">
        <v>121</v>
      </c>
      <c r="H876" t="n">
        <v>112</v>
      </c>
      <c r="I876" t="inlineStr">
        <is>
          <t>Milwaukee Bucks</t>
        </is>
      </c>
      <c r="J876" t="inlineStr">
        <is>
          <t>Denver Nuggets</t>
        </is>
      </c>
      <c r="K876" t="inlineStr">
        <is>
          <t>Yes</t>
        </is>
      </c>
      <c r="L876" t="inlineStr"/>
      <c r="M876" t="inlineStr">
        <is>
          <t>https://fixturedownload.com/download/nba-2024-UTC.csv</t>
        </is>
      </c>
    </row>
    <row r="877">
      <c r="A877" t="n">
        <v>847</v>
      </c>
      <c r="B877" t="n">
        <v>17</v>
      </c>
      <c r="C877" t="inlineStr">
        <is>
          <t>28/02/2025 01:30</t>
        </is>
      </c>
      <c r="D877" t="inlineStr">
        <is>
          <t>American Airlines Center</t>
        </is>
      </c>
      <c r="E877" t="inlineStr">
        <is>
          <t>Dallas Mavericks</t>
        </is>
      </c>
      <c r="F877" t="inlineStr">
        <is>
          <t>Charlotte Hornets</t>
        </is>
      </c>
      <c r="G877" t="n">
        <v>103</v>
      </c>
      <c r="H877" t="n">
        <v>96</v>
      </c>
      <c r="I877" t="inlineStr">
        <is>
          <t>Dallas Mavericks</t>
        </is>
      </c>
      <c r="J877" t="inlineStr">
        <is>
          <t>Charlotte Hornets</t>
        </is>
      </c>
      <c r="K877" t="inlineStr">
        <is>
          <t>Yes</t>
        </is>
      </c>
      <c r="L877" t="inlineStr"/>
      <c r="M877" t="inlineStr">
        <is>
          <t>https://fixturedownload.com/download/nba-2024-UTC.csv</t>
        </is>
      </c>
    </row>
    <row r="878">
      <c r="A878" t="n">
        <v>848</v>
      </c>
      <c r="B878" t="n">
        <v>17</v>
      </c>
      <c r="C878" t="inlineStr">
        <is>
          <t>28/02/2025 02:00</t>
        </is>
      </c>
      <c r="D878" t="inlineStr">
        <is>
          <t>PHX Arena</t>
        </is>
      </c>
      <c r="E878" t="inlineStr">
        <is>
          <t>Phoenix Suns</t>
        </is>
      </c>
      <c r="F878" t="inlineStr">
        <is>
          <t>New Orleans Pelicans</t>
        </is>
      </c>
      <c r="G878" t="n">
        <v>116</v>
      </c>
      <c r="H878" t="n">
        <v>124</v>
      </c>
      <c r="I878" t="inlineStr">
        <is>
          <t>New Orleans Pelicans</t>
        </is>
      </c>
      <c r="J878" t="inlineStr">
        <is>
          <t>Phoenix Suns</t>
        </is>
      </c>
      <c r="K878" t="inlineStr">
        <is>
          <t>Yes</t>
        </is>
      </c>
      <c r="L878" t="inlineStr"/>
      <c r="M878" t="inlineStr">
        <is>
          <t>https://fixturedownload.com/download/nba-2024-UTC.csv</t>
        </is>
      </c>
    </row>
    <row r="879">
      <c r="A879" t="n">
        <v>849</v>
      </c>
      <c r="B879" t="n">
        <v>17</v>
      </c>
      <c r="C879" t="inlineStr">
        <is>
          <t>28/02/2025 03:30</t>
        </is>
      </c>
      <c r="D879" t="inlineStr">
        <is>
          <t>Crypto.com Arena</t>
        </is>
      </c>
      <c r="E879" t="inlineStr">
        <is>
          <t>Los Angeles Lakers</t>
        </is>
      </c>
      <c r="F879" t="inlineStr">
        <is>
          <t>Minnesota Timberwolves</t>
        </is>
      </c>
      <c r="G879" t="n">
        <v>111</v>
      </c>
      <c r="H879" t="n">
        <v>102</v>
      </c>
      <c r="I879" t="inlineStr">
        <is>
          <t>Los Angeles Lakers</t>
        </is>
      </c>
      <c r="J879" t="inlineStr">
        <is>
          <t>Minnesota Timberwolves</t>
        </is>
      </c>
      <c r="K879" t="inlineStr">
        <is>
          <t>Yes</t>
        </is>
      </c>
      <c r="L879" t="inlineStr"/>
      <c r="M879" t="inlineStr">
        <is>
          <t>https://fixturedownload.com/download/nba-2024-UTC.csv</t>
        </is>
      </c>
    </row>
    <row r="880">
      <c r="A880" t="n">
        <v>850</v>
      </c>
      <c r="B880" t="n">
        <v>17</v>
      </c>
      <c r="C880" t="inlineStr">
        <is>
          <t>01/03/2025 00:00</t>
        </is>
      </c>
      <c r="D880" t="inlineStr">
        <is>
          <t>Little Caesars Arena</t>
        </is>
      </c>
      <c r="E880" t="inlineStr">
        <is>
          <t>Detroit Pistons</t>
        </is>
      </c>
      <c r="F880" t="inlineStr">
        <is>
          <t>Denver Nuggets</t>
        </is>
      </c>
      <c r="G880" t="n">
        <v>119</v>
      </c>
      <c r="H880" t="n">
        <v>134</v>
      </c>
      <c r="I880" t="inlineStr">
        <is>
          <t>Denver Nuggets</t>
        </is>
      </c>
      <c r="J880" t="inlineStr">
        <is>
          <t>Detroit Pistons</t>
        </is>
      </c>
      <c r="K880" t="inlineStr">
        <is>
          <t>Yes</t>
        </is>
      </c>
      <c r="L880" t="inlineStr"/>
      <c r="M880" t="inlineStr">
        <is>
          <t>https://fixturedownload.com/download/nba-2024-UTC.csv</t>
        </is>
      </c>
    </row>
    <row r="881">
      <c r="A881" t="n">
        <v>851</v>
      </c>
      <c r="B881" t="n">
        <v>17</v>
      </c>
      <c r="C881" t="inlineStr">
        <is>
          <t>01/03/2025 00:30</t>
        </is>
      </c>
      <c r="D881" t="inlineStr">
        <is>
          <t>State Farm Arena</t>
        </is>
      </c>
      <c r="E881" t="inlineStr">
        <is>
          <t>Atlanta Hawks</t>
        </is>
      </c>
      <c r="F881" t="inlineStr">
        <is>
          <t>Oklahoma City Thunder</t>
        </is>
      </c>
      <c r="G881" t="n">
        <v>119</v>
      </c>
      <c r="H881" t="n">
        <v>135</v>
      </c>
      <c r="I881" t="inlineStr">
        <is>
          <t>Oklahoma City Thunder</t>
        </is>
      </c>
      <c r="J881" t="inlineStr">
        <is>
          <t>Atlanta Hawks</t>
        </is>
      </c>
      <c r="K881" t="inlineStr">
        <is>
          <t>Yes</t>
        </is>
      </c>
      <c r="L881" t="inlineStr"/>
      <c r="M881" t="inlineStr">
        <is>
          <t>https://fixturedownload.com/download/nba-2024-UTC.csv</t>
        </is>
      </c>
    </row>
    <row r="882">
      <c r="A882" t="n">
        <v>852</v>
      </c>
      <c r="B882" t="n">
        <v>17</v>
      </c>
      <c r="C882" t="inlineStr">
        <is>
          <t>01/03/2025 00:30</t>
        </is>
      </c>
      <c r="D882" t="inlineStr">
        <is>
          <t>TD Garden</t>
        </is>
      </c>
      <c r="E882" t="inlineStr">
        <is>
          <t>Boston Celtics</t>
        </is>
      </c>
      <c r="F882" t="inlineStr">
        <is>
          <t>Cleveland Cavaliers</t>
        </is>
      </c>
      <c r="G882" t="n">
        <v>116</v>
      </c>
      <c r="H882" t="n">
        <v>123</v>
      </c>
      <c r="I882" t="inlineStr">
        <is>
          <t>Cleveland Cavaliers</t>
        </is>
      </c>
      <c r="J882" t="inlineStr">
        <is>
          <t>Boston Celtics</t>
        </is>
      </c>
      <c r="K882" t="inlineStr">
        <is>
          <t>Yes</t>
        </is>
      </c>
      <c r="L882" t="inlineStr"/>
      <c r="M882" t="inlineStr">
        <is>
          <t>https://fixturedownload.com/download/nba-2024-UTC.csv</t>
        </is>
      </c>
    </row>
    <row r="883">
      <c r="A883" t="n">
        <v>853</v>
      </c>
      <c r="B883" t="n">
        <v>17</v>
      </c>
      <c r="C883" t="inlineStr">
        <is>
          <t>01/03/2025 00:30</t>
        </is>
      </c>
      <c r="D883" t="inlineStr">
        <is>
          <t>Barclays Center</t>
        </is>
      </c>
      <c r="E883" t="inlineStr">
        <is>
          <t>Brooklyn Nets</t>
        </is>
      </c>
      <c r="F883" t="inlineStr">
        <is>
          <t>Portland Trail Blazers</t>
        </is>
      </c>
      <c r="G883" t="n">
        <v>102</v>
      </c>
      <c r="H883" t="n">
        <v>121</v>
      </c>
      <c r="I883" t="inlineStr">
        <is>
          <t>Portland Trail Blazers</t>
        </is>
      </c>
      <c r="J883" t="inlineStr">
        <is>
          <t>Brooklyn Nets</t>
        </is>
      </c>
      <c r="K883" t="inlineStr">
        <is>
          <t>Yes</t>
        </is>
      </c>
      <c r="L883" t="inlineStr"/>
      <c r="M883" t="inlineStr">
        <is>
          <t>https://fixturedownload.com/download/nba-2024-UTC.csv</t>
        </is>
      </c>
    </row>
    <row r="884">
      <c r="A884" t="n">
        <v>854</v>
      </c>
      <c r="B884" t="n">
        <v>17</v>
      </c>
      <c r="C884" t="inlineStr">
        <is>
          <t>01/03/2025 01:00</t>
        </is>
      </c>
      <c r="D884" t="inlineStr">
        <is>
          <t>Kaseya Center</t>
        </is>
      </c>
      <c r="E884" t="inlineStr">
        <is>
          <t>Miami Heat</t>
        </is>
      </c>
      <c r="F884" t="inlineStr">
        <is>
          <t>Indiana Pacers</t>
        </is>
      </c>
      <c r="G884" t="n">
        <v>125</v>
      </c>
      <c r="H884" t="n">
        <v>120</v>
      </c>
      <c r="I884" t="inlineStr">
        <is>
          <t>Miami Heat</t>
        </is>
      </c>
      <c r="J884" t="inlineStr">
        <is>
          <t>Indiana Pacers</t>
        </is>
      </c>
      <c r="K884" t="inlineStr">
        <is>
          <t>Yes</t>
        </is>
      </c>
      <c r="L884" t="inlineStr"/>
      <c r="M884" t="inlineStr">
        <is>
          <t>https://fixturedownload.com/download/nba-2024-UTC.csv</t>
        </is>
      </c>
    </row>
    <row r="885">
      <c r="A885" t="n">
        <v>855</v>
      </c>
      <c r="B885" t="n">
        <v>17</v>
      </c>
      <c r="C885" t="inlineStr">
        <is>
          <t>01/03/2025 01:00</t>
        </is>
      </c>
      <c r="D885" t="inlineStr">
        <is>
          <t>United Center</t>
        </is>
      </c>
      <c r="E885" t="inlineStr">
        <is>
          <t>Chicago Bulls</t>
        </is>
      </c>
      <c r="F885" t="inlineStr">
        <is>
          <t>Toronto Raptors</t>
        </is>
      </c>
      <c r="G885" t="n">
        <v>125</v>
      </c>
      <c r="H885" t="n">
        <v>115</v>
      </c>
      <c r="I885" t="inlineStr">
        <is>
          <t>Chicago Bulls</t>
        </is>
      </c>
      <c r="J885" t="inlineStr">
        <is>
          <t>Toronto Raptors</t>
        </is>
      </c>
      <c r="K885" t="inlineStr">
        <is>
          <t>Yes</t>
        </is>
      </c>
      <c r="L885" t="inlineStr"/>
      <c r="M885" t="inlineStr">
        <is>
          <t>https://fixturedownload.com/download/nba-2024-UTC.csv</t>
        </is>
      </c>
    </row>
    <row r="886">
      <c r="A886" t="n">
        <v>856</v>
      </c>
      <c r="B886" t="n">
        <v>17</v>
      </c>
      <c r="C886" t="inlineStr">
        <is>
          <t>01/03/2025 01:00</t>
        </is>
      </c>
      <c r="D886" t="inlineStr">
        <is>
          <t>FedExForum</t>
        </is>
      </c>
      <c r="E886" t="inlineStr">
        <is>
          <t>Memphis Grizzlies</t>
        </is>
      </c>
      <c r="F886" t="inlineStr">
        <is>
          <t>New York Knicks</t>
        </is>
      </c>
      <c r="G886" t="n">
        <v>113</v>
      </c>
      <c r="H886" t="n">
        <v>114</v>
      </c>
      <c r="I886" t="inlineStr">
        <is>
          <t>New York Knicks</t>
        </is>
      </c>
      <c r="J886" t="inlineStr">
        <is>
          <t>Memphis Grizzlies</t>
        </is>
      </c>
      <c r="K886" t="inlineStr">
        <is>
          <t>Yes</t>
        </is>
      </c>
      <c r="L886" t="inlineStr"/>
      <c r="M886" t="inlineStr">
        <is>
          <t>https://fixturedownload.com/download/nba-2024-UTC.csv</t>
        </is>
      </c>
    </row>
    <row r="887">
      <c r="A887" t="n">
        <v>857</v>
      </c>
      <c r="B887" t="n">
        <v>17</v>
      </c>
      <c r="C887" t="inlineStr">
        <is>
          <t>01/03/2025 02:00</t>
        </is>
      </c>
      <c r="D887" t="inlineStr">
        <is>
          <t>PHX Arena</t>
        </is>
      </c>
      <c r="E887" t="inlineStr">
        <is>
          <t>Phoenix Suns</t>
        </is>
      </c>
      <c r="F887" t="inlineStr">
        <is>
          <t>New Orleans Pelicans</t>
        </is>
      </c>
      <c r="G887" t="n">
        <v>125</v>
      </c>
      <c r="H887" t="n">
        <v>108</v>
      </c>
      <c r="I887" t="inlineStr">
        <is>
          <t>Phoenix Suns</t>
        </is>
      </c>
      <c r="J887" t="inlineStr">
        <is>
          <t>New Orleans Pelicans</t>
        </is>
      </c>
      <c r="K887" t="inlineStr">
        <is>
          <t>Yes</t>
        </is>
      </c>
      <c r="L887" t="inlineStr"/>
      <c r="M887" t="inlineStr">
        <is>
          <t>https://fixturedownload.com/download/nba-2024-UTC.csv</t>
        </is>
      </c>
    </row>
    <row r="888">
      <c r="A888" t="n">
        <v>858</v>
      </c>
      <c r="B888" t="n">
        <v>17</v>
      </c>
      <c r="C888" t="inlineStr">
        <is>
          <t>01/03/2025 02:30</t>
        </is>
      </c>
      <c r="D888" t="inlineStr">
        <is>
          <t>Delta Center</t>
        </is>
      </c>
      <c r="E888" t="inlineStr">
        <is>
          <t>Utah Jazz</t>
        </is>
      </c>
      <c r="F888" t="inlineStr">
        <is>
          <t>Minnesota Timberwolves</t>
        </is>
      </c>
      <c r="G888" t="n">
        <v>117</v>
      </c>
      <c r="H888" t="n">
        <v>116</v>
      </c>
      <c r="I888" t="inlineStr">
        <is>
          <t>Utah Jazz</t>
        </is>
      </c>
      <c r="J888" t="inlineStr">
        <is>
          <t>Minnesota Timberwolves</t>
        </is>
      </c>
      <c r="K888" t="inlineStr">
        <is>
          <t>Yes</t>
        </is>
      </c>
      <c r="L888" t="inlineStr"/>
      <c r="M888" t="inlineStr">
        <is>
          <t>https://fixturedownload.com/download/nba-2024-UTC.csv</t>
        </is>
      </c>
    </row>
    <row r="889">
      <c r="A889" t="n">
        <v>859</v>
      </c>
      <c r="B889" t="n">
        <v>17</v>
      </c>
      <c r="C889" t="inlineStr">
        <is>
          <t>01/03/2025 03:00</t>
        </is>
      </c>
      <c r="D889" t="inlineStr">
        <is>
          <t>Crypto.com Arena</t>
        </is>
      </c>
      <c r="E889" t="inlineStr">
        <is>
          <t>Los Angeles Lakers</t>
        </is>
      </c>
      <c r="F889" t="inlineStr">
        <is>
          <t>LA Clippers</t>
        </is>
      </c>
      <c r="G889" t="n">
        <v>106</v>
      </c>
      <c r="H889" t="n">
        <v>102</v>
      </c>
      <c r="I889" t="inlineStr">
        <is>
          <t>Los Angeles Lakers</t>
        </is>
      </c>
      <c r="J889" t="inlineStr">
        <is>
          <t>LA Clippers</t>
        </is>
      </c>
      <c r="K889" t="inlineStr">
        <is>
          <t>Yes</t>
        </is>
      </c>
      <c r="L889" t="inlineStr"/>
      <c r="M889" t="inlineStr">
        <is>
          <t>https://fixturedownload.com/download/nba-2024-UTC.csv</t>
        </is>
      </c>
    </row>
    <row r="890">
      <c r="A890" t="n">
        <v>860</v>
      </c>
      <c r="B890" t="n">
        <v>17</v>
      </c>
      <c r="C890" t="inlineStr">
        <is>
          <t>01/03/2025 23:00</t>
        </is>
      </c>
      <c r="D890" t="inlineStr">
        <is>
          <t>Spectrum Center</t>
        </is>
      </c>
      <c r="E890" t="inlineStr">
        <is>
          <t>Charlotte Hornets</t>
        </is>
      </c>
      <c r="F890" t="inlineStr">
        <is>
          <t>Washington Wizards</t>
        </is>
      </c>
      <c r="G890" t="n">
        <v>100</v>
      </c>
      <c r="H890" t="n">
        <v>113</v>
      </c>
      <c r="I890" t="inlineStr">
        <is>
          <t>Washington Wizards</t>
        </is>
      </c>
      <c r="J890" t="inlineStr">
        <is>
          <t>Charlotte Hornets</t>
        </is>
      </c>
      <c r="K890" t="inlineStr">
        <is>
          <t>Yes</t>
        </is>
      </c>
      <c r="L890" t="inlineStr"/>
      <c r="M890" t="inlineStr">
        <is>
          <t>https://fixturedownload.com/download/nba-2024-UTC.csv</t>
        </is>
      </c>
    </row>
    <row r="891">
      <c r="A891" t="n">
        <v>861</v>
      </c>
      <c r="B891" t="n">
        <v>17</v>
      </c>
      <c r="C891" t="inlineStr">
        <is>
          <t>02/03/2025 00:00</t>
        </is>
      </c>
      <c r="D891" t="inlineStr">
        <is>
          <t>Little Caesars Arena</t>
        </is>
      </c>
      <c r="E891" t="inlineStr">
        <is>
          <t>Detroit Pistons</t>
        </is>
      </c>
      <c r="F891" t="inlineStr">
        <is>
          <t>Brooklyn Nets</t>
        </is>
      </c>
      <c r="G891" t="n">
        <v>115</v>
      </c>
      <c r="H891" t="n">
        <v>94</v>
      </c>
      <c r="I891" t="inlineStr">
        <is>
          <t>Detroit Pistons</t>
        </is>
      </c>
      <c r="J891" t="inlineStr">
        <is>
          <t>Brooklyn Nets</t>
        </is>
      </c>
      <c r="K891" t="inlineStr">
        <is>
          <t>Yes</t>
        </is>
      </c>
      <c r="L891" t="inlineStr"/>
      <c r="M891" t="inlineStr">
        <is>
          <t>https://fixturedownload.com/download/nba-2024-UTC.csv</t>
        </is>
      </c>
    </row>
    <row r="892">
      <c r="A892" t="n">
        <v>862</v>
      </c>
      <c r="B892" t="n">
        <v>17</v>
      </c>
      <c r="C892" t="inlineStr">
        <is>
          <t>02/03/2025 01:00</t>
        </is>
      </c>
      <c r="D892" t="inlineStr">
        <is>
          <t>Toyota Center</t>
        </is>
      </c>
      <c r="E892" t="inlineStr">
        <is>
          <t>Houston Rockets</t>
        </is>
      </c>
      <c r="F892" t="inlineStr">
        <is>
          <t>Sacramento Kings</t>
        </is>
      </c>
      <c r="G892" t="n">
        <v>103</v>
      </c>
      <c r="H892" t="n">
        <v>113</v>
      </c>
      <c r="I892" t="inlineStr">
        <is>
          <t>Sacramento Kings</t>
        </is>
      </c>
      <c r="J892" t="inlineStr">
        <is>
          <t>Houston Rockets</t>
        </is>
      </c>
      <c r="K892" t="inlineStr">
        <is>
          <t>Yes</t>
        </is>
      </c>
      <c r="L892" t="inlineStr"/>
      <c r="M892" t="inlineStr">
        <is>
          <t>https://fixturedownload.com/download/nba-2024-UTC.csv</t>
        </is>
      </c>
    </row>
    <row r="893">
      <c r="A893" t="n">
        <v>863</v>
      </c>
      <c r="B893" t="n">
        <v>17</v>
      </c>
      <c r="C893" t="inlineStr">
        <is>
          <t>02/03/2025 01:00</t>
        </is>
      </c>
      <c r="D893" t="inlineStr">
        <is>
          <t>FedExForum</t>
        </is>
      </c>
      <c r="E893" t="inlineStr">
        <is>
          <t>Memphis Grizzlies</t>
        </is>
      </c>
      <c r="F893" t="inlineStr">
        <is>
          <t>San Antonio Spurs</t>
        </is>
      </c>
      <c r="G893" t="n">
        <v>128</v>
      </c>
      <c r="H893" t="n">
        <v>130</v>
      </c>
      <c r="I893" t="inlineStr">
        <is>
          <t>San Antonio Spurs</t>
        </is>
      </c>
      <c r="J893" t="inlineStr">
        <is>
          <t>Memphis Grizzlies</t>
        </is>
      </c>
      <c r="K893" t="inlineStr">
        <is>
          <t>Yes</t>
        </is>
      </c>
      <c r="L893" t="inlineStr"/>
      <c r="M893" t="inlineStr">
        <is>
          <t>https://fixturedownload.com/download/nba-2024-UTC.csv</t>
        </is>
      </c>
    </row>
    <row r="894">
      <c r="A894" t="n">
        <v>864</v>
      </c>
      <c r="B894" t="n">
        <v>17</v>
      </c>
      <c r="C894" t="inlineStr">
        <is>
          <t>02/03/2025 01:30</t>
        </is>
      </c>
      <c r="D894" t="inlineStr">
        <is>
          <t>Wells Fargo Center</t>
        </is>
      </c>
      <c r="E894" t="inlineStr">
        <is>
          <t>Philadelphia 76ers</t>
        </is>
      </c>
      <c r="F894" t="inlineStr">
        <is>
          <t>Golden State Warriors</t>
        </is>
      </c>
      <c r="G894" t="n">
        <v>126</v>
      </c>
      <c r="H894" t="n">
        <v>119</v>
      </c>
      <c r="I894" t="inlineStr">
        <is>
          <t>Philadelphia 76ers</t>
        </is>
      </c>
      <c r="J894" t="inlineStr">
        <is>
          <t>Golden State Warriors</t>
        </is>
      </c>
      <c r="K894" t="inlineStr">
        <is>
          <t>Yes</t>
        </is>
      </c>
      <c r="L894" t="inlineStr"/>
      <c r="M894" t="inlineStr">
        <is>
          <t>https://fixturedownload.com/download/nba-2024-UTC.csv</t>
        </is>
      </c>
    </row>
    <row r="895">
      <c r="A895" t="n">
        <v>865</v>
      </c>
      <c r="B895" t="n">
        <v>17</v>
      </c>
      <c r="C895" t="inlineStr">
        <is>
          <t>02/03/2025 01:30</t>
        </is>
      </c>
      <c r="D895" t="inlineStr">
        <is>
          <t>American Airlines Center</t>
        </is>
      </c>
      <c r="E895" t="inlineStr">
        <is>
          <t>Dallas Mavericks</t>
        </is>
      </c>
      <c r="F895" t="inlineStr">
        <is>
          <t>Milwaukee Bucks</t>
        </is>
      </c>
      <c r="G895" t="n">
        <v>117</v>
      </c>
      <c r="H895" t="n">
        <v>132</v>
      </c>
      <c r="I895" t="inlineStr">
        <is>
          <t>Milwaukee Bucks</t>
        </is>
      </c>
      <c r="J895" t="inlineStr">
        <is>
          <t>Dallas Mavericks</t>
        </is>
      </c>
      <c r="K895" t="inlineStr">
        <is>
          <t>Yes</t>
        </is>
      </c>
      <c r="L895" t="inlineStr"/>
      <c r="M895" t="inlineStr">
        <is>
          <t>https://fixturedownload.com/download/nba-2024-UTC.csv</t>
        </is>
      </c>
    </row>
    <row r="896">
      <c r="A896" t="n">
        <v>866</v>
      </c>
      <c r="B896" t="n">
        <v>17</v>
      </c>
      <c r="C896" t="inlineStr">
        <is>
          <t>02/03/2025 18:00</t>
        </is>
      </c>
      <c r="D896" t="inlineStr">
        <is>
          <t>TD Garden</t>
        </is>
      </c>
      <c r="E896" t="inlineStr">
        <is>
          <t>Boston Celtics</t>
        </is>
      </c>
      <c r="F896" t="inlineStr">
        <is>
          <t>Denver Nuggets</t>
        </is>
      </c>
      <c r="G896" t="n">
        <v>110</v>
      </c>
      <c r="H896" t="n">
        <v>103</v>
      </c>
      <c r="I896" t="inlineStr">
        <is>
          <t>Boston Celtics</t>
        </is>
      </c>
      <c r="J896" t="inlineStr">
        <is>
          <t>Denver Nuggets</t>
        </is>
      </c>
      <c r="K896" t="inlineStr">
        <is>
          <t>Yes</t>
        </is>
      </c>
      <c r="L896" t="inlineStr"/>
      <c r="M896" t="inlineStr">
        <is>
          <t>https://fixturedownload.com/download/nba-2024-UTC.csv</t>
        </is>
      </c>
    </row>
    <row r="897">
      <c r="A897" t="n">
        <v>867</v>
      </c>
      <c r="B897" t="n">
        <v>17</v>
      </c>
      <c r="C897" t="inlineStr">
        <is>
          <t>02/03/2025 20:30</t>
        </is>
      </c>
      <c r="D897" t="inlineStr">
        <is>
          <t>Rocket Arena</t>
        </is>
      </c>
      <c r="E897" t="inlineStr">
        <is>
          <t>Cleveland Cavaliers</t>
        </is>
      </c>
      <c r="F897" t="inlineStr">
        <is>
          <t>Portland Trail Blazers</t>
        </is>
      </c>
      <c r="G897" t="n">
        <v>133</v>
      </c>
      <c r="H897" t="n">
        <v>129</v>
      </c>
      <c r="I897" t="inlineStr">
        <is>
          <t>Cleveland Cavaliers</t>
        </is>
      </c>
      <c r="J897" t="inlineStr">
        <is>
          <t>Portland Trail Blazers</t>
        </is>
      </c>
      <c r="K897" t="inlineStr">
        <is>
          <t>Yes</t>
        </is>
      </c>
      <c r="L897" t="inlineStr"/>
      <c r="M897" t="inlineStr">
        <is>
          <t>https://fixturedownload.com/download/nba-2024-UTC.csv</t>
        </is>
      </c>
    </row>
    <row r="898">
      <c r="A898" t="n">
        <v>868</v>
      </c>
      <c r="B898" t="n">
        <v>17</v>
      </c>
      <c r="C898" t="inlineStr">
        <is>
          <t>02/03/2025 22:00</t>
        </is>
      </c>
      <c r="D898" t="inlineStr">
        <is>
          <t>Gainbridge Fieldhouse</t>
        </is>
      </c>
      <c r="E898" t="inlineStr">
        <is>
          <t>Indiana Pacers</t>
        </is>
      </c>
      <c r="F898" t="inlineStr">
        <is>
          <t>Chicago Bulls</t>
        </is>
      </c>
      <c r="G898" t="n">
        <v>127</v>
      </c>
      <c r="H898" t="n">
        <v>112</v>
      </c>
      <c r="I898" t="inlineStr">
        <is>
          <t>Indiana Pacers</t>
        </is>
      </c>
      <c r="J898" t="inlineStr">
        <is>
          <t>Chicago Bulls</t>
        </is>
      </c>
      <c r="K898" t="inlineStr">
        <is>
          <t>Yes</t>
        </is>
      </c>
      <c r="L898" t="inlineStr"/>
      <c r="M898" t="inlineStr">
        <is>
          <t>https://fixturedownload.com/download/nba-2024-UTC.csv</t>
        </is>
      </c>
    </row>
    <row r="899">
      <c r="A899" t="n">
        <v>869</v>
      </c>
      <c r="B899" t="n">
        <v>17</v>
      </c>
      <c r="C899" t="inlineStr">
        <is>
          <t>02/03/2025 23:00</t>
        </is>
      </c>
      <c r="D899" t="inlineStr">
        <is>
          <t>Kaseya Center</t>
        </is>
      </c>
      <c r="E899" t="inlineStr">
        <is>
          <t>Miami Heat</t>
        </is>
      </c>
      <c r="F899" t="inlineStr">
        <is>
          <t>New York Knicks</t>
        </is>
      </c>
      <c r="G899" t="n">
        <v>112</v>
      </c>
      <c r="H899" t="n">
        <v>116</v>
      </c>
      <c r="I899" t="inlineStr">
        <is>
          <t>New York Knicks</t>
        </is>
      </c>
      <c r="J899" t="inlineStr">
        <is>
          <t>Miami Heat</t>
        </is>
      </c>
      <c r="K899" t="inlineStr">
        <is>
          <t>Yes</t>
        </is>
      </c>
      <c r="L899" t="inlineStr"/>
      <c r="M899" t="inlineStr">
        <is>
          <t>https://fixturedownload.com/download/nba-2024-UTC.csv</t>
        </is>
      </c>
    </row>
    <row r="900">
      <c r="A900" t="n">
        <v>870</v>
      </c>
      <c r="B900" t="n">
        <v>17</v>
      </c>
      <c r="C900" t="inlineStr">
        <is>
          <t>02/03/2025 23:00</t>
        </is>
      </c>
      <c r="D900" t="inlineStr">
        <is>
          <t>Kia Center</t>
        </is>
      </c>
      <c r="E900" t="inlineStr">
        <is>
          <t>Orlando Magic</t>
        </is>
      </c>
      <c r="F900" t="inlineStr">
        <is>
          <t>Toronto Raptors</t>
        </is>
      </c>
      <c r="G900" t="n">
        <v>102</v>
      </c>
      <c r="H900" t="n">
        <v>104</v>
      </c>
      <c r="I900" t="inlineStr">
        <is>
          <t>Toronto Raptors</t>
        </is>
      </c>
      <c r="J900" t="inlineStr">
        <is>
          <t>Orlando Magic</t>
        </is>
      </c>
      <c r="K900" t="inlineStr">
        <is>
          <t>Yes</t>
        </is>
      </c>
      <c r="L900" t="inlineStr"/>
      <c r="M900" t="inlineStr">
        <is>
          <t>https://fixturedownload.com/download/nba-2024-UTC.csv</t>
        </is>
      </c>
    </row>
    <row r="901">
      <c r="A901" t="n">
        <v>871</v>
      </c>
      <c r="B901" t="n">
        <v>17</v>
      </c>
      <c r="C901" t="inlineStr">
        <is>
          <t>03/03/2025 00:00</t>
        </is>
      </c>
      <c r="D901" t="inlineStr">
        <is>
          <t>Frost Bank Center</t>
        </is>
      </c>
      <c r="E901" t="inlineStr">
        <is>
          <t>San Antonio Spurs</t>
        </is>
      </c>
      <c r="F901" t="inlineStr">
        <is>
          <t>Oklahoma City Thunder</t>
        </is>
      </c>
      <c r="G901" t="n">
        <v>132</v>
      </c>
      <c r="H901" t="n">
        <v>146</v>
      </c>
      <c r="I901" t="inlineStr">
        <is>
          <t>Oklahoma City Thunder</t>
        </is>
      </c>
      <c r="J901" t="inlineStr">
        <is>
          <t>San Antonio Spurs</t>
        </is>
      </c>
      <c r="K901" t="inlineStr">
        <is>
          <t>Yes</t>
        </is>
      </c>
      <c r="L901" t="inlineStr"/>
      <c r="M901" t="inlineStr">
        <is>
          <t>https://fixturedownload.com/download/nba-2024-UTC.csv</t>
        </is>
      </c>
    </row>
    <row r="902">
      <c r="A902" t="n">
        <v>872</v>
      </c>
      <c r="B902" t="n">
        <v>17</v>
      </c>
      <c r="C902" t="inlineStr">
        <is>
          <t>03/03/2025 01:00</t>
        </is>
      </c>
      <c r="D902" t="inlineStr">
        <is>
          <t>Delta Center</t>
        </is>
      </c>
      <c r="E902" t="inlineStr">
        <is>
          <t>Utah Jazz</t>
        </is>
      </c>
      <c r="F902" t="inlineStr">
        <is>
          <t>New Orleans Pelicans</t>
        </is>
      </c>
      <c r="G902" t="n">
        <v>121</v>
      </c>
      <c r="H902" t="n">
        <v>128</v>
      </c>
      <c r="I902" t="inlineStr">
        <is>
          <t>New Orleans Pelicans</t>
        </is>
      </c>
      <c r="J902" t="inlineStr">
        <is>
          <t>Utah Jazz</t>
        </is>
      </c>
      <c r="K902" t="inlineStr">
        <is>
          <t>Yes</t>
        </is>
      </c>
      <c r="L902" t="inlineStr"/>
      <c r="M902" t="inlineStr">
        <is>
          <t>https://fixturedownload.com/download/nba-2024-UTC.csv</t>
        </is>
      </c>
    </row>
    <row r="903">
      <c r="A903" t="n">
        <v>873</v>
      </c>
      <c r="B903" t="n">
        <v>17</v>
      </c>
      <c r="C903" t="inlineStr">
        <is>
          <t>03/03/2025 02:30</t>
        </is>
      </c>
      <c r="D903" t="inlineStr">
        <is>
          <t>PHX Arena</t>
        </is>
      </c>
      <c r="E903" t="inlineStr">
        <is>
          <t>Phoenix Suns</t>
        </is>
      </c>
      <c r="F903" t="inlineStr">
        <is>
          <t>Minnesota Timberwolves</t>
        </is>
      </c>
      <c r="G903" t="n">
        <v>98</v>
      </c>
      <c r="H903" t="n">
        <v>116</v>
      </c>
      <c r="I903" t="inlineStr">
        <is>
          <t>Minnesota Timberwolves</t>
        </is>
      </c>
      <c r="J903" t="inlineStr">
        <is>
          <t>Phoenix Suns</t>
        </is>
      </c>
      <c r="K903" t="inlineStr">
        <is>
          <t>Yes</t>
        </is>
      </c>
      <c r="L903" t="inlineStr"/>
      <c r="M903" t="inlineStr">
        <is>
          <t>https://fixturedownload.com/download/nba-2024-UTC.csv</t>
        </is>
      </c>
    </row>
    <row r="904">
      <c r="A904" t="n">
        <v>874</v>
      </c>
      <c r="B904" t="n">
        <v>17</v>
      </c>
      <c r="C904" t="inlineStr">
        <is>
          <t>03/03/2025 02:30</t>
        </is>
      </c>
      <c r="D904" t="inlineStr">
        <is>
          <t>Crypto.com Arena</t>
        </is>
      </c>
      <c r="E904" t="inlineStr">
        <is>
          <t>Los Angeles Lakers</t>
        </is>
      </c>
      <c r="F904" t="inlineStr">
        <is>
          <t>LA Clippers</t>
        </is>
      </c>
      <c r="G904" t="n">
        <v>108</v>
      </c>
      <c r="H904" t="n">
        <v>102</v>
      </c>
      <c r="I904" t="inlineStr">
        <is>
          <t>Los Angeles Lakers</t>
        </is>
      </c>
      <c r="J904" t="inlineStr">
        <is>
          <t>LA Clippers</t>
        </is>
      </c>
      <c r="K904" t="inlineStr">
        <is>
          <t>Yes</t>
        </is>
      </c>
      <c r="L904" t="inlineStr"/>
      <c r="M904" t="inlineStr">
        <is>
          <t>https://fixturedownload.com/download/nba-2024-UTC.csv</t>
        </is>
      </c>
    </row>
    <row r="905">
      <c r="A905" t="n">
        <v>875</v>
      </c>
      <c r="B905" t="n">
        <v>17</v>
      </c>
      <c r="C905" t="inlineStr">
        <is>
          <t>04/03/2025 00:00</t>
        </is>
      </c>
      <c r="D905" t="inlineStr">
        <is>
          <t>Spectrum Center</t>
        </is>
      </c>
      <c r="E905" t="inlineStr">
        <is>
          <t>Charlotte Hornets</t>
        </is>
      </c>
      <c r="F905" t="inlineStr">
        <is>
          <t>Golden State Warriors</t>
        </is>
      </c>
      <c r="G905" t="n">
        <v>101</v>
      </c>
      <c r="H905" t="n">
        <v>119</v>
      </c>
      <c r="I905" t="inlineStr">
        <is>
          <t>Golden State Warriors</t>
        </is>
      </c>
      <c r="J905" t="inlineStr">
        <is>
          <t>Charlotte Hornets</t>
        </is>
      </c>
      <c r="K905" t="inlineStr">
        <is>
          <t>Yes</t>
        </is>
      </c>
      <c r="L905" t="inlineStr"/>
      <c r="M905" t="inlineStr">
        <is>
          <t>https://fixturedownload.com/download/nba-2024-UTC.csv</t>
        </is>
      </c>
    </row>
    <row r="906">
      <c r="A906" t="n">
        <v>876</v>
      </c>
      <c r="B906" t="n">
        <v>17</v>
      </c>
      <c r="C906" t="inlineStr">
        <is>
          <t>04/03/2025 00:00</t>
        </is>
      </c>
      <c r="D906" t="inlineStr">
        <is>
          <t>Wells Fargo Center</t>
        </is>
      </c>
      <c r="E906" t="inlineStr">
        <is>
          <t>Philadelphia 76ers</t>
        </is>
      </c>
      <c r="F906" t="inlineStr">
        <is>
          <t>Portland Trail Blazers</t>
        </is>
      </c>
      <c r="G906" t="n">
        <v>102</v>
      </c>
      <c r="H906" t="n">
        <v>119</v>
      </c>
      <c r="I906" t="inlineStr">
        <is>
          <t>Portland Trail Blazers</t>
        </is>
      </c>
      <c r="J906" t="inlineStr">
        <is>
          <t>Philadelphia 76ers</t>
        </is>
      </c>
      <c r="K906" t="inlineStr">
        <is>
          <t>Yes</t>
        </is>
      </c>
      <c r="L906" t="inlineStr"/>
      <c r="M906" t="inlineStr">
        <is>
          <t>https://fixturedownload.com/download/nba-2024-UTC.csv</t>
        </is>
      </c>
    </row>
    <row r="907">
      <c r="A907" t="n">
        <v>877</v>
      </c>
      <c r="B907" t="n">
        <v>17</v>
      </c>
      <c r="C907" t="inlineStr">
        <is>
          <t>04/03/2025 00:30</t>
        </is>
      </c>
      <c r="D907" t="inlineStr">
        <is>
          <t>Kaseya Center</t>
        </is>
      </c>
      <c r="E907" t="inlineStr">
        <is>
          <t>Miami Heat</t>
        </is>
      </c>
      <c r="F907" t="inlineStr">
        <is>
          <t>Washington Wizards</t>
        </is>
      </c>
      <c r="G907" t="n">
        <v>106</v>
      </c>
      <c r="H907" t="n">
        <v>90</v>
      </c>
      <c r="I907" t="inlineStr">
        <is>
          <t>Miami Heat</t>
        </is>
      </c>
      <c r="J907" t="inlineStr">
        <is>
          <t>Washington Wizards</t>
        </is>
      </c>
      <c r="K907" t="inlineStr">
        <is>
          <t>Yes</t>
        </is>
      </c>
      <c r="L907" t="inlineStr"/>
      <c r="M907" t="inlineStr">
        <is>
          <t>https://fixturedownload.com/download/nba-2024-UTC.csv</t>
        </is>
      </c>
    </row>
    <row r="908">
      <c r="A908" t="n">
        <v>878</v>
      </c>
      <c r="B908" t="n">
        <v>17</v>
      </c>
      <c r="C908" t="inlineStr">
        <is>
          <t>04/03/2025 01:00</t>
        </is>
      </c>
      <c r="D908" t="inlineStr">
        <is>
          <t>FedExForum</t>
        </is>
      </c>
      <c r="E908" t="inlineStr">
        <is>
          <t>Memphis Grizzlies</t>
        </is>
      </c>
      <c r="F908" t="inlineStr">
        <is>
          <t>Atlanta Hawks</t>
        </is>
      </c>
      <c r="G908" t="n">
        <v>130</v>
      </c>
      <c r="H908" t="n">
        <v>132</v>
      </c>
      <c r="I908" t="inlineStr">
        <is>
          <t>Atlanta Hawks</t>
        </is>
      </c>
      <c r="J908" t="inlineStr">
        <is>
          <t>Memphis Grizzlies</t>
        </is>
      </c>
      <c r="K908" t="inlineStr">
        <is>
          <t>Yes</t>
        </is>
      </c>
      <c r="L908" t="inlineStr"/>
      <c r="M908" t="inlineStr">
        <is>
          <t>https://fixturedownload.com/download/nba-2024-UTC.csv</t>
        </is>
      </c>
    </row>
    <row r="909">
      <c r="A909" t="n">
        <v>879</v>
      </c>
      <c r="B909" t="n">
        <v>17</v>
      </c>
      <c r="C909" t="inlineStr">
        <is>
          <t>04/03/2025 01:00</t>
        </is>
      </c>
      <c r="D909" t="inlineStr">
        <is>
          <t>Paycom Center</t>
        </is>
      </c>
      <c r="E909" t="inlineStr">
        <is>
          <t>Oklahoma City Thunder</t>
        </is>
      </c>
      <c r="F909" t="inlineStr">
        <is>
          <t>Houston Rockets</t>
        </is>
      </c>
      <c r="G909" t="n">
        <v>137</v>
      </c>
      <c r="H909" t="n">
        <v>128</v>
      </c>
      <c r="I909" t="inlineStr">
        <is>
          <t>Oklahoma City Thunder</t>
        </is>
      </c>
      <c r="J909" t="inlineStr">
        <is>
          <t>Houston Rockets</t>
        </is>
      </c>
      <c r="K909" t="inlineStr">
        <is>
          <t>Yes</t>
        </is>
      </c>
      <c r="L909" t="inlineStr"/>
      <c r="M909" t="inlineStr">
        <is>
          <t>https://fixturedownload.com/download/nba-2024-UTC.csv</t>
        </is>
      </c>
    </row>
    <row r="910">
      <c r="A910" t="n">
        <v>880</v>
      </c>
      <c r="B910" t="n">
        <v>17</v>
      </c>
      <c r="C910" t="inlineStr">
        <is>
          <t>04/03/2025 01:30</t>
        </is>
      </c>
      <c r="D910" t="inlineStr">
        <is>
          <t>American Airlines Center</t>
        </is>
      </c>
      <c r="E910" t="inlineStr">
        <is>
          <t>Dallas Mavericks</t>
        </is>
      </c>
      <c r="F910" t="inlineStr">
        <is>
          <t>Sacramento Kings</t>
        </is>
      </c>
      <c r="G910" t="n">
        <v>98</v>
      </c>
      <c r="H910" t="n">
        <v>122</v>
      </c>
      <c r="I910" t="inlineStr">
        <is>
          <t>Sacramento Kings</t>
        </is>
      </c>
      <c r="J910" t="inlineStr">
        <is>
          <t>Dallas Mavericks</t>
        </is>
      </c>
      <c r="K910" t="inlineStr">
        <is>
          <t>Yes</t>
        </is>
      </c>
      <c r="L910" t="inlineStr"/>
      <c r="M910" t="inlineStr">
        <is>
          <t>https://fixturedownload.com/download/nba-2024-UTC.csv</t>
        </is>
      </c>
    </row>
    <row r="911">
      <c r="A911" t="n">
        <v>881</v>
      </c>
      <c r="B911" t="n">
        <v>17</v>
      </c>
      <c r="C911" t="inlineStr">
        <is>
          <t>04/03/2025 02:00</t>
        </is>
      </c>
      <c r="D911" t="inlineStr">
        <is>
          <t>Delta Center</t>
        </is>
      </c>
      <c r="E911" t="inlineStr">
        <is>
          <t>Utah Jazz</t>
        </is>
      </c>
      <c r="F911" t="inlineStr">
        <is>
          <t>Detroit Pistons</t>
        </is>
      </c>
      <c r="G911" t="n">
        <v>106</v>
      </c>
      <c r="H911" t="n">
        <v>134</v>
      </c>
      <c r="I911" t="inlineStr">
        <is>
          <t>Detroit Pistons</t>
        </is>
      </c>
      <c r="J911" t="inlineStr">
        <is>
          <t>Utah Jazz</t>
        </is>
      </c>
      <c r="K911" t="inlineStr">
        <is>
          <t>Yes</t>
        </is>
      </c>
      <c r="L911" t="inlineStr"/>
      <c r="M911" t="inlineStr">
        <is>
          <t>https://fixturedownload.com/download/nba-2024-UTC.csv</t>
        </is>
      </c>
    </row>
    <row r="912">
      <c r="A912" t="n">
        <v>882</v>
      </c>
      <c r="B912" t="n">
        <v>17</v>
      </c>
      <c r="C912" t="inlineStr">
        <is>
          <t>05/03/2025 00:00</t>
        </is>
      </c>
      <c r="D912" t="inlineStr">
        <is>
          <t>Gainbridge Fieldhouse</t>
        </is>
      </c>
      <c r="E912" t="inlineStr">
        <is>
          <t>Indiana Pacers</t>
        </is>
      </c>
      <c r="F912" t="inlineStr">
        <is>
          <t>Houston Rockets</t>
        </is>
      </c>
      <c r="G912" t="n">
        <v>115</v>
      </c>
      <c r="H912" t="n">
        <v>102</v>
      </c>
      <c r="I912" t="inlineStr">
        <is>
          <t>Indiana Pacers</t>
        </is>
      </c>
      <c r="J912" t="inlineStr">
        <is>
          <t>Houston Rockets</t>
        </is>
      </c>
      <c r="K912" t="inlineStr">
        <is>
          <t>Yes</t>
        </is>
      </c>
      <c r="L912" t="inlineStr"/>
      <c r="M912" t="inlineStr">
        <is>
          <t>https://fixturedownload.com/download/nba-2024-UTC.csv</t>
        </is>
      </c>
    </row>
    <row r="913">
      <c r="A913" t="n">
        <v>883</v>
      </c>
      <c r="B913" t="n">
        <v>17</v>
      </c>
      <c r="C913" t="inlineStr">
        <is>
          <t>05/03/2025 00:00</t>
        </is>
      </c>
      <c r="D913" t="inlineStr">
        <is>
          <t>Kia Center</t>
        </is>
      </c>
      <c r="E913" t="inlineStr">
        <is>
          <t>Orlando Magic</t>
        </is>
      </c>
      <c r="F913" t="inlineStr">
        <is>
          <t>Toronto Raptors</t>
        </is>
      </c>
      <c r="G913" t="n">
        <v>113</v>
      </c>
      <c r="H913" t="n">
        <v>114</v>
      </c>
      <c r="I913" t="inlineStr">
        <is>
          <t>Toronto Raptors</t>
        </is>
      </c>
      <c r="J913" t="inlineStr">
        <is>
          <t>Orlando Magic</t>
        </is>
      </c>
      <c r="K913" t="inlineStr">
        <is>
          <t>Yes</t>
        </is>
      </c>
      <c r="L913" t="inlineStr"/>
      <c r="M913" t="inlineStr">
        <is>
          <t>https://fixturedownload.com/download/nba-2024-UTC.csv</t>
        </is>
      </c>
    </row>
    <row r="914">
      <c r="A914" t="n">
        <v>884</v>
      </c>
      <c r="B914" t="n">
        <v>17</v>
      </c>
      <c r="C914" t="inlineStr">
        <is>
          <t>05/03/2025 00:30</t>
        </is>
      </c>
      <c r="D914" t="inlineStr">
        <is>
          <t>State Farm Arena</t>
        </is>
      </c>
      <c r="E914" t="inlineStr">
        <is>
          <t>Atlanta Hawks</t>
        </is>
      </c>
      <c r="F914" t="inlineStr">
        <is>
          <t>Milwaukee Bucks</t>
        </is>
      </c>
      <c r="G914" t="n">
        <v>121</v>
      </c>
      <c r="H914" t="n">
        <v>127</v>
      </c>
      <c r="I914" t="inlineStr">
        <is>
          <t>Milwaukee Bucks</t>
        </is>
      </c>
      <c r="J914" t="inlineStr">
        <is>
          <t>Atlanta Hawks</t>
        </is>
      </c>
      <c r="K914" t="inlineStr">
        <is>
          <t>Yes</t>
        </is>
      </c>
      <c r="L914" t="inlineStr"/>
      <c r="M914" t="inlineStr">
        <is>
          <t>https://fixturedownload.com/download/nba-2024-UTC.csv</t>
        </is>
      </c>
    </row>
    <row r="915">
      <c r="A915" t="n">
        <v>885</v>
      </c>
      <c r="B915" t="n">
        <v>17</v>
      </c>
      <c r="C915" t="inlineStr">
        <is>
          <t>05/03/2025 00:30</t>
        </is>
      </c>
      <c r="D915" t="inlineStr">
        <is>
          <t>Madison Square Garden</t>
        </is>
      </c>
      <c r="E915" t="inlineStr">
        <is>
          <t>New York Knicks</t>
        </is>
      </c>
      <c r="F915" t="inlineStr">
        <is>
          <t>Golden State Warriors</t>
        </is>
      </c>
      <c r="G915" t="n">
        <v>102</v>
      </c>
      <c r="H915" t="n">
        <v>114</v>
      </c>
      <c r="I915" t="inlineStr">
        <is>
          <t>Golden State Warriors</t>
        </is>
      </c>
      <c r="J915" t="inlineStr">
        <is>
          <t>New York Knicks</t>
        </is>
      </c>
      <c r="K915" t="inlineStr">
        <is>
          <t>Yes</t>
        </is>
      </c>
      <c r="L915" t="inlineStr"/>
      <c r="M915" t="inlineStr">
        <is>
          <t>https://fixturedownload.com/download/nba-2024-UTC.csv</t>
        </is>
      </c>
    </row>
    <row r="916">
      <c r="A916" t="n">
        <v>886</v>
      </c>
      <c r="B916" t="n">
        <v>17</v>
      </c>
      <c r="C916" t="inlineStr">
        <is>
          <t>05/03/2025 01:00</t>
        </is>
      </c>
      <c r="D916" t="inlineStr">
        <is>
          <t>United Center</t>
        </is>
      </c>
      <c r="E916" t="inlineStr">
        <is>
          <t>Chicago Bulls</t>
        </is>
      </c>
      <c r="F916" t="inlineStr">
        <is>
          <t>Cleveland Cavaliers</t>
        </is>
      </c>
      <c r="G916" t="n">
        <v>117</v>
      </c>
      <c r="H916" t="n">
        <v>139</v>
      </c>
      <c r="I916" t="inlineStr">
        <is>
          <t>Cleveland Cavaliers</t>
        </is>
      </c>
      <c r="J916" t="inlineStr">
        <is>
          <t>Chicago Bulls</t>
        </is>
      </c>
      <c r="K916" t="inlineStr">
        <is>
          <t>Yes</t>
        </is>
      </c>
      <c r="L916" t="inlineStr"/>
      <c r="M916" t="inlineStr">
        <is>
          <t>https://fixturedownload.com/download/nba-2024-UTC.csv</t>
        </is>
      </c>
    </row>
    <row r="917">
      <c r="A917" t="n">
        <v>887</v>
      </c>
      <c r="B917" t="n">
        <v>17</v>
      </c>
      <c r="C917" t="inlineStr">
        <is>
          <t>05/03/2025 01:00</t>
        </is>
      </c>
      <c r="D917" t="inlineStr">
        <is>
          <t>Target Center</t>
        </is>
      </c>
      <c r="E917" t="inlineStr">
        <is>
          <t>Minnesota Timberwolves</t>
        </is>
      </c>
      <c r="F917" t="inlineStr">
        <is>
          <t>Philadelphia 76ers</t>
        </is>
      </c>
      <c r="G917" t="n">
        <v>126</v>
      </c>
      <c r="H917" t="n">
        <v>112</v>
      </c>
      <c r="I917" t="inlineStr">
        <is>
          <t>Minnesota Timberwolves</t>
        </is>
      </c>
      <c r="J917" t="inlineStr">
        <is>
          <t>Philadelphia 76ers</t>
        </is>
      </c>
      <c r="K917" t="inlineStr">
        <is>
          <t>Yes</t>
        </is>
      </c>
      <c r="L917" t="inlineStr"/>
      <c r="M917" t="inlineStr">
        <is>
          <t>https://fixturedownload.com/download/nba-2024-UTC.csv</t>
        </is>
      </c>
    </row>
    <row r="918">
      <c r="A918" t="n">
        <v>888</v>
      </c>
      <c r="B918" t="n">
        <v>17</v>
      </c>
      <c r="C918" t="inlineStr">
        <is>
          <t>05/03/2025 01:30</t>
        </is>
      </c>
      <c r="D918" t="inlineStr">
        <is>
          <t>Frost Bank Center</t>
        </is>
      </c>
      <c r="E918" t="inlineStr">
        <is>
          <t>San Antonio Spurs</t>
        </is>
      </c>
      <c r="F918" t="inlineStr">
        <is>
          <t>Brooklyn Nets</t>
        </is>
      </c>
      <c r="G918" t="n">
        <v>127</v>
      </c>
      <c r="H918" t="n">
        <v>113</v>
      </c>
      <c r="I918" t="inlineStr">
        <is>
          <t>San Antonio Spurs</t>
        </is>
      </c>
      <c r="J918" t="inlineStr">
        <is>
          <t>Brooklyn Nets</t>
        </is>
      </c>
      <c r="K918" t="inlineStr">
        <is>
          <t>Yes</t>
        </is>
      </c>
      <c r="L918" t="inlineStr"/>
      <c r="M918" t="inlineStr">
        <is>
          <t>https://fixturedownload.com/download/nba-2024-UTC.csv</t>
        </is>
      </c>
    </row>
    <row r="919">
      <c r="A919" t="n">
        <v>889</v>
      </c>
      <c r="B919" t="n">
        <v>17</v>
      </c>
      <c r="C919" t="inlineStr">
        <is>
          <t>05/03/2025 03:00</t>
        </is>
      </c>
      <c r="D919" t="inlineStr">
        <is>
          <t>PHX Arena</t>
        </is>
      </c>
      <c r="E919" t="inlineStr">
        <is>
          <t>Phoenix Suns</t>
        </is>
      </c>
      <c r="F919" t="inlineStr">
        <is>
          <t>LA Clippers</t>
        </is>
      </c>
      <c r="G919" t="n">
        <v>119</v>
      </c>
      <c r="H919" t="n">
        <v>117</v>
      </c>
      <c r="I919" t="inlineStr">
        <is>
          <t>Phoenix Suns</t>
        </is>
      </c>
      <c r="J919" t="inlineStr">
        <is>
          <t>LA Clippers</t>
        </is>
      </c>
      <c r="K919" t="inlineStr">
        <is>
          <t>Yes</t>
        </is>
      </c>
      <c r="L919" t="inlineStr"/>
      <c r="M919" t="inlineStr">
        <is>
          <t>https://fixturedownload.com/download/nba-2024-UTC.csv</t>
        </is>
      </c>
    </row>
    <row r="920">
      <c r="A920" t="n">
        <v>890</v>
      </c>
      <c r="B920" t="n">
        <v>17</v>
      </c>
      <c r="C920" t="inlineStr">
        <is>
          <t>05/03/2025 03:30</t>
        </is>
      </c>
      <c r="D920" t="inlineStr">
        <is>
          <t>Crypto.com Arena</t>
        </is>
      </c>
      <c r="E920" t="inlineStr">
        <is>
          <t>Los Angeles Lakers</t>
        </is>
      </c>
      <c r="F920" t="inlineStr">
        <is>
          <t>New Orleans Pelicans</t>
        </is>
      </c>
      <c r="G920" t="n">
        <v>136</v>
      </c>
      <c r="H920" t="n">
        <v>115</v>
      </c>
      <c r="I920" t="inlineStr">
        <is>
          <t>Los Angeles Lakers</t>
        </is>
      </c>
      <c r="J920" t="inlineStr">
        <is>
          <t>New Orleans Pelicans</t>
        </is>
      </c>
      <c r="K920" t="inlineStr">
        <is>
          <t>Yes</t>
        </is>
      </c>
      <c r="L920" t="inlineStr"/>
      <c r="M920" t="inlineStr">
        <is>
          <t>https://fixturedownload.com/download/nba-2024-UTC.csv</t>
        </is>
      </c>
    </row>
    <row r="921">
      <c r="A921" t="n">
        <v>891</v>
      </c>
      <c r="B921" t="n">
        <v>18</v>
      </c>
      <c r="C921" t="inlineStr">
        <is>
          <t>06/03/2025 00:00</t>
        </is>
      </c>
      <c r="D921" t="inlineStr">
        <is>
          <t>TD Garden</t>
        </is>
      </c>
      <c r="E921" t="inlineStr">
        <is>
          <t>Boston Celtics</t>
        </is>
      </c>
      <c r="F921" t="inlineStr">
        <is>
          <t>Portland Trail Blazers</t>
        </is>
      </c>
      <c r="G921" t="n">
        <v>128</v>
      </c>
      <c r="H921" t="n">
        <v>118</v>
      </c>
      <c r="I921" t="inlineStr">
        <is>
          <t>Boston Celtics</t>
        </is>
      </c>
      <c r="J921" t="inlineStr">
        <is>
          <t>Portland Trail Blazers</t>
        </is>
      </c>
      <c r="K921" t="inlineStr">
        <is>
          <t>Yes</t>
        </is>
      </c>
      <c r="L921" t="inlineStr"/>
      <c r="M921" t="inlineStr">
        <is>
          <t>https://fixturedownload.com/download/nba-2024-UTC.csv</t>
        </is>
      </c>
    </row>
    <row r="922">
      <c r="A922" t="n">
        <v>892</v>
      </c>
      <c r="B922" t="n">
        <v>18</v>
      </c>
      <c r="C922" t="inlineStr">
        <is>
          <t>06/03/2025 00:00</t>
        </is>
      </c>
      <c r="D922" t="inlineStr">
        <is>
          <t>Spectrum Center</t>
        </is>
      </c>
      <c r="E922" t="inlineStr">
        <is>
          <t>Charlotte Hornets</t>
        </is>
      </c>
      <c r="F922" t="inlineStr">
        <is>
          <t>Minnesota Timberwolves</t>
        </is>
      </c>
      <c r="G922" t="n">
        <v>110</v>
      </c>
      <c r="H922" t="n">
        <v>125</v>
      </c>
      <c r="I922" t="inlineStr">
        <is>
          <t>Minnesota Timberwolves</t>
        </is>
      </c>
      <c r="J922" t="inlineStr">
        <is>
          <t>Charlotte Hornets</t>
        </is>
      </c>
      <c r="K922" t="inlineStr">
        <is>
          <t>Yes</t>
        </is>
      </c>
      <c r="L922" t="inlineStr"/>
      <c r="M922" t="inlineStr">
        <is>
          <t>https://fixturedownload.com/download/nba-2024-UTC.csv</t>
        </is>
      </c>
    </row>
    <row r="923">
      <c r="A923" t="n">
        <v>893</v>
      </c>
      <c r="B923" t="n">
        <v>18</v>
      </c>
      <c r="C923" t="inlineStr">
        <is>
          <t>06/03/2025 00:00</t>
        </is>
      </c>
      <c r="D923" t="inlineStr">
        <is>
          <t>Rocket Arena</t>
        </is>
      </c>
      <c r="E923" t="inlineStr">
        <is>
          <t>Cleveland Cavaliers</t>
        </is>
      </c>
      <c r="F923" t="inlineStr">
        <is>
          <t>Miami Heat</t>
        </is>
      </c>
      <c r="G923" t="n">
        <v>112</v>
      </c>
      <c r="H923" t="n">
        <v>107</v>
      </c>
      <c r="I923" t="inlineStr">
        <is>
          <t>Cleveland Cavaliers</t>
        </is>
      </c>
      <c r="J923" t="inlineStr">
        <is>
          <t>Miami Heat</t>
        </is>
      </c>
      <c r="K923" t="inlineStr">
        <is>
          <t>Yes</t>
        </is>
      </c>
      <c r="L923" t="inlineStr"/>
      <c r="M923" t="inlineStr">
        <is>
          <t>https://fixturedownload.com/download/nba-2024-UTC.csv</t>
        </is>
      </c>
    </row>
    <row r="924">
      <c r="A924" t="n">
        <v>894</v>
      </c>
      <c r="B924" t="n">
        <v>18</v>
      </c>
      <c r="C924" t="inlineStr">
        <is>
          <t>06/03/2025 00:00</t>
        </is>
      </c>
      <c r="D924" t="inlineStr">
        <is>
          <t>Capital One Arena</t>
        </is>
      </c>
      <c r="E924" t="inlineStr">
        <is>
          <t>Washington Wizards</t>
        </is>
      </c>
      <c r="F924" t="inlineStr">
        <is>
          <t>Utah Jazz</t>
        </is>
      </c>
      <c r="G924" t="n">
        <v>125</v>
      </c>
      <c r="H924" t="n">
        <v>122</v>
      </c>
      <c r="I924" t="inlineStr">
        <is>
          <t>Washington Wizards</t>
        </is>
      </c>
      <c r="J924" t="inlineStr">
        <is>
          <t>Utah Jazz</t>
        </is>
      </c>
      <c r="K924" t="inlineStr">
        <is>
          <t>Yes</t>
        </is>
      </c>
      <c r="L924" t="inlineStr"/>
      <c r="M924" t="inlineStr">
        <is>
          <t>https://fixturedownload.com/download/nba-2024-UTC.csv</t>
        </is>
      </c>
    </row>
    <row r="925">
      <c r="A925" t="n">
        <v>897</v>
      </c>
      <c r="B925" t="n">
        <v>18</v>
      </c>
      <c r="C925" t="inlineStr">
        <is>
          <t>06/03/2025 01:00</t>
        </is>
      </c>
      <c r="D925" t="inlineStr">
        <is>
          <t>Fiserv Forum</t>
        </is>
      </c>
      <c r="E925" t="inlineStr">
        <is>
          <t>Milwaukee Bucks</t>
        </is>
      </c>
      <c r="F925" t="inlineStr">
        <is>
          <t>Dallas Mavericks</t>
        </is>
      </c>
      <c r="G925" t="n">
        <v>137</v>
      </c>
      <c r="H925" t="n">
        <v>107</v>
      </c>
      <c r="I925" t="inlineStr">
        <is>
          <t>Milwaukee Bucks</t>
        </is>
      </c>
      <c r="J925" t="inlineStr">
        <is>
          <t>Dallas Mavericks</t>
        </is>
      </c>
      <c r="K925" t="inlineStr">
        <is>
          <t>Yes</t>
        </is>
      </c>
      <c r="L925" t="inlineStr"/>
      <c r="M925" t="inlineStr">
        <is>
          <t>https://fixturedownload.com/download/nba-2024-UTC.csv</t>
        </is>
      </c>
    </row>
    <row r="926">
      <c r="A926" t="n">
        <v>896</v>
      </c>
      <c r="B926" t="n">
        <v>18</v>
      </c>
      <c r="C926" t="inlineStr">
        <is>
          <t>06/03/2025 02:00</t>
        </is>
      </c>
      <c r="D926" t="inlineStr">
        <is>
          <t>Ball Arena</t>
        </is>
      </c>
      <c r="E926" t="inlineStr">
        <is>
          <t>Denver Nuggets</t>
        </is>
      </c>
      <c r="F926" t="inlineStr">
        <is>
          <t>Sacramento Kings</t>
        </is>
      </c>
      <c r="G926" t="n">
        <v>116</v>
      </c>
      <c r="H926" t="n">
        <v>110</v>
      </c>
      <c r="I926" t="inlineStr">
        <is>
          <t>Denver Nuggets</t>
        </is>
      </c>
      <c r="J926" t="inlineStr">
        <is>
          <t>Sacramento Kings</t>
        </is>
      </c>
      <c r="K926" t="inlineStr">
        <is>
          <t>Yes</t>
        </is>
      </c>
      <c r="L926" t="inlineStr"/>
      <c r="M926" t="inlineStr">
        <is>
          <t>https://fixturedownload.com/download/nba-2024-UTC.csv</t>
        </is>
      </c>
    </row>
    <row r="927">
      <c r="A927" t="n">
        <v>895</v>
      </c>
      <c r="B927" t="n">
        <v>18</v>
      </c>
      <c r="C927" t="inlineStr">
        <is>
          <t>06/03/2025 02:30</t>
        </is>
      </c>
      <c r="D927" t="inlineStr">
        <is>
          <t>FedExForum</t>
        </is>
      </c>
      <c r="E927" t="inlineStr">
        <is>
          <t>Memphis Grizzlies</t>
        </is>
      </c>
      <c r="F927" t="inlineStr">
        <is>
          <t>Oklahoma City Thunder</t>
        </is>
      </c>
      <c r="G927" t="n">
        <v>103</v>
      </c>
      <c r="H927" t="n">
        <v>120</v>
      </c>
      <c r="I927" t="inlineStr">
        <is>
          <t>Oklahoma City Thunder</t>
        </is>
      </c>
      <c r="J927" t="inlineStr">
        <is>
          <t>Memphis Grizzlies</t>
        </is>
      </c>
      <c r="K927" t="inlineStr">
        <is>
          <t>Yes</t>
        </is>
      </c>
      <c r="L927" t="inlineStr"/>
      <c r="M927" t="inlineStr">
        <is>
          <t>https://fixturedownload.com/download/nba-2024-UTC.csv</t>
        </is>
      </c>
    </row>
    <row r="928">
      <c r="A928" t="n">
        <v>898</v>
      </c>
      <c r="B928" t="n">
        <v>18</v>
      </c>
      <c r="C928" t="inlineStr">
        <is>
          <t>06/03/2025 03:30</t>
        </is>
      </c>
      <c r="D928" t="inlineStr">
        <is>
          <t>Intuit Dome</t>
        </is>
      </c>
      <c r="E928" t="inlineStr">
        <is>
          <t>LA Clippers</t>
        </is>
      </c>
      <c r="F928" t="inlineStr">
        <is>
          <t>Detroit Pistons</t>
        </is>
      </c>
      <c r="G928" t="n">
        <v>123</v>
      </c>
      <c r="H928" t="n">
        <v>115</v>
      </c>
      <c r="I928" t="inlineStr">
        <is>
          <t>LA Clippers</t>
        </is>
      </c>
      <c r="J928" t="inlineStr">
        <is>
          <t>Detroit Pistons</t>
        </is>
      </c>
      <c r="K928" t="inlineStr">
        <is>
          <t>Yes</t>
        </is>
      </c>
      <c r="L928" t="inlineStr"/>
      <c r="M928" t="inlineStr">
        <is>
          <t>https://fixturedownload.com/download/nba-2024-UTC.csv</t>
        </is>
      </c>
    </row>
    <row r="929">
      <c r="A929" t="n">
        <v>944</v>
      </c>
      <c r="B929" t="n">
        <v>18</v>
      </c>
      <c r="C929" t="inlineStr">
        <is>
          <t>07/03/2025 00:00</t>
        </is>
      </c>
      <c r="D929" t="inlineStr">
        <is>
          <t>Kia Center</t>
        </is>
      </c>
      <c r="E929" t="inlineStr">
        <is>
          <t>Orlando Magic</t>
        </is>
      </c>
      <c r="F929" t="inlineStr">
        <is>
          <t>Chicago Bulls</t>
        </is>
      </c>
      <c r="G929" t="n">
        <v>123</v>
      </c>
      <c r="H929" t="n">
        <v>125</v>
      </c>
      <c r="I929" t="inlineStr">
        <is>
          <t>Chicago Bulls</t>
        </is>
      </c>
      <c r="J929" t="inlineStr">
        <is>
          <t>Orlando Magic</t>
        </is>
      </c>
      <c r="K929" t="inlineStr">
        <is>
          <t>Yes</t>
        </is>
      </c>
      <c r="L929" t="inlineStr"/>
      <c r="M929" t="inlineStr">
        <is>
          <t>https://fixturedownload.com/download/nba-2024-UTC.csv</t>
        </is>
      </c>
    </row>
    <row r="930">
      <c r="A930" t="n">
        <v>899</v>
      </c>
      <c r="B930" t="n">
        <v>18</v>
      </c>
      <c r="C930" t="inlineStr">
        <is>
          <t>07/03/2025 00:30</t>
        </is>
      </c>
      <c r="D930" t="inlineStr">
        <is>
          <t>State Farm Arena</t>
        </is>
      </c>
      <c r="E930" t="inlineStr">
        <is>
          <t>Atlanta Hawks</t>
        </is>
      </c>
      <c r="F930" t="inlineStr">
        <is>
          <t>Indiana Pacers</t>
        </is>
      </c>
      <c r="G930" t="n">
        <v>124</v>
      </c>
      <c r="H930" t="n">
        <v>118</v>
      </c>
      <c r="I930" t="inlineStr">
        <is>
          <t>Atlanta Hawks</t>
        </is>
      </c>
      <c r="J930" t="inlineStr">
        <is>
          <t>Indiana Pacers</t>
        </is>
      </c>
      <c r="K930" t="inlineStr">
        <is>
          <t>Yes</t>
        </is>
      </c>
      <c r="L930" t="inlineStr"/>
      <c r="M930" t="inlineStr">
        <is>
          <t>https://fixturedownload.com/download/nba-2024-UTC.csv</t>
        </is>
      </c>
    </row>
    <row r="931">
      <c r="A931" t="n">
        <v>900</v>
      </c>
      <c r="B931" t="n">
        <v>18</v>
      </c>
      <c r="C931" t="inlineStr">
        <is>
          <t>07/03/2025 00:30</t>
        </is>
      </c>
      <c r="D931" t="inlineStr">
        <is>
          <t>TD Garden</t>
        </is>
      </c>
      <c r="E931" t="inlineStr">
        <is>
          <t>Boston Celtics</t>
        </is>
      </c>
      <c r="F931" t="inlineStr">
        <is>
          <t>Philadelphia 76ers</t>
        </is>
      </c>
      <c r="G931" t="n">
        <v>123</v>
      </c>
      <c r="H931" t="n">
        <v>105</v>
      </c>
      <c r="I931" t="inlineStr">
        <is>
          <t>Boston Celtics</t>
        </is>
      </c>
      <c r="J931" t="inlineStr">
        <is>
          <t>Philadelphia 76ers</t>
        </is>
      </c>
      <c r="K931" t="inlineStr">
        <is>
          <t>Yes</t>
        </is>
      </c>
      <c r="L931" t="inlineStr"/>
      <c r="M931" t="inlineStr">
        <is>
          <t>https://fixturedownload.com/download/nba-2024-UTC.csv</t>
        </is>
      </c>
    </row>
    <row r="932">
      <c r="A932" t="n">
        <v>901</v>
      </c>
      <c r="B932" t="n">
        <v>18</v>
      </c>
      <c r="C932" t="inlineStr">
        <is>
          <t>07/03/2025 00:30</t>
        </is>
      </c>
      <c r="D932" t="inlineStr">
        <is>
          <t>Barclays Center</t>
        </is>
      </c>
      <c r="E932" t="inlineStr">
        <is>
          <t>Brooklyn Nets</t>
        </is>
      </c>
      <c r="F932" t="inlineStr">
        <is>
          <t>Golden State Warriors</t>
        </is>
      </c>
      <c r="G932" t="n">
        <v>119</v>
      </c>
      <c r="H932" t="n">
        <v>121</v>
      </c>
      <c r="I932" t="inlineStr">
        <is>
          <t>Golden State Warriors</t>
        </is>
      </c>
      <c r="J932" t="inlineStr">
        <is>
          <t>Brooklyn Nets</t>
        </is>
      </c>
      <c r="K932" t="inlineStr">
        <is>
          <t>Yes</t>
        </is>
      </c>
      <c r="L932" t="inlineStr"/>
      <c r="M932" t="inlineStr">
        <is>
          <t>https://fixturedownload.com/download/nba-2024-UTC.csv</t>
        </is>
      </c>
    </row>
    <row r="933">
      <c r="A933" t="n">
        <v>902</v>
      </c>
      <c r="B933" t="n">
        <v>18</v>
      </c>
      <c r="C933" t="inlineStr">
        <is>
          <t>07/03/2025 01:00</t>
        </is>
      </c>
      <c r="D933" t="inlineStr">
        <is>
          <t>Smoothie King Center</t>
        </is>
      </c>
      <c r="E933" t="inlineStr">
        <is>
          <t>New Orleans Pelicans</t>
        </is>
      </c>
      <c r="F933" t="inlineStr">
        <is>
          <t>Houston Rockets</t>
        </is>
      </c>
      <c r="G933" t="n">
        <v>97</v>
      </c>
      <c r="H933" t="n">
        <v>109</v>
      </c>
      <c r="I933" t="inlineStr">
        <is>
          <t>Houston Rockets</t>
        </is>
      </c>
      <c r="J933" t="inlineStr">
        <is>
          <t>New Orleans Pelicans</t>
        </is>
      </c>
      <c r="K933" t="inlineStr">
        <is>
          <t>Yes</t>
        </is>
      </c>
      <c r="L933" t="inlineStr"/>
      <c r="M933" t="inlineStr">
        <is>
          <t>https://fixturedownload.com/download/nba-2024-UTC.csv</t>
        </is>
      </c>
    </row>
    <row r="934">
      <c r="A934" t="n">
        <v>903</v>
      </c>
      <c r="B934" t="n">
        <v>18</v>
      </c>
      <c r="C934" t="inlineStr">
        <is>
          <t>07/03/2025 03:00</t>
        </is>
      </c>
      <c r="D934" t="inlineStr">
        <is>
          <t>Crypto.com Arena</t>
        </is>
      </c>
      <c r="E934" t="inlineStr">
        <is>
          <t>Los Angeles Lakers</t>
        </is>
      </c>
      <c r="F934" t="inlineStr">
        <is>
          <t>New York Knicks</t>
        </is>
      </c>
      <c r="G934" t="n">
        <v>113</v>
      </c>
      <c r="H934" t="n">
        <v>109</v>
      </c>
      <c r="I934" t="inlineStr">
        <is>
          <t>Los Angeles Lakers</t>
        </is>
      </c>
      <c r="J934" t="inlineStr">
        <is>
          <t>New York Knicks</t>
        </is>
      </c>
      <c r="K934" t="inlineStr">
        <is>
          <t>Yes</t>
        </is>
      </c>
      <c r="L934" t="inlineStr"/>
      <c r="M934" t="inlineStr">
        <is>
          <t>https://fixturedownload.com/download/nba-2024-UTC.csv</t>
        </is>
      </c>
    </row>
    <row r="935">
      <c r="A935" t="n">
        <v>904</v>
      </c>
      <c r="B935" t="n">
        <v>18</v>
      </c>
      <c r="C935" t="inlineStr">
        <is>
          <t>08/03/2025 00:00</t>
        </is>
      </c>
      <c r="D935" t="inlineStr">
        <is>
          <t>Spectrum Center</t>
        </is>
      </c>
      <c r="E935" t="inlineStr">
        <is>
          <t>Charlotte Hornets</t>
        </is>
      </c>
      <c r="F935" t="inlineStr">
        <is>
          <t>Cleveland Cavaliers</t>
        </is>
      </c>
      <c r="G935" t="n">
        <v>117</v>
      </c>
      <c r="H935" t="n">
        <v>118</v>
      </c>
      <c r="I935" t="inlineStr">
        <is>
          <t>Cleveland Cavaliers</t>
        </is>
      </c>
      <c r="J935" t="inlineStr">
        <is>
          <t>Charlotte Hornets</t>
        </is>
      </c>
      <c r="K935" t="inlineStr">
        <is>
          <t>Yes</t>
        </is>
      </c>
      <c r="L935" t="inlineStr"/>
      <c r="M935" t="inlineStr">
        <is>
          <t>https://fixturedownload.com/download/nba-2024-UTC.csv</t>
        </is>
      </c>
    </row>
    <row r="936">
      <c r="A936" t="n">
        <v>905</v>
      </c>
      <c r="B936" t="n">
        <v>18</v>
      </c>
      <c r="C936" t="inlineStr">
        <is>
          <t>08/03/2025 00:30</t>
        </is>
      </c>
      <c r="D936" t="inlineStr">
        <is>
          <t>Scotiabank Arena</t>
        </is>
      </c>
      <c r="E936" t="inlineStr">
        <is>
          <t>Toronto Raptors</t>
        </is>
      </c>
      <c r="F936" t="inlineStr">
        <is>
          <t>Utah Jazz</t>
        </is>
      </c>
      <c r="G936" t="n">
        <v>118</v>
      </c>
      <c r="H936" t="n">
        <v>109</v>
      </c>
      <c r="I936" t="inlineStr">
        <is>
          <t>Toronto Raptors</t>
        </is>
      </c>
      <c r="J936" t="inlineStr">
        <is>
          <t>Utah Jazz</t>
        </is>
      </c>
      <c r="K936" t="inlineStr">
        <is>
          <t>Yes</t>
        </is>
      </c>
      <c r="L936" t="inlineStr"/>
      <c r="M936" t="inlineStr">
        <is>
          <t>https://fixturedownload.com/download/nba-2024-UTC.csv</t>
        </is>
      </c>
    </row>
    <row r="937">
      <c r="A937" t="n">
        <v>906</v>
      </c>
      <c r="B937" t="n">
        <v>18</v>
      </c>
      <c r="C937" t="inlineStr">
        <is>
          <t>08/03/2025 00:30</t>
        </is>
      </c>
      <c r="D937" t="inlineStr">
        <is>
          <t>American Airlines Center</t>
        </is>
      </c>
      <c r="E937" t="inlineStr">
        <is>
          <t>Dallas Mavericks</t>
        </is>
      </c>
      <c r="F937" t="inlineStr">
        <is>
          <t>Memphis Grizzlies</t>
        </is>
      </c>
      <c r="G937" t="n">
        <v>111</v>
      </c>
      <c r="H937" t="n">
        <v>122</v>
      </c>
      <c r="I937" t="inlineStr">
        <is>
          <t>Memphis Grizzlies</t>
        </is>
      </c>
      <c r="J937" t="inlineStr">
        <is>
          <t>Dallas Mavericks</t>
        </is>
      </c>
      <c r="K937" t="inlineStr">
        <is>
          <t>Yes</t>
        </is>
      </c>
      <c r="L937" t="inlineStr"/>
      <c r="M937" t="inlineStr">
        <is>
          <t>https://fixturedownload.com/download/nba-2024-UTC.csv</t>
        </is>
      </c>
    </row>
    <row r="938">
      <c r="A938" t="n">
        <v>907</v>
      </c>
      <c r="B938" t="n">
        <v>18</v>
      </c>
      <c r="C938" t="inlineStr">
        <is>
          <t>08/03/2025 01:00</t>
        </is>
      </c>
      <c r="D938" t="inlineStr">
        <is>
          <t>Kaseya Center</t>
        </is>
      </c>
      <c r="E938" t="inlineStr">
        <is>
          <t>Miami Heat</t>
        </is>
      </c>
      <c r="F938" t="inlineStr">
        <is>
          <t>Minnesota Timberwolves</t>
        </is>
      </c>
      <c r="G938" t="n">
        <v>104</v>
      </c>
      <c r="H938" t="n">
        <v>106</v>
      </c>
      <c r="I938" t="inlineStr">
        <is>
          <t>Minnesota Timberwolves</t>
        </is>
      </c>
      <c r="J938" t="inlineStr">
        <is>
          <t>Miami Heat</t>
        </is>
      </c>
      <c r="K938" t="inlineStr">
        <is>
          <t>Yes</t>
        </is>
      </c>
      <c r="L938" t="inlineStr"/>
      <c r="M938" t="inlineStr">
        <is>
          <t>https://fixturedownload.com/download/nba-2024-UTC.csv</t>
        </is>
      </c>
    </row>
    <row r="939">
      <c r="A939" t="n">
        <v>908</v>
      </c>
      <c r="B939" t="n">
        <v>18</v>
      </c>
      <c r="C939" t="inlineStr">
        <is>
          <t>08/03/2025 01:00</t>
        </is>
      </c>
      <c r="D939" t="inlineStr">
        <is>
          <t>Paycom Center</t>
        </is>
      </c>
      <c r="E939" t="inlineStr">
        <is>
          <t>Oklahoma City Thunder</t>
        </is>
      </c>
      <c r="F939" t="inlineStr">
        <is>
          <t>Portland Trail Blazers</t>
        </is>
      </c>
      <c r="G939" t="n">
        <v>107</v>
      </c>
      <c r="H939" t="n">
        <v>89</v>
      </c>
      <c r="I939" t="inlineStr">
        <is>
          <t>Oklahoma City Thunder</t>
        </is>
      </c>
      <c r="J939" t="inlineStr">
        <is>
          <t>Portland Trail Blazers</t>
        </is>
      </c>
      <c r="K939" t="inlineStr">
        <is>
          <t>Yes</t>
        </is>
      </c>
      <c r="L939" t="inlineStr"/>
      <c r="M939" t="inlineStr">
        <is>
          <t>https://fixturedownload.com/download/nba-2024-UTC.csv</t>
        </is>
      </c>
    </row>
    <row r="940">
      <c r="A940" t="n">
        <v>909</v>
      </c>
      <c r="B940" t="n">
        <v>18</v>
      </c>
      <c r="C940" t="inlineStr">
        <is>
          <t>08/03/2025 03:00</t>
        </is>
      </c>
      <c r="D940" t="inlineStr">
        <is>
          <t>Ball Arena</t>
        </is>
      </c>
      <c r="E940" t="inlineStr">
        <is>
          <t>Denver Nuggets</t>
        </is>
      </c>
      <c r="F940" t="inlineStr">
        <is>
          <t>Phoenix Suns</t>
        </is>
      </c>
      <c r="G940" t="n">
        <v>149</v>
      </c>
      <c r="H940" t="n">
        <v>141</v>
      </c>
      <c r="I940" t="inlineStr">
        <is>
          <t>Denver Nuggets</t>
        </is>
      </c>
      <c r="J940" t="inlineStr">
        <is>
          <t>Phoenix Suns</t>
        </is>
      </c>
      <c r="K940" t="inlineStr">
        <is>
          <t>Yes</t>
        </is>
      </c>
      <c r="L940" t="inlineStr"/>
      <c r="M940" t="inlineStr">
        <is>
          <t>https://fixturedownload.com/download/nba-2024-UTC.csv</t>
        </is>
      </c>
    </row>
    <row r="941">
      <c r="A941" t="n">
        <v>910</v>
      </c>
      <c r="B941" t="n">
        <v>18</v>
      </c>
      <c r="C941" t="inlineStr">
        <is>
          <t>08/03/2025 03:00</t>
        </is>
      </c>
      <c r="D941" t="inlineStr">
        <is>
          <t>Golden 1 Center</t>
        </is>
      </c>
      <c r="E941" t="inlineStr">
        <is>
          <t>Sacramento Kings</t>
        </is>
      </c>
      <c r="F941" t="inlineStr">
        <is>
          <t>San Antonio Spurs</t>
        </is>
      </c>
      <c r="G941" t="n">
        <v>127</v>
      </c>
      <c r="H941" t="n">
        <v>109</v>
      </c>
      <c r="I941" t="inlineStr">
        <is>
          <t>Sacramento Kings</t>
        </is>
      </c>
      <c r="J941" t="inlineStr">
        <is>
          <t>San Antonio Spurs</t>
        </is>
      </c>
      <c r="K941" t="inlineStr">
        <is>
          <t>Yes</t>
        </is>
      </c>
      <c r="L941" t="inlineStr"/>
      <c r="M941" t="inlineStr">
        <is>
          <t>https://fixturedownload.com/download/nba-2024-UTC.csv</t>
        </is>
      </c>
    </row>
    <row r="942">
      <c r="A942" t="n">
        <v>911</v>
      </c>
      <c r="B942" t="n">
        <v>18</v>
      </c>
      <c r="C942" t="inlineStr">
        <is>
          <t>08/03/2025 03:30</t>
        </is>
      </c>
      <c r="D942" t="inlineStr">
        <is>
          <t>Intuit Dome</t>
        </is>
      </c>
      <c r="E942" t="inlineStr">
        <is>
          <t>LA Clippers</t>
        </is>
      </c>
      <c r="F942" t="inlineStr">
        <is>
          <t>New York Knicks</t>
        </is>
      </c>
      <c r="G942" t="n">
        <v>105</v>
      </c>
      <c r="H942" t="n">
        <v>95</v>
      </c>
      <c r="I942" t="inlineStr">
        <is>
          <t>LA Clippers</t>
        </is>
      </c>
      <c r="J942" t="inlineStr">
        <is>
          <t>New York Knicks</t>
        </is>
      </c>
      <c r="K942" t="inlineStr">
        <is>
          <t>Yes</t>
        </is>
      </c>
      <c r="L942" t="inlineStr"/>
      <c r="M942" t="inlineStr">
        <is>
          <t>https://fixturedownload.com/download/nba-2024-UTC.csv</t>
        </is>
      </c>
    </row>
    <row r="943">
      <c r="A943" t="n">
        <v>912</v>
      </c>
      <c r="B943" t="n">
        <v>18</v>
      </c>
      <c r="C943" t="inlineStr">
        <is>
          <t>08/03/2025 23:00</t>
        </is>
      </c>
      <c r="D943" t="inlineStr">
        <is>
          <t>Spectrum Center</t>
        </is>
      </c>
      <c r="E943" t="inlineStr">
        <is>
          <t>Charlotte Hornets</t>
        </is>
      </c>
      <c r="F943" t="inlineStr">
        <is>
          <t>Brooklyn Nets</t>
        </is>
      </c>
      <c r="G943" t="n">
        <v>105</v>
      </c>
      <c r="H943" t="n">
        <v>102</v>
      </c>
      <c r="I943" t="inlineStr">
        <is>
          <t>Charlotte Hornets</t>
        </is>
      </c>
      <c r="J943" t="inlineStr">
        <is>
          <t>Brooklyn Nets</t>
        </is>
      </c>
      <c r="K943" t="inlineStr">
        <is>
          <t>Yes</t>
        </is>
      </c>
      <c r="L943" t="inlineStr"/>
      <c r="M943" t="inlineStr">
        <is>
          <t>https://fixturedownload.com/download/nba-2024-UTC.csv</t>
        </is>
      </c>
    </row>
    <row r="944">
      <c r="A944" t="n">
        <v>913</v>
      </c>
      <c r="B944" t="n">
        <v>18</v>
      </c>
      <c r="C944" t="inlineStr">
        <is>
          <t>09/03/2025 00:00</t>
        </is>
      </c>
      <c r="D944" t="inlineStr">
        <is>
          <t>Toyota Center</t>
        </is>
      </c>
      <c r="E944" t="inlineStr">
        <is>
          <t>Houston Rockets</t>
        </is>
      </c>
      <c r="F944" t="inlineStr">
        <is>
          <t>New Orleans Pelicans</t>
        </is>
      </c>
      <c r="G944" t="n">
        <v>146</v>
      </c>
      <c r="H944" t="n">
        <v>117</v>
      </c>
      <c r="I944" t="inlineStr">
        <is>
          <t>Houston Rockets</t>
        </is>
      </c>
      <c r="J944" t="inlineStr">
        <is>
          <t>New Orleans Pelicans</t>
        </is>
      </c>
      <c r="K944" t="inlineStr">
        <is>
          <t>Yes</t>
        </is>
      </c>
      <c r="L944" t="inlineStr"/>
      <c r="M944" t="inlineStr">
        <is>
          <t>https://fixturedownload.com/download/nba-2024-UTC.csv</t>
        </is>
      </c>
    </row>
    <row r="945">
      <c r="A945" t="n">
        <v>914</v>
      </c>
      <c r="B945" t="n">
        <v>18</v>
      </c>
      <c r="C945" t="inlineStr">
        <is>
          <t>09/03/2025 00:30</t>
        </is>
      </c>
      <c r="D945" t="inlineStr">
        <is>
          <t>State Farm Arena</t>
        </is>
      </c>
      <c r="E945" t="inlineStr">
        <is>
          <t>Atlanta Hawks</t>
        </is>
      </c>
      <c r="F945" t="inlineStr">
        <is>
          <t>Indiana Pacers</t>
        </is>
      </c>
      <c r="G945" t="n">
        <v>120</v>
      </c>
      <c r="H945" t="n">
        <v>118</v>
      </c>
      <c r="I945" t="inlineStr">
        <is>
          <t>Atlanta Hawks</t>
        </is>
      </c>
      <c r="J945" t="inlineStr">
        <is>
          <t>Indiana Pacers</t>
        </is>
      </c>
      <c r="K945" t="inlineStr">
        <is>
          <t>Yes</t>
        </is>
      </c>
      <c r="L945" t="inlineStr"/>
      <c r="M945" t="inlineStr">
        <is>
          <t>https://fixturedownload.com/download/nba-2024-UTC.csv</t>
        </is>
      </c>
    </row>
    <row r="946">
      <c r="A946" t="n">
        <v>915</v>
      </c>
      <c r="B946" t="n">
        <v>18</v>
      </c>
      <c r="C946" t="inlineStr">
        <is>
          <t>09/03/2025 00:30</t>
        </is>
      </c>
      <c r="D946" t="inlineStr">
        <is>
          <t>Scotiabank Arena</t>
        </is>
      </c>
      <c r="E946" t="inlineStr">
        <is>
          <t>Toronto Raptors</t>
        </is>
      </c>
      <c r="F946" t="inlineStr">
        <is>
          <t>Washington Wizards</t>
        </is>
      </c>
      <c r="G946" t="n">
        <v>117</v>
      </c>
      <c r="H946" t="n">
        <v>118</v>
      </c>
      <c r="I946" t="inlineStr">
        <is>
          <t>Washington Wizards</t>
        </is>
      </c>
      <c r="J946" t="inlineStr">
        <is>
          <t>Toronto Raptors</t>
        </is>
      </c>
      <c r="K946" t="inlineStr">
        <is>
          <t>Yes</t>
        </is>
      </c>
      <c r="L946" t="inlineStr"/>
      <c r="M946" t="inlineStr">
        <is>
          <t>https://fixturedownload.com/download/nba-2024-UTC.csv</t>
        </is>
      </c>
    </row>
    <row r="947">
      <c r="A947" t="n">
        <v>916</v>
      </c>
      <c r="B947" t="n">
        <v>18</v>
      </c>
      <c r="C947" t="inlineStr">
        <is>
          <t>09/03/2025 01:00</t>
        </is>
      </c>
      <c r="D947" t="inlineStr">
        <is>
          <t>Kaseya Center</t>
        </is>
      </c>
      <c r="E947" t="inlineStr">
        <is>
          <t>Miami Heat</t>
        </is>
      </c>
      <c r="F947" t="inlineStr">
        <is>
          <t>Chicago Bulls</t>
        </is>
      </c>
      <c r="G947" t="n">
        <v>109</v>
      </c>
      <c r="H947" t="n">
        <v>114</v>
      </c>
      <c r="I947" t="inlineStr">
        <is>
          <t>Chicago Bulls</t>
        </is>
      </c>
      <c r="J947" t="inlineStr">
        <is>
          <t>Miami Heat</t>
        </is>
      </c>
      <c r="K947" t="inlineStr">
        <is>
          <t>Yes</t>
        </is>
      </c>
      <c r="L947" t="inlineStr"/>
      <c r="M947" t="inlineStr">
        <is>
          <t>https://fixturedownload.com/download/nba-2024-UTC.csv</t>
        </is>
      </c>
    </row>
    <row r="948">
      <c r="A948" t="n">
        <v>917</v>
      </c>
      <c r="B948" t="n">
        <v>18</v>
      </c>
      <c r="C948" t="inlineStr">
        <is>
          <t>09/03/2025 01:00</t>
        </is>
      </c>
      <c r="D948" t="inlineStr">
        <is>
          <t>Fiserv Forum</t>
        </is>
      </c>
      <c r="E948" t="inlineStr">
        <is>
          <t>Milwaukee Bucks</t>
        </is>
      </c>
      <c r="F948" t="inlineStr">
        <is>
          <t>Orlando Magic</t>
        </is>
      </c>
      <c r="G948" t="n">
        <v>109</v>
      </c>
      <c r="H948" t="n">
        <v>111</v>
      </c>
      <c r="I948" t="inlineStr">
        <is>
          <t>Orlando Magic</t>
        </is>
      </c>
      <c r="J948" t="inlineStr">
        <is>
          <t>Milwaukee Bucks</t>
        </is>
      </c>
      <c r="K948" t="inlineStr">
        <is>
          <t>Yes</t>
        </is>
      </c>
      <c r="L948" t="inlineStr"/>
      <c r="M948" t="inlineStr">
        <is>
          <t>https://fixturedownload.com/download/nba-2024-UTC.csv</t>
        </is>
      </c>
    </row>
    <row r="949">
      <c r="A949" t="n">
        <v>918</v>
      </c>
      <c r="B949" t="n">
        <v>18</v>
      </c>
      <c r="C949" t="inlineStr">
        <is>
          <t>09/03/2025 01:30</t>
        </is>
      </c>
      <c r="D949" t="inlineStr">
        <is>
          <t>TD Garden</t>
        </is>
      </c>
      <c r="E949" t="inlineStr">
        <is>
          <t>Boston Celtics</t>
        </is>
      </c>
      <c r="F949" t="inlineStr">
        <is>
          <t>Los Angeles Lakers</t>
        </is>
      </c>
      <c r="G949" t="n">
        <v>111</v>
      </c>
      <c r="H949" t="n">
        <v>101</v>
      </c>
      <c r="I949" t="inlineStr">
        <is>
          <t>Boston Celtics</t>
        </is>
      </c>
      <c r="J949" t="inlineStr">
        <is>
          <t>Los Angeles Lakers</t>
        </is>
      </c>
      <c r="K949" t="inlineStr">
        <is>
          <t>Yes</t>
        </is>
      </c>
      <c r="L949" t="inlineStr"/>
      <c r="M949" t="inlineStr">
        <is>
          <t>https://fixturedownload.com/download/nba-2024-UTC.csv</t>
        </is>
      </c>
    </row>
    <row r="950">
      <c r="A950" t="n">
        <v>919</v>
      </c>
      <c r="B950" t="n">
        <v>18</v>
      </c>
      <c r="C950" t="inlineStr">
        <is>
          <t>09/03/2025 01:30</t>
        </is>
      </c>
      <c r="D950" t="inlineStr">
        <is>
          <t>Chase Center</t>
        </is>
      </c>
      <c r="E950" t="inlineStr">
        <is>
          <t>Golden State Warriors</t>
        </is>
      </c>
      <c r="F950" t="inlineStr">
        <is>
          <t>Detroit Pistons</t>
        </is>
      </c>
      <c r="G950" t="n">
        <v>115</v>
      </c>
      <c r="H950" t="n">
        <v>110</v>
      </c>
      <c r="I950" t="inlineStr">
        <is>
          <t>Golden State Warriors</t>
        </is>
      </c>
      <c r="J950" t="inlineStr">
        <is>
          <t>Detroit Pistons</t>
        </is>
      </c>
      <c r="K950" t="inlineStr">
        <is>
          <t>Yes</t>
        </is>
      </c>
      <c r="L950" t="inlineStr"/>
      <c r="M950" t="inlineStr">
        <is>
          <t>https://fixturedownload.com/download/nba-2024-UTC.csv</t>
        </is>
      </c>
    </row>
    <row r="951">
      <c r="A951" t="n">
        <v>920</v>
      </c>
      <c r="B951" t="n">
        <v>18</v>
      </c>
      <c r="C951" t="inlineStr">
        <is>
          <t>09/03/2025 17:00</t>
        </is>
      </c>
      <c r="D951" t="inlineStr">
        <is>
          <t>Paycom Center</t>
        </is>
      </c>
      <c r="E951" t="inlineStr">
        <is>
          <t>Oklahoma City Thunder</t>
        </is>
      </c>
      <c r="F951" t="inlineStr">
        <is>
          <t>Denver Nuggets</t>
        </is>
      </c>
      <c r="G951" t="n">
        <v>127</v>
      </c>
      <c r="H951" t="n">
        <v>103</v>
      </c>
      <c r="I951" t="inlineStr">
        <is>
          <t>Oklahoma City Thunder</t>
        </is>
      </c>
      <c r="J951" t="inlineStr">
        <is>
          <t>Denver Nuggets</t>
        </is>
      </c>
      <c r="K951" t="inlineStr">
        <is>
          <t>Yes</t>
        </is>
      </c>
      <c r="L951" t="inlineStr"/>
      <c r="M951" t="inlineStr">
        <is>
          <t>https://fixturedownload.com/download/nba-2024-UTC.csv</t>
        </is>
      </c>
    </row>
    <row r="952">
      <c r="A952" t="n">
        <v>921</v>
      </c>
      <c r="B952" t="n">
        <v>18</v>
      </c>
      <c r="C952" t="inlineStr">
        <is>
          <t>09/03/2025 19:30</t>
        </is>
      </c>
      <c r="D952" t="inlineStr">
        <is>
          <t>American Airlines Center</t>
        </is>
      </c>
      <c r="E952" t="inlineStr">
        <is>
          <t>Dallas Mavericks</t>
        </is>
      </c>
      <c r="F952" t="inlineStr">
        <is>
          <t>Phoenix Suns</t>
        </is>
      </c>
      <c r="G952" t="n">
        <v>116</v>
      </c>
      <c r="H952" t="n">
        <v>125</v>
      </c>
      <c r="I952" t="inlineStr">
        <is>
          <t>Phoenix Suns</t>
        </is>
      </c>
      <c r="J952" t="inlineStr">
        <is>
          <t>Dallas Mavericks</t>
        </is>
      </c>
      <c r="K952" t="inlineStr">
        <is>
          <t>Yes</t>
        </is>
      </c>
      <c r="L952" t="inlineStr"/>
      <c r="M952" t="inlineStr">
        <is>
          <t>https://fixturedownload.com/download/nba-2024-UTC.csv</t>
        </is>
      </c>
    </row>
    <row r="953">
      <c r="A953" t="n">
        <v>923</v>
      </c>
      <c r="B953" t="n">
        <v>18</v>
      </c>
      <c r="C953" t="inlineStr">
        <is>
          <t>09/03/2025 23:00</t>
        </is>
      </c>
      <c r="D953" t="inlineStr">
        <is>
          <t>Smoothie King Center</t>
        </is>
      </c>
      <c r="E953" t="inlineStr">
        <is>
          <t>New Orleans Pelicans</t>
        </is>
      </c>
      <c r="F953" t="inlineStr">
        <is>
          <t>Memphis Grizzlies</t>
        </is>
      </c>
      <c r="G953" t="n">
        <v>104</v>
      </c>
      <c r="H953" t="n">
        <v>107</v>
      </c>
      <c r="I953" t="inlineStr">
        <is>
          <t>Memphis Grizzlies</t>
        </is>
      </c>
      <c r="J953" t="inlineStr">
        <is>
          <t>New Orleans Pelicans</t>
        </is>
      </c>
      <c r="K953" t="inlineStr">
        <is>
          <t>Yes</t>
        </is>
      </c>
      <c r="L953" t="inlineStr"/>
      <c r="M953" t="inlineStr">
        <is>
          <t>https://fixturedownload.com/download/nba-2024-UTC.csv</t>
        </is>
      </c>
    </row>
    <row r="954">
      <c r="A954" t="n">
        <v>924</v>
      </c>
      <c r="B954" t="n">
        <v>18</v>
      </c>
      <c r="C954" t="inlineStr">
        <is>
          <t>09/03/2025 23:30</t>
        </is>
      </c>
      <c r="D954" t="inlineStr">
        <is>
          <t>Wells Fargo Center</t>
        </is>
      </c>
      <c r="E954" t="inlineStr">
        <is>
          <t>Philadelphia 76ers</t>
        </is>
      </c>
      <c r="F954" t="inlineStr">
        <is>
          <t>Utah Jazz</t>
        </is>
      </c>
      <c r="G954" t="n">
        <v>126</v>
      </c>
      <c r="H954" t="n">
        <v>122</v>
      </c>
      <c r="I954" t="inlineStr">
        <is>
          <t>Philadelphia 76ers</t>
        </is>
      </c>
      <c r="J954" t="inlineStr">
        <is>
          <t>Utah Jazz</t>
        </is>
      </c>
      <c r="K954" t="inlineStr">
        <is>
          <t>Yes</t>
        </is>
      </c>
      <c r="L954" t="inlineStr"/>
      <c r="M954" t="inlineStr">
        <is>
          <t>https://fixturedownload.com/download/nba-2024-UTC.csv</t>
        </is>
      </c>
    </row>
    <row r="955">
      <c r="A955" t="n">
        <v>922</v>
      </c>
      <c r="B955" t="n">
        <v>18</v>
      </c>
      <c r="C955" t="inlineStr">
        <is>
          <t>10/03/2025 00:00</t>
        </is>
      </c>
      <c r="D955" t="inlineStr">
        <is>
          <t>Fiserv Forum</t>
        </is>
      </c>
      <c r="E955" t="inlineStr">
        <is>
          <t>Milwaukee Bucks</t>
        </is>
      </c>
      <c r="F955" t="inlineStr">
        <is>
          <t>Cleveland Cavaliers</t>
        </is>
      </c>
      <c r="G955" t="n">
        <v>100</v>
      </c>
      <c r="H955" t="n">
        <v>112</v>
      </c>
      <c r="I955" t="inlineStr">
        <is>
          <t>Cleveland Cavaliers</t>
        </is>
      </c>
      <c r="J955" t="inlineStr">
        <is>
          <t>Milwaukee Bucks</t>
        </is>
      </c>
      <c r="K955" t="inlineStr">
        <is>
          <t>Yes</t>
        </is>
      </c>
      <c r="L955" t="inlineStr"/>
      <c r="M955" t="inlineStr">
        <is>
          <t>https://fixturedownload.com/download/nba-2024-UTC.csv</t>
        </is>
      </c>
    </row>
    <row r="956">
      <c r="A956" t="n">
        <v>925</v>
      </c>
      <c r="B956" t="n">
        <v>18</v>
      </c>
      <c r="C956" t="inlineStr">
        <is>
          <t>10/03/2025 00:00</t>
        </is>
      </c>
      <c r="D956" t="inlineStr">
        <is>
          <t>Target Center</t>
        </is>
      </c>
      <c r="E956" t="inlineStr">
        <is>
          <t>Minnesota Timberwolves</t>
        </is>
      </c>
      <c r="F956" t="inlineStr">
        <is>
          <t>San Antonio Spurs</t>
        </is>
      </c>
      <c r="G956" t="n">
        <v>141</v>
      </c>
      <c r="H956" t="n">
        <v>124</v>
      </c>
      <c r="I956" t="inlineStr">
        <is>
          <t>Minnesota Timberwolves</t>
        </is>
      </c>
      <c r="J956" t="inlineStr">
        <is>
          <t>San Antonio Spurs</t>
        </is>
      </c>
      <c r="K956" t="inlineStr">
        <is>
          <t>Yes</t>
        </is>
      </c>
      <c r="L956" t="inlineStr"/>
      <c r="M956" t="inlineStr">
        <is>
          <t>https://fixturedownload.com/download/nba-2024-UTC.csv</t>
        </is>
      </c>
    </row>
    <row r="957">
      <c r="A957" t="n">
        <v>926</v>
      </c>
      <c r="B957" t="n">
        <v>18</v>
      </c>
      <c r="C957" t="inlineStr">
        <is>
          <t>10/03/2025 01:00</t>
        </is>
      </c>
      <c r="D957" t="inlineStr">
        <is>
          <t>Moda Center</t>
        </is>
      </c>
      <c r="E957" t="inlineStr">
        <is>
          <t>Portland Trail Blazers</t>
        </is>
      </c>
      <c r="F957" t="inlineStr">
        <is>
          <t>Detroit Pistons</t>
        </is>
      </c>
      <c r="G957" t="n">
        <v>112</v>
      </c>
      <c r="H957" t="n">
        <v>119</v>
      </c>
      <c r="I957" t="inlineStr">
        <is>
          <t>Detroit Pistons</t>
        </is>
      </c>
      <c r="J957" t="inlineStr">
        <is>
          <t>Portland Trail Blazers</t>
        </is>
      </c>
      <c r="K957" t="inlineStr">
        <is>
          <t>Yes</t>
        </is>
      </c>
      <c r="L957" t="inlineStr"/>
      <c r="M957" t="inlineStr">
        <is>
          <t>https://fixturedownload.com/download/nba-2024-UTC.csv</t>
        </is>
      </c>
    </row>
    <row r="958">
      <c r="A958" t="n">
        <v>927</v>
      </c>
      <c r="B958" t="n">
        <v>18</v>
      </c>
      <c r="C958" t="inlineStr">
        <is>
          <t>10/03/2025 01:30</t>
        </is>
      </c>
      <c r="D958" t="inlineStr">
        <is>
          <t>Intuit Dome</t>
        </is>
      </c>
      <c r="E958" t="inlineStr">
        <is>
          <t>LA Clippers</t>
        </is>
      </c>
      <c r="F958" t="inlineStr">
        <is>
          <t>Sacramento Kings</t>
        </is>
      </c>
      <c r="G958" t="n">
        <v>111</v>
      </c>
      <c r="H958" t="n">
        <v>110</v>
      </c>
      <c r="I958" t="inlineStr">
        <is>
          <t>LA Clippers</t>
        </is>
      </c>
      <c r="J958" t="inlineStr">
        <is>
          <t>Sacramento Kings</t>
        </is>
      </c>
      <c r="K958" t="inlineStr">
        <is>
          <t>Yes</t>
        </is>
      </c>
      <c r="L958" t="inlineStr"/>
      <c r="M958" t="inlineStr">
        <is>
          <t>https://fixturedownload.com/download/nba-2024-UTC.csv</t>
        </is>
      </c>
    </row>
    <row r="959">
      <c r="A959" t="n">
        <v>928</v>
      </c>
      <c r="B959" t="n">
        <v>18</v>
      </c>
      <c r="C959" t="inlineStr">
        <is>
          <t>10/03/2025 23:30</t>
        </is>
      </c>
      <c r="D959" t="inlineStr">
        <is>
          <t>State Farm Arena</t>
        </is>
      </c>
      <c r="E959" t="inlineStr">
        <is>
          <t>Atlanta Hawks</t>
        </is>
      </c>
      <c r="F959" t="inlineStr">
        <is>
          <t>Philadelphia 76ers</t>
        </is>
      </c>
      <c r="G959" t="n">
        <v>132</v>
      </c>
      <c r="H959" t="n">
        <v>123</v>
      </c>
      <c r="I959" t="inlineStr">
        <is>
          <t>Atlanta Hawks</t>
        </is>
      </c>
      <c r="J959" t="inlineStr">
        <is>
          <t>Philadelphia 76ers</t>
        </is>
      </c>
      <c r="K959" t="inlineStr">
        <is>
          <t>Yes</t>
        </is>
      </c>
      <c r="L959" t="inlineStr"/>
      <c r="M959" t="inlineStr">
        <is>
          <t>https://fixturedownload.com/download/nba-2024-UTC.csv</t>
        </is>
      </c>
    </row>
    <row r="960">
      <c r="A960" t="n">
        <v>929</v>
      </c>
      <c r="B960" t="n">
        <v>18</v>
      </c>
      <c r="C960" t="inlineStr">
        <is>
          <t>10/03/2025 23:30</t>
        </is>
      </c>
      <c r="D960" t="inlineStr">
        <is>
          <t>TD Garden</t>
        </is>
      </c>
      <c r="E960" t="inlineStr">
        <is>
          <t>Boston Celtics</t>
        </is>
      </c>
      <c r="F960" t="inlineStr">
        <is>
          <t>Utah Jazz</t>
        </is>
      </c>
      <c r="G960" t="n">
        <v>114</v>
      </c>
      <c r="H960" t="n">
        <v>108</v>
      </c>
      <c r="I960" t="inlineStr">
        <is>
          <t>Boston Celtics</t>
        </is>
      </c>
      <c r="J960" t="inlineStr">
        <is>
          <t>Utah Jazz</t>
        </is>
      </c>
      <c r="K960" t="inlineStr">
        <is>
          <t>Yes</t>
        </is>
      </c>
      <c r="L960" t="inlineStr"/>
      <c r="M960" t="inlineStr">
        <is>
          <t>https://fixturedownload.com/download/nba-2024-UTC.csv</t>
        </is>
      </c>
    </row>
    <row r="961">
      <c r="A961" t="n">
        <v>930</v>
      </c>
      <c r="B961" t="n">
        <v>18</v>
      </c>
      <c r="C961" t="inlineStr">
        <is>
          <t>10/03/2025 23:30</t>
        </is>
      </c>
      <c r="D961" t="inlineStr">
        <is>
          <t>Barclays Center</t>
        </is>
      </c>
      <c r="E961" t="inlineStr">
        <is>
          <t>Brooklyn Nets</t>
        </is>
      </c>
      <c r="F961" t="inlineStr">
        <is>
          <t>Los Angeles Lakers</t>
        </is>
      </c>
      <c r="G961" t="n">
        <v>111</v>
      </c>
      <c r="H961" t="n">
        <v>108</v>
      </c>
      <c r="I961" t="inlineStr">
        <is>
          <t>Brooklyn Nets</t>
        </is>
      </c>
      <c r="J961" t="inlineStr">
        <is>
          <t>Los Angeles Lakers</t>
        </is>
      </c>
      <c r="K961" t="inlineStr">
        <is>
          <t>Yes</t>
        </is>
      </c>
      <c r="L961" t="inlineStr"/>
      <c r="M961" t="inlineStr">
        <is>
          <t>https://fixturedownload.com/download/nba-2024-UTC.csv</t>
        </is>
      </c>
    </row>
    <row r="962">
      <c r="A962" t="n">
        <v>931</v>
      </c>
      <c r="B962" t="n">
        <v>18</v>
      </c>
      <c r="C962" t="inlineStr">
        <is>
          <t>10/03/2025 23:30</t>
        </is>
      </c>
      <c r="D962" t="inlineStr">
        <is>
          <t>Kaseya Center</t>
        </is>
      </c>
      <c r="E962" t="inlineStr">
        <is>
          <t>Miami Heat</t>
        </is>
      </c>
      <c r="F962" t="inlineStr">
        <is>
          <t>Charlotte Hornets</t>
        </is>
      </c>
      <c r="G962" t="n">
        <v>102</v>
      </c>
      <c r="H962" t="n">
        <v>105</v>
      </c>
      <c r="I962" t="inlineStr">
        <is>
          <t>Charlotte Hornets</t>
        </is>
      </c>
      <c r="J962" t="inlineStr">
        <is>
          <t>Miami Heat</t>
        </is>
      </c>
      <c r="K962" t="inlineStr">
        <is>
          <t>Yes</t>
        </is>
      </c>
      <c r="L962" t="inlineStr"/>
      <c r="M962" t="inlineStr">
        <is>
          <t>https://fixturedownload.com/download/nba-2024-UTC.csv</t>
        </is>
      </c>
    </row>
    <row r="963">
      <c r="A963" t="n">
        <v>932</v>
      </c>
      <c r="B963" t="n">
        <v>18</v>
      </c>
      <c r="C963" t="inlineStr">
        <is>
          <t>10/03/2025 23:30</t>
        </is>
      </c>
      <c r="D963" t="inlineStr">
        <is>
          <t>Scotiabank Arena</t>
        </is>
      </c>
      <c r="E963" t="inlineStr">
        <is>
          <t>Toronto Raptors</t>
        </is>
      </c>
      <c r="F963" t="inlineStr">
        <is>
          <t>Washington Wizards</t>
        </is>
      </c>
      <c r="G963" t="n">
        <v>119</v>
      </c>
      <c r="H963" t="n">
        <v>104</v>
      </c>
      <c r="I963" t="inlineStr">
        <is>
          <t>Toronto Raptors</t>
        </is>
      </c>
      <c r="J963" t="inlineStr">
        <is>
          <t>Washington Wizards</t>
        </is>
      </c>
      <c r="K963" t="inlineStr">
        <is>
          <t>Yes</t>
        </is>
      </c>
      <c r="L963" t="inlineStr"/>
      <c r="M963" t="inlineStr">
        <is>
          <t>https://fixturedownload.com/download/nba-2024-UTC.csv</t>
        </is>
      </c>
    </row>
    <row r="964">
      <c r="A964" t="n">
        <v>933</v>
      </c>
      <c r="B964" t="n">
        <v>18</v>
      </c>
      <c r="C964" t="inlineStr">
        <is>
          <t>11/03/2025 00:00</t>
        </is>
      </c>
      <c r="D964" t="inlineStr">
        <is>
          <t>United Center</t>
        </is>
      </c>
      <c r="E964" t="inlineStr">
        <is>
          <t>Chicago Bulls</t>
        </is>
      </c>
      <c r="F964" t="inlineStr">
        <is>
          <t>Indiana Pacers</t>
        </is>
      </c>
      <c r="G964" t="n">
        <v>121</v>
      </c>
      <c r="H964" t="n">
        <v>103</v>
      </c>
      <c r="I964" t="inlineStr">
        <is>
          <t>Chicago Bulls</t>
        </is>
      </c>
      <c r="J964" t="inlineStr">
        <is>
          <t>Indiana Pacers</t>
        </is>
      </c>
      <c r="K964" t="inlineStr">
        <is>
          <t>Yes</t>
        </is>
      </c>
      <c r="L964" t="inlineStr"/>
      <c r="M964" t="inlineStr">
        <is>
          <t>https://fixturedownload.com/download/nba-2024-UTC.csv</t>
        </is>
      </c>
    </row>
    <row r="965">
      <c r="A965" t="n">
        <v>934</v>
      </c>
      <c r="B965" t="n">
        <v>18</v>
      </c>
      <c r="C965" t="inlineStr">
        <is>
          <t>11/03/2025 00:00</t>
        </is>
      </c>
      <c r="D965" t="inlineStr">
        <is>
          <t>Toyota Center</t>
        </is>
      </c>
      <c r="E965" t="inlineStr">
        <is>
          <t>Houston Rockets</t>
        </is>
      </c>
      <c r="F965" t="inlineStr">
        <is>
          <t>Orlando Magic</t>
        </is>
      </c>
      <c r="G965" t="n">
        <v>97</v>
      </c>
      <c r="H965" t="n">
        <v>84</v>
      </c>
      <c r="I965" t="inlineStr">
        <is>
          <t>Houston Rockets</t>
        </is>
      </c>
      <c r="J965" t="inlineStr">
        <is>
          <t>Orlando Magic</t>
        </is>
      </c>
      <c r="K965" t="inlineStr">
        <is>
          <t>Yes</t>
        </is>
      </c>
      <c r="L965" t="inlineStr"/>
      <c r="M965" t="inlineStr">
        <is>
          <t>https://fixturedownload.com/download/nba-2024-UTC.csv</t>
        </is>
      </c>
    </row>
    <row r="966">
      <c r="A966" t="n">
        <v>935</v>
      </c>
      <c r="B966" t="n">
        <v>18</v>
      </c>
      <c r="C966" t="inlineStr">
        <is>
          <t>11/03/2025 00:00</t>
        </is>
      </c>
      <c r="D966" t="inlineStr">
        <is>
          <t>FedExForum</t>
        </is>
      </c>
      <c r="E966" t="inlineStr">
        <is>
          <t>Memphis Grizzlies</t>
        </is>
      </c>
      <c r="F966" t="inlineStr">
        <is>
          <t>Phoenix Suns</t>
        </is>
      </c>
      <c r="G966" t="n">
        <v>120</v>
      </c>
      <c r="H966" t="n">
        <v>118</v>
      </c>
      <c r="I966" t="inlineStr">
        <is>
          <t>Memphis Grizzlies</t>
        </is>
      </c>
      <c r="J966" t="inlineStr">
        <is>
          <t>Phoenix Suns</t>
        </is>
      </c>
      <c r="K966" t="inlineStr">
        <is>
          <t>Yes</t>
        </is>
      </c>
      <c r="L966" t="inlineStr"/>
      <c r="M966" t="inlineStr">
        <is>
          <t>https://fixturedownload.com/download/nba-2024-UTC.csv</t>
        </is>
      </c>
    </row>
    <row r="967">
      <c r="A967" t="n">
        <v>936</v>
      </c>
      <c r="B967" t="n">
        <v>18</v>
      </c>
      <c r="C967" t="inlineStr">
        <is>
          <t>11/03/2025 00:00</t>
        </is>
      </c>
      <c r="D967" t="inlineStr">
        <is>
          <t>Paycom Center</t>
        </is>
      </c>
      <c r="E967" t="inlineStr">
        <is>
          <t>Oklahoma City Thunder</t>
        </is>
      </c>
      <c r="F967" t="inlineStr">
        <is>
          <t>Denver Nuggets</t>
        </is>
      </c>
      <c r="G967" t="n">
        <v>127</v>
      </c>
      <c r="H967" t="n">
        <v>140</v>
      </c>
      <c r="I967" t="inlineStr">
        <is>
          <t>Denver Nuggets</t>
        </is>
      </c>
      <c r="J967" t="inlineStr">
        <is>
          <t>Oklahoma City Thunder</t>
        </is>
      </c>
      <c r="K967" t="inlineStr">
        <is>
          <t>Yes</t>
        </is>
      </c>
      <c r="L967" t="inlineStr"/>
      <c r="M967" t="inlineStr">
        <is>
          <t>https://fixturedownload.com/download/nba-2024-UTC.csv</t>
        </is>
      </c>
    </row>
    <row r="968">
      <c r="A968" t="n">
        <v>937</v>
      </c>
      <c r="B968" t="n">
        <v>18</v>
      </c>
      <c r="C968" t="inlineStr">
        <is>
          <t>11/03/2025 00:30</t>
        </is>
      </c>
      <c r="D968" t="inlineStr">
        <is>
          <t>Frost Bank Center</t>
        </is>
      </c>
      <c r="E968" t="inlineStr">
        <is>
          <t>San Antonio Spurs</t>
        </is>
      </c>
      <c r="F968" t="inlineStr">
        <is>
          <t>Dallas Mavericks</t>
        </is>
      </c>
      <c r="G968" t="n">
        <v>129</v>
      </c>
      <c r="H968" t="n">
        <v>133</v>
      </c>
      <c r="I968" t="inlineStr">
        <is>
          <t>Dallas Mavericks</t>
        </is>
      </c>
      <c r="J968" t="inlineStr">
        <is>
          <t>San Antonio Spurs</t>
        </is>
      </c>
      <c r="K968" t="inlineStr">
        <is>
          <t>Yes</t>
        </is>
      </c>
      <c r="L968" t="inlineStr"/>
      <c r="M968" t="inlineStr">
        <is>
          <t>https://fixturedownload.com/download/nba-2024-UTC.csv</t>
        </is>
      </c>
    </row>
    <row r="969">
      <c r="A969" t="n">
        <v>938</v>
      </c>
      <c r="B969" t="n">
        <v>18</v>
      </c>
      <c r="C969" t="inlineStr">
        <is>
          <t>11/03/2025 02:00</t>
        </is>
      </c>
      <c r="D969" t="inlineStr">
        <is>
          <t>Chase Center</t>
        </is>
      </c>
      <c r="E969" t="inlineStr">
        <is>
          <t>Golden State Warriors</t>
        </is>
      </c>
      <c r="F969" t="inlineStr">
        <is>
          <t>Portland Trail Blazers</t>
        </is>
      </c>
      <c r="G969" t="n">
        <v>130</v>
      </c>
      <c r="H969" t="n">
        <v>120</v>
      </c>
      <c r="I969" t="inlineStr">
        <is>
          <t>Golden State Warriors</t>
        </is>
      </c>
      <c r="J969" t="inlineStr">
        <is>
          <t>Portland Trail Blazers</t>
        </is>
      </c>
      <c r="K969" t="inlineStr">
        <is>
          <t>Yes</t>
        </is>
      </c>
      <c r="L969" t="inlineStr"/>
      <c r="M969" t="inlineStr">
        <is>
          <t>https://fixturedownload.com/download/nba-2024-UTC.csv</t>
        </is>
      </c>
    </row>
    <row r="970">
      <c r="A970" t="n">
        <v>939</v>
      </c>
      <c r="B970" t="n">
        <v>18</v>
      </c>
      <c r="C970" t="inlineStr">
        <is>
          <t>11/03/2025 02:30</t>
        </is>
      </c>
      <c r="D970" t="inlineStr">
        <is>
          <t>Golden 1 Center</t>
        </is>
      </c>
      <c r="E970" t="inlineStr">
        <is>
          <t>Sacramento Kings</t>
        </is>
      </c>
      <c r="F970" t="inlineStr">
        <is>
          <t>New York Knicks</t>
        </is>
      </c>
      <c r="G970" t="n">
        <v>104</v>
      </c>
      <c r="H970" t="n">
        <v>133</v>
      </c>
      <c r="I970" t="inlineStr">
        <is>
          <t>New York Knicks</t>
        </is>
      </c>
      <c r="J970" t="inlineStr">
        <is>
          <t>Sacramento Kings</t>
        </is>
      </c>
      <c r="K970" t="inlineStr">
        <is>
          <t>Yes</t>
        </is>
      </c>
      <c r="L970" t="inlineStr"/>
      <c r="M970" t="inlineStr">
        <is>
          <t>https://fixturedownload.com/download/nba-2024-UTC.csv</t>
        </is>
      </c>
    </row>
    <row r="971">
      <c r="A971" t="n">
        <v>940</v>
      </c>
      <c r="B971" t="n">
        <v>18</v>
      </c>
      <c r="C971" t="inlineStr">
        <is>
          <t>11/03/2025 23:00</t>
        </is>
      </c>
      <c r="D971" t="inlineStr">
        <is>
          <t>Rocket Arena</t>
        </is>
      </c>
      <c r="E971" t="inlineStr">
        <is>
          <t>Cleveland Cavaliers</t>
        </is>
      </c>
      <c r="F971" t="inlineStr">
        <is>
          <t>Brooklyn Nets</t>
        </is>
      </c>
      <c r="G971" t="n">
        <v>109</v>
      </c>
      <c r="H971" t="n">
        <v>104</v>
      </c>
      <c r="I971" t="inlineStr">
        <is>
          <t>Cleveland Cavaliers</t>
        </is>
      </c>
      <c r="J971" t="inlineStr">
        <is>
          <t>Brooklyn Nets</t>
        </is>
      </c>
      <c r="K971" t="inlineStr">
        <is>
          <t>Yes</t>
        </is>
      </c>
      <c r="L971" t="inlineStr"/>
      <c r="M971" t="inlineStr">
        <is>
          <t>https://fixturedownload.com/download/nba-2024-UTC.csv</t>
        </is>
      </c>
    </row>
    <row r="972">
      <c r="A972" t="n">
        <v>941</v>
      </c>
      <c r="B972" t="n">
        <v>18</v>
      </c>
      <c r="C972" t="inlineStr">
        <is>
          <t>11/03/2025 23:00</t>
        </is>
      </c>
      <c r="D972" t="inlineStr">
        <is>
          <t>Little Caesars Arena</t>
        </is>
      </c>
      <c r="E972" t="inlineStr">
        <is>
          <t>Detroit Pistons</t>
        </is>
      </c>
      <c r="F972" t="inlineStr">
        <is>
          <t>Washington Wizards</t>
        </is>
      </c>
      <c r="G972" t="n">
        <v>123</v>
      </c>
      <c r="H972" t="n">
        <v>103</v>
      </c>
      <c r="I972" t="inlineStr">
        <is>
          <t>Detroit Pistons</t>
        </is>
      </c>
      <c r="J972" t="inlineStr">
        <is>
          <t>Washington Wizards</t>
        </is>
      </c>
      <c r="K972" t="inlineStr">
        <is>
          <t>Yes</t>
        </is>
      </c>
      <c r="L972" t="inlineStr"/>
      <c r="M972" t="inlineStr">
        <is>
          <t>https://fixturedownload.com/download/nba-2024-UTC.csv</t>
        </is>
      </c>
    </row>
    <row r="973">
      <c r="A973" t="n">
        <v>942</v>
      </c>
      <c r="B973" t="n">
        <v>18</v>
      </c>
      <c r="C973" t="inlineStr">
        <is>
          <t>11/03/2025 23:30</t>
        </is>
      </c>
      <c r="D973" t="inlineStr">
        <is>
          <t>Gainbridge Fieldhouse</t>
        </is>
      </c>
      <c r="E973" t="inlineStr">
        <is>
          <t>Indiana Pacers</t>
        </is>
      </c>
      <c r="F973" t="inlineStr">
        <is>
          <t>Milwaukee Bucks</t>
        </is>
      </c>
      <c r="G973" t="n">
        <v>115</v>
      </c>
      <c r="H973" t="n">
        <v>114</v>
      </c>
      <c r="I973" t="inlineStr">
        <is>
          <t>Indiana Pacers</t>
        </is>
      </c>
      <c r="J973" t="inlineStr">
        <is>
          <t>Milwaukee Bucks</t>
        </is>
      </c>
      <c r="K973" t="inlineStr">
        <is>
          <t>Yes</t>
        </is>
      </c>
      <c r="L973" t="inlineStr"/>
      <c r="M973" t="inlineStr">
        <is>
          <t>https://fixturedownload.com/download/nba-2024-UTC.csv</t>
        </is>
      </c>
    </row>
    <row r="974">
      <c r="A974" t="n">
        <v>943</v>
      </c>
      <c r="B974" t="n">
        <v>18</v>
      </c>
      <c r="C974" t="inlineStr">
        <is>
          <t>12/03/2025 00:00</t>
        </is>
      </c>
      <c r="D974" t="inlineStr">
        <is>
          <t>Smoothie King Center</t>
        </is>
      </c>
      <c r="E974" t="inlineStr">
        <is>
          <t>New Orleans Pelicans</t>
        </is>
      </c>
      <c r="F974" t="inlineStr">
        <is>
          <t>LA Clippers</t>
        </is>
      </c>
      <c r="G974" t="n">
        <v>127</v>
      </c>
      <c r="H974" t="n">
        <v>120</v>
      </c>
      <c r="I974" t="inlineStr">
        <is>
          <t>New Orleans Pelicans</t>
        </is>
      </c>
      <c r="J974" t="inlineStr">
        <is>
          <t>LA Clippers</t>
        </is>
      </c>
      <c r="K974" t="inlineStr">
        <is>
          <t>Yes</t>
        </is>
      </c>
      <c r="L974" t="inlineStr"/>
      <c r="M974" t="inlineStr">
        <is>
          <t>https://fixturedownload.com/download/nba-2024-UTC.csv</t>
        </is>
      </c>
    </row>
    <row r="975">
      <c r="A975" t="n">
        <v>945</v>
      </c>
      <c r="B975" t="n">
        <v>19</v>
      </c>
      <c r="C975" t="inlineStr">
        <is>
          <t>12/03/2025 23:30</t>
        </is>
      </c>
      <c r="D975" t="inlineStr">
        <is>
          <t>State Farm Arena</t>
        </is>
      </c>
      <c r="E975" t="inlineStr">
        <is>
          <t>Atlanta Hawks</t>
        </is>
      </c>
      <c r="F975" t="inlineStr">
        <is>
          <t>Charlotte Hornets</t>
        </is>
      </c>
      <c r="G975" t="n">
        <v>123</v>
      </c>
      <c r="H975" t="n">
        <v>110</v>
      </c>
      <c r="I975" t="inlineStr">
        <is>
          <t>Atlanta Hawks</t>
        </is>
      </c>
      <c r="J975" t="inlineStr">
        <is>
          <t>Charlotte Hornets</t>
        </is>
      </c>
      <c r="K975" t="inlineStr">
        <is>
          <t>Yes</t>
        </is>
      </c>
      <c r="L975" t="inlineStr"/>
      <c r="M975" t="inlineStr">
        <is>
          <t>https://fixturedownload.com/download/nba-2024-UTC.csv</t>
        </is>
      </c>
    </row>
    <row r="976">
      <c r="A976" t="n">
        <v>946</v>
      </c>
      <c r="B976" t="n">
        <v>19</v>
      </c>
      <c r="C976" t="inlineStr">
        <is>
          <t>12/03/2025 23:30</t>
        </is>
      </c>
      <c r="D976" t="inlineStr">
        <is>
          <t>TD Garden</t>
        </is>
      </c>
      <c r="E976" t="inlineStr">
        <is>
          <t>Boston Celtics</t>
        </is>
      </c>
      <c r="F976" t="inlineStr">
        <is>
          <t>Oklahoma City Thunder</t>
        </is>
      </c>
      <c r="G976" t="n">
        <v>112</v>
      </c>
      <c r="H976" t="n">
        <v>118</v>
      </c>
      <c r="I976" t="inlineStr">
        <is>
          <t>Oklahoma City Thunder</t>
        </is>
      </c>
      <c r="J976" t="inlineStr">
        <is>
          <t>Boston Celtics</t>
        </is>
      </c>
      <c r="K976" t="inlineStr">
        <is>
          <t>Yes</t>
        </is>
      </c>
      <c r="L976" t="inlineStr"/>
      <c r="M976" t="inlineStr">
        <is>
          <t>https://fixturedownload.com/download/nba-2024-UTC.csv</t>
        </is>
      </c>
    </row>
    <row r="977">
      <c r="A977" t="n">
        <v>947</v>
      </c>
      <c r="B977" t="n">
        <v>19</v>
      </c>
      <c r="C977" t="inlineStr">
        <is>
          <t>12/03/2025 23:30</t>
        </is>
      </c>
      <c r="D977" t="inlineStr">
        <is>
          <t>Scotiabank Arena</t>
        </is>
      </c>
      <c r="E977" t="inlineStr">
        <is>
          <t>Toronto Raptors</t>
        </is>
      </c>
      <c r="F977" t="inlineStr">
        <is>
          <t>Philadelphia 76ers</t>
        </is>
      </c>
      <c r="G977" t="n">
        <v>118</v>
      </c>
      <c r="H977" t="n">
        <v>105</v>
      </c>
      <c r="I977" t="inlineStr">
        <is>
          <t>Toronto Raptors</t>
        </is>
      </c>
      <c r="J977" t="inlineStr">
        <is>
          <t>Philadelphia 76ers</t>
        </is>
      </c>
      <c r="K977" t="inlineStr">
        <is>
          <t>Yes</t>
        </is>
      </c>
      <c r="L977" t="inlineStr"/>
      <c r="M977" t="inlineStr">
        <is>
          <t>https://fixturedownload.com/download/nba-2024-UTC.csv</t>
        </is>
      </c>
    </row>
    <row r="978">
      <c r="A978" t="n">
        <v>948</v>
      </c>
      <c r="B978" t="n">
        <v>19</v>
      </c>
      <c r="C978" t="inlineStr">
        <is>
          <t>13/03/2025 00:00</t>
        </is>
      </c>
      <c r="D978" t="inlineStr">
        <is>
          <t>Kaseya Center</t>
        </is>
      </c>
      <c r="E978" t="inlineStr">
        <is>
          <t>Miami Heat</t>
        </is>
      </c>
      <c r="F978" t="inlineStr">
        <is>
          <t>LA Clippers</t>
        </is>
      </c>
      <c r="G978" t="n">
        <v>104</v>
      </c>
      <c r="H978" t="n">
        <v>119</v>
      </c>
      <c r="I978" t="inlineStr">
        <is>
          <t>LA Clippers</t>
        </is>
      </c>
      <c r="J978" t="inlineStr">
        <is>
          <t>Miami Heat</t>
        </is>
      </c>
      <c r="K978" t="inlineStr">
        <is>
          <t>Yes</t>
        </is>
      </c>
      <c r="L978" t="inlineStr"/>
      <c r="M978" t="inlineStr">
        <is>
          <t>https://fixturedownload.com/download/nba-2024-UTC.csv</t>
        </is>
      </c>
    </row>
    <row r="979">
      <c r="A979" t="n">
        <v>949</v>
      </c>
      <c r="B979" t="n">
        <v>19</v>
      </c>
      <c r="C979" t="inlineStr">
        <is>
          <t>13/03/2025 00:00</t>
        </is>
      </c>
      <c r="D979" t="inlineStr">
        <is>
          <t>Toyota Center</t>
        </is>
      </c>
      <c r="E979" t="inlineStr">
        <is>
          <t>Houston Rockets</t>
        </is>
      </c>
      <c r="F979" t="inlineStr">
        <is>
          <t>Phoenix Suns</t>
        </is>
      </c>
      <c r="G979" t="n">
        <v>111</v>
      </c>
      <c r="H979" t="n">
        <v>104</v>
      </c>
      <c r="I979" t="inlineStr">
        <is>
          <t>Houston Rockets</t>
        </is>
      </c>
      <c r="J979" t="inlineStr">
        <is>
          <t>Phoenix Suns</t>
        </is>
      </c>
      <c r="K979" t="inlineStr">
        <is>
          <t>Yes</t>
        </is>
      </c>
      <c r="L979" t="inlineStr"/>
      <c r="M979" t="inlineStr">
        <is>
          <t>https://fixturedownload.com/download/nba-2024-UTC.csv</t>
        </is>
      </c>
    </row>
    <row r="980">
      <c r="A980" t="n">
        <v>950</v>
      </c>
      <c r="B980" t="n">
        <v>19</v>
      </c>
      <c r="C980" t="inlineStr">
        <is>
          <t>13/03/2025 00:00</t>
        </is>
      </c>
      <c r="D980" t="inlineStr">
        <is>
          <t>FedExForum</t>
        </is>
      </c>
      <c r="E980" t="inlineStr">
        <is>
          <t>Memphis Grizzlies</t>
        </is>
      </c>
      <c r="F980" t="inlineStr">
        <is>
          <t>Utah Jazz</t>
        </is>
      </c>
      <c r="G980" t="n">
        <v>122</v>
      </c>
      <c r="H980" t="n">
        <v>115</v>
      </c>
      <c r="I980" t="inlineStr">
        <is>
          <t>Memphis Grizzlies</t>
        </is>
      </c>
      <c r="J980" t="inlineStr">
        <is>
          <t>Utah Jazz</t>
        </is>
      </c>
      <c r="K980" t="inlineStr">
        <is>
          <t>Yes</t>
        </is>
      </c>
      <c r="L980" t="inlineStr"/>
      <c r="M980" t="inlineStr">
        <is>
          <t>https://fixturedownload.com/download/nba-2024-UTC.csv</t>
        </is>
      </c>
    </row>
    <row r="981">
      <c r="A981" t="n">
        <v>951</v>
      </c>
      <c r="B981" t="n">
        <v>19</v>
      </c>
      <c r="C981" t="inlineStr">
        <is>
          <t>13/03/2025 00:00</t>
        </is>
      </c>
      <c r="D981" t="inlineStr">
        <is>
          <t>Frost Bank Center</t>
        </is>
      </c>
      <c r="E981" t="inlineStr">
        <is>
          <t>San Antonio Spurs</t>
        </is>
      </c>
      <c r="F981" t="inlineStr">
        <is>
          <t>Dallas Mavericks</t>
        </is>
      </c>
      <c r="G981" t="n">
        <v>126</v>
      </c>
      <c r="H981" t="n">
        <v>116</v>
      </c>
      <c r="I981" t="inlineStr">
        <is>
          <t>San Antonio Spurs</t>
        </is>
      </c>
      <c r="J981" t="inlineStr">
        <is>
          <t>Dallas Mavericks</t>
        </is>
      </c>
      <c r="K981" t="inlineStr">
        <is>
          <t>Yes</t>
        </is>
      </c>
      <c r="L981" t="inlineStr"/>
      <c r="M981" t="inlineStr">
        <is>
          <t>https://fixturedownload.com/download/nba-2024-UTC.csv</t>
        </is>
      </c>
    </row>
    <row r="982">
      <c r="A982" t="n">
        <v>952</v>
      </c>
      <c r="B982" t="n">
        <v>19</v>
      </c>
      <c r="C982" t="inlineStr">
        <is>
          <t>13/03/2025 02:00</t>
        </is>
      </c>
      <c r="D982" t="inlineStr">
        <is>
          <t>Ball Arena</t>
        </is>
      </c>
      <c r="E982" t="inlineStr">
        <is>
          <t>Denver Nuggets</t>
        </is>
      </c>
      <c r="F982" t="inlineStr">
        <is>
          <t>Minnesota Timberwolves</t>
        </is>
      </c>
      <c r="G982" t="n">
        <v>95</v>
      </c>
      <c r="H982" t="n">
        <v>115</v>
      </c>
      <c r="I982" t="inlineStr">
        <is>
          <t>Minnesota Timberwolves</t>
        </is>
      </c>
      <c r="J982" t="inlineStr">
        <is>
          <t>Denver Nuggets</t>
        </is>
      </c>
      <c r="K982" t="inlineStr">
        <is>
          <t>Yes</t>
        </is>
      </c>
      <c r="L982" t="inlineStr"/>
      <c r="M982" t="inlineStr">
        <is>
          <t>https://fixturedownload.com/download/nba-2024-UTC.csv</t>
        </is>
      </c>
    </row>
    <row r="983">
      <c r="A983" t="n">
        <v>953</v>
      </c>
      <c r="B983" t="n">
        <v>19</v>
      </c>
      <c r="C983" t="inlineStr">
        <is>
          <t>13/03/2025 02:00</t>
        </is>
      </c>
      <c r="D983" t="inlineStr">
        <is>
          <t>Moda Center</t>
        </is>
      </c>
      <c r="E983" t="inlineStr">
        <is>
          <t>Portland Trail Blazers</t>
        </is>
      </c>
      <c r="F983" t="inlineStr">
        <is>
          <t>New York Knicks</t>
        </is>
      </c>
      <c r="G983" t="n">
        <v>113</v>
      </c>
      <c r="H983" t="n">
        <v>114</v>
      </c>
      <c r="I983" t="inlineStr">
        <is>
          <t>New York Knicks</t>
        </is>
      </c>
      <c r="J983" t="inlineStr">
        <is>
          <t>Portland Trail Blazers</t>
        </is>
      </c>
      <c r="K983" t="inlineStr">
        <is>
          <t>Yes</t>
        </is>
      </c>
      <c r="L983" t="inlineStr"/>
      <c r="M983" t="inlineStr">
        <is>
          <t>https://fixturedownload.com/download/nba-2024-UTC.csv</t>
        </is>
      </c>
    </row>
    <row r="984">
      <c r="A984" t="n">
        <v>954</v>
      </c>
      <c r="B984" t="n">
        <v>19</v>
      </c>
      <c r="C984" t="inlineStr">
        <is>
          <t>13/03/2025 23:00</t>
        </is>
      </c>
      <c r="D984" t="inlineStr">
        <is>
          <t>Little Caesars Arena</t>
        </is>
      </c>
      <c r="E984" t="inlineStr">
        <is>
          <t>Detroit Pistons</t>
        </is>
      </c>
      <c r="F984" t="inlineStr">
        <is>
          <t>Washington Wizards</t>
        </is>
      </c>
      <c r="G984" t="n">
        <v>125</v>
      </c>
      <c r="H984" t="n">
        <v>129</v>
      </c>
      <c r="I984" t="inlineStr">
        <is>
          <t>Washington Wizards</t>
        </is>
      </c>
      <c r="J984" t="inlineStr">
        <is>
          <t>Detroit Pistons</t>
        </is>
      </c>
      <c r="K984" t="inlineStr">
        <is>
          <t>Yes</t>
        </is>
      </c>
      <c r="L984" t="inlineStr"/>
      <c r="M984" t="inlineStr">
        <is>
          <t>https://fixturedownload.com/download/nba-2024-UTC.csv</t>
        </is>
      </c>
    </row>
    <row r="985">
      <c r="A985" t="n">
        <v>955</v>
      </c>
      <c r="B985" t="n">
        <v>19</v>
      </c>
      <c r="C985" t="inlineStr">
        <is>
          <t>13/03/2025 23:30</t>
        </is>
      </c>
      <c r="D985" t="inlineStr">
        <is>
          <t>Fiserv Forum</t>
        </is>
      </c>
      <c r="E985" t="inlineStr">
        <is>
          <t>Milwaukee Bucks</t>
        </is>
      </c>
      <c r="F985" t="inlineStr">
        <is>
          <t>Los Angeles Lakers</t>
        </is>
      </c>
      <c r="G985" t="n">
        <v>126</v>
      </c>
      <c r="H985" t="n">
        <v>106</v>
      </c>
      <c r="I985" t="inlineStr">
        <is>
          <t>Milwaukee Bucks</t>
        </is>
      </c>
      <c r="J985" t="inlineStr">
        <is>
          <t>Los Angeles Lakers</t>
        </is>
      </c>
      <c r="K985" t="inlineStr">
        <is>
          <t>Yes</t>
        </is>
      </c>
      <c r="L985" t="inlineStr"/>
      <c r="M985" t="inlineStr">
        <is>
          <t>https://fixturedownload.com/download/nba-2024-UTC.csv</t>
        </is>
      </c>
    </row>
    <row r="986">
      <c r="A986" t="n">
        <v>956</v>
      </c>
      <c r="B986" t="n">
        <v>19</v>
      </c>
      <c r="C986" t="inlineStr">
        <is>
          <t>14/03/2025 00:00</t>
        </is>
      </c>
      <c r="D986" t="inlineStr">
        <is>
          <t>United Center</t>
        </is>
      </c>
      <c r="E986" t="inlineStr">
        <is>
          <t>Chicago Bulls</t>
        </is>
      </c>
      <c r="F986" t="inlineStr">
        <is>
          <t>Brooklyn Nets</t>
        </is>
      </c>
      <c r="G986" t="n">
        <v>116</v>
      </c>
      <c r="H986" t="n">
        <v>110</v>
      </c>
      <c r="I986" t="inlineStr">
        <is>
          <t>Chicago Bulls</t>
        </is>
      </c>
      <c r="J986" t="inlineStr">
        <is>
          <t>Brooklyn Nets</t>
        </is>
      </c>
      <c r="K986" t="inlineStr">
        <is>
          <t>Yes</t>
        </is>
      </c>
      <c r="L986" t="inlineStr"/>
      <c r="M986" t="inlineStr">
        <is>
          <t>https://fixturedownload.com/download/nba-2024-UTC.csv</t>
        </is>
      </c>
    </row>
    <row r="987">
      <c r="A987" t="n">
        <v>1141</v>
      </c>
      <c r="B987" t="n">
        <v>19</v>
      </c>
      <c r="C987" t="inlineStr">
        <is>
          <t>14/03/2025 00:00</t>
        </is>
      </c>
      <c r="D987" t="inlineStr">
        <is>
          <t>Smoothie King Center</t>
        </is>
      </c>
      <c r="E987" t="inlineStr">
        <is>
          <t>New Orleans Pelicans</t>
        </is>
      </c>
      <c r="F987" t="inlineStr">
        <is>
          <t>Orlando Magic</t>
        </is>
      </c>
      <c r="G987" t="n">
        <v>93</v>
      </c>
      <c r="H987" t="n">
        <v>113</v>
      </c>
      <c r="I987" t="inlineStr">
        <is>
          <t>Orlando Magic</t>
        </is>
      </c>
      <c r="J987" t="inlineStr">
        <is>
          <t>New Orleans Pelicans</t>
        </is>
      </c>
      <c r="K987" t="inlineStr">
        <is>
          <t>Yes</t>
        </is>
      </c>
      <c r="L987" t="inlineStr"/>
      <c r="M987" t="inlineStr">
        <is>
          <t>https://fixturedownload.com/download/nba-2024-UTC.csv</t>
        </is>
      </c>
    </row>
    <row r="988">
      <c r="A988" t="n">
        <v>957</v>
      </c>
      <c r="B988" t="n">
        <v>19</v>
      </c>
      <c r="C988" t="inlineStr">
        <is>
          <t>14/03/2025 02:00</t>
        </is>
      </c>
      <c r="D988" t="inlineStr">
        <is>
          <t>Chase Center</t>
        </is>
      </c>
      <c r="E988" t="inlineStr">
        <is>
          <t>Golden State Warriors</t>
        </is>
      </c>
      <c r="F988" t="inlineStr">
        <is>
          <t>Sacramento Kings</t>
        </is>
      </c>
      <c r="G988" t="n">
        <v>130</v>
      </c>
      <c r="H988" t="n">
        <v>104</v>
      </c>
      <c r="I988" t="inlineStr">
        <is>
          <t>Golden State Warriors</t>
        </is>
      </c>
      <c r="J988" t="inlineStr">
        <is>
          <t>Sacramento Kings</t>
        </is>
      </c>
      <c r="K988" t="inlineStr">
        <is>
          <t>Yes</t>
        </is>
      </c>
      <c r="L988" t="inlineStr"/>
      <c r="M988" t="inlineStr">
        <is>
          <t>https://fixturedownload.com/download/nba-2024-UTC.csv</t>
        </is>
      </c>
    </row>
    <row r="989">
      <c r="A989" t="n">
        <v>958</v>
      </c>
      <c r="B989" t="n">
        <v>19</v>
      </c>
      <c r="C989" t="inlineStr">
        <is>
          <t>14/03/2025 23:00</t>
        </is>
      </c>
      <c r="D989" t="inlineStr">
        <is>
          <t>Kaseya Center</t>
        </is>
      </c>
      <c r="E989" t="inlineStr">
        <is>
          <t>Miami Heat</t>
        </is>
      </c>
      <c r="F989" t="inlineStr">
        <is>
          <t>Boston Celtics</t>
        </is>
      </c>
      <c r="G989" t="n">
        <v>91</v>
      </c>
      <c r="H989" t="n">
        <v>103</v>
      </c>
      <c r="I989" t="inlineStr">
        <is>
          <t>Boston Celtics</t>
        </is>
      </c>
      <c r="J989" t="inlineStr">
        <is>
          <t>Miami Heat</t>
        </is>
      </c>
      <c r="K989" t="inlineStr">
        <is>
          <t>Yes</t>
        </is>
      </c>
      <c r="L989" t="inlineStr"/>
      <c r="M989" t="inlineStr">
        <is>
          <t>https://fixturedownload.com/download/nba-2024-UTC.csv</t>
        </is>
      </c>
    </row>
    <row r="990">
      <c r="A990" t="n">
        <v>959</v>
      </c>
      <c r="B990" t="n">
        <v>19</v>
      </c>
      <c r="C990" t="inlineStr">
        <is>
          <t>14/03/2025 23:00</t>
        </is>
      </c>
      <c r="D990" t="inlineStr">
        <is>
          <t>Wells Fargo Center</t>
        </is>
      </c>
      <c r="E990" t="inlineStr">
        <is>
          <t>Philadelphia 76ers</t>
        </is>
      </c>
      <c r="F990" t="inlineStr">
        <is>
          <t>Indiana Pacers</t>
        </is>
      </c>
      <c r="G990" t="n">
        <v>100</v>
      </c>
      <c r="H990" t="n">
        <v>112</v>
      </c>
      <c r="I990" t="inlineStr">
        <is>
          <t>Indiana Pacers</t>
        </is>
      </c>
      <c r="J990" t="inlineStr">
        <is>
          <t>Philadelphia 76ers</t>
        </is>
      </c>
      <c r="K990" t="inlineStr">
        <is>
          <t>Yes</t>
        </is>
      </c>
      <c r="L990" t="inlineStr"/>
      <c r="M990" t="inlineStr">
        <is>
          <t>https://fixturedownload.com/download/nba-2024-UTC.csv</t>
        </is>
      </c>
    </row>
    <row r="991">
      <c r="A991" t="n">
        <v>960</v>
      </c>
      <c r="B991" t="n">
        <v>19</v>
      </c>
      <c r="C991" t="inlineStr">
        <is>
          <t>14/03/2025 23:30</t>
        </is>
      </c>
      <c r="D991" t="inlineStr">
        <is>
          <t>State Farm Arena</t>
        </is>
      </c>
      <c r="E991" t="inlineStr">
        <is>
          <t>Atlanta Hawks</t>
        </is>
      </c>
      <c r="F991" t="inlineStr">
        <is>
          <t>LA Clippers</t>
        </is>
      </c>
      <c r="G991" t="n">
        <v>98</v>
      </c>
      <c r="H991" t="n">
        <v>121</v>
      </c>
      <c r="I991" t="inlineStr">
        <is>
          <t>LA Clippers</t>
        </is>
      </c>
      <c r="J991" t="inlineStr">
        <is>
          <t>Atlanta Hawks</t>
        </is>
      </c>
      <c r="K991" t="inlineStr">
        <is>
          <t>Yes</t>
        </is>
      </c>
      <c r="L991" t="inlineStr"/>
      <c r="M991" t="inlineStr">
        <is>
          <t>https://fixturedownload.com/download/nba-2024-UTC.csv</t>
        </is>
      </c>
    </row>
    <row r="992">
      <c r="A992" t="n">
        <v>961</v>
      </c>
      <c r="B992" t="n">
        <v>19</v>
      </c>
      <c r="C992" t="inlineStr">
        <is>
          <t>15/03/2025 00:00</t>
        </is>
      </c>
      <c r="D992" t="inlineStr">
        <is>
          <t>Toyota Center</t>
        </is>
      </c>
      <c r="E992" t="inlineStr">
        <is>
          <t>Houston Rockets</t>
        </is>
      </c>
      <c r="F992" t="inlineStr">
        <is>
          <t>Dallas Mavericks</t>
        </is>
      </c>
      <c r="G992" t="n">
        <v>133</v>
      </c>
      <c r="H992" t="n">
        <v>96</v>
      </c>
      <c r="I992" t="inlineStr">
        <is>
          <t>Houston Rockets</t>
        </is>
      </c>
      <c r="J992" t="inlineStr">
        <is>
          <t>Dallas Mavericks</t>
        </is>
      </c>
      <c r="K992" t="inlineStr">
        <is>
          <t>Yes</t>
        </is>
      </c>
      <c r="L992" t="inlineStr"/>
      <c r="M992" t="inlineStr">
        <is>
          <t>https://fixturedownload.com/download/nba-2024-UTC.csv</t>
        </is>
      </c>
    </row>
    <row r="993">
      <c r="A993" t="n">
        <v>962</v>
      </c>
      <c r="B993" t="n">
        <v>19</v>
      </c>
      <c r="C993" t="inlineStr">
        <is>
          <t>15/03/2025 00:00</t>
        </is>
      </c>
      <c r="D993" t="inlineStr">
        <is>
          <t>FedExForum</t>
        </is>
      </c>
      <c r="E993" t="inlineStr">
        <is>
          <t>Memphis Grizzlies</t>
        </is>
      </c>
      <c r="F993" t="inlineStr">
        <is>
          <t>Cleveland Cavaliers</t>
        </is>
      </c>
      <c r="G993" t="n">
        <v>124</v>
      </c>
      <c r="H993" t="n">
        <v>133</v>
      </c>
      <c r="I993" t="inlineStr">
        <is>
          <t>Cleveland Cavaliers</t>
        </is>
      </c>
      <c r="J993" t="inlineStr">
        <is>
          <t>Memphis Grizzlies</t>
        </is>
      </c>
      <c r="K993" t="inlineStr">
        <is>
          <t>Yes</t>
        </is>
      </c>
      <c r="L993" t="inlineStr"/>
      <c r="M993" t="inlineStr">
        <is>
          <t>https://fixturedownload.com/download/nba-2024-UTC.csv</t>
        </is>
      </c>
    </row>
    <row r="994">
      <c r="A994" t="n">
        <v>963</v>
      </c>
      <c r="B994" t="n">
        <v>19</v>
      </c>
      <c r="C994" t="inlineStr">
        <is>
          <t>15/03/2025 00:00</t>
        </is>
      </c>
      <c r="D994" t="inlineStr">
        <is>
          <t>Target Center</t>
        </is>
      </c>
      <c r="E994" t="inlineStr">
        <is>
          <t>Minnesota Timberwolves</t>
        </is>
      </c>
      <c r="F994" t="inlineStr">
        <is>
          <t>Orlando Magic</t>
        </is>
      </c>
      <c r="G994" t="n">
        <v>118</v>
      </c>
      <c r="H994" t="n">
        <v>111</v>
      </c>
      <c r="I994" t="inlineStr">
        <is>
          <t>Minnesota Timberwolves</t>
        </is>
      </c>
      <c r="J994" t="inlineStr">
        <is>
          <t>Orlando Magic</t>
        </is>
      </c>
      <c r="K994" t="inlineStr">
        <is>
          <t>Yes</t>
        </is>
      </c>
      <c r="L994" t="inlineStr"/>
      <c r="M994" t="inlineStr">
        <is>
          <t>https://fixturedownload.com/download/nba-2024-UTC.csv</t>
        </is>
      </c>
    </row>
    <row r="995">
      <c r="A995" t="n">
        <v>964</v>
      </c>
      <c r="B995" t="n">
        <v>19</v>
      </c>
      <c r="C995" t="inlineStr">
        <is>
          <t>15/03/2025 00:00</t>
        </is>
      </c>
      <c r="D995" t="inlineStr">
        <is>
          <t>Frost Bank Center</t>
        </is>
      </c>
      <c r="E995" t="inlineStr">
        <is>
          <t>San Antonio Spurs</t>
        </is>
      </c>
      <c r="F995" t="inlineStr">
        <is>
          <t>Charlotte Hornets</t>
        </is>
      </c>
      <c r="G995" t="n">
        <v>134</v>
      </c>
      <c r="H995" t="n">
        <v>145</v>
      </c>
      <c r="I995" t="inlineStr">
        <is>
          <t>Charlotte Hornets</t>
        </is>
      </c>
      <c r="J995" t="inlineStr">
        <is>
          <t>San Antonio Spurs</t>
        </is>
      </c>
      <c r="K995" t="inlineStr">
        <is>
          <t>Yes</t>
        </is>
      </c>
      <c r="L995" t="inlineStr"/>
      <c r="M995" t="inlineStr">
        <is>
          <t>https://fixturedownload.com/download/nba-2024-UTC.csv</t>
        </is>
      </c>
    </row>
    <row r="996">
      <c r="A996" t="n">
        <v>965</v>
      </c>
      <c r="B996" t="n">
        <v>19</v>
      </c>
      <c r="C996" t="inlineStr">
        <is>
          <t>15/03/2025 01:30</t>
        </is>
      </c>
      <c r="D996" t="inlineStr">
        <is>
          <t>Ball Arena</t>
        </is>
      </c>
      <c r="E996" t="inlineStr">
        <is>
          <t>Denver Nuggets</t>
        </is>
      </c>
      <c r="F996" t="inlineStr">
        <is>
          <t>Los Angeles Lakers</t>
        </is>
      </c>
      <c r="G996" t="n">
        <v>131</v>
      </c>
      <c r="H996" t="n">
        <v>126</v>
      </c>
      <c r="I996" t="inlineStr">
        <is>
          <t>Denver Nuggets</t>
        </is>
      </c>
      <c r="J996" t="inlineStr">
        <is>
          <t>Los Angeles Lakers</t>
        </is>
      </c>
      <c r="K996" t="inlineStr">
        <is>
          <t>Yes</t>
        </is>
      </c>
      <c r="L996" t="inlineStr"/>
      <c r="M996" t="inlineStr">
        <is>
          <t>https://fixturedownload.com/download/nba-2024-UTC.csv</t>
        </is>
      </c>
    </row>
    <row r="997">
      <c r="A997" t="n">
        <v>966</v>
      </c>
      <c r="B997" t="n">
        <v>19</v>
      </c>
      <c r="C997" t="inlineStr">
        <is>
          <t>15/03/2025 01:30</t>
        </is>
      </c>
      <c r="D997" t="inlineStr">
        <is>
          <t>Delta Center</t>
        </is>
      </c>
      <c r="E997" t="inlineStr">
        <is>
          <t>Utah Jazz</t>
        </is>
      </c>
      <c r="F997" t="inlineStr">
        <is>
          <t>Toronto Raptors</t>
        </is>
      </c>
      <c r="G997" t="n">
        <v>118</v>
      </c>
      <c r="H997" t="n">
        <v>126</v>
      </c>
      <c r="I997" t="inlineStr">
        <is>
          <t>Toronto Raptors</t>
        </is>
      </c>
      <c r="J997" t="inlineStr">
        <is>
          <t>Utah Jazz</t>
        </is>
      </c>
      <c r="K997" t="inlineStr">
        <is>
          <t>Yes</t>
        </is>
      </c>
      <c r="L997" t="inlineStr"/>
      <c r="M997" t="inlineStr">
        <is>
          <t>https://fixturedownload.com/download/nba-2024-UTC.csv</t>
        </is>
      </c>
    </row>
    <row r="998">
      <c r="A998" t="n">
        <v>967</v>
      </c>
      <c r="B998" t="n">
        <v>19</v>
      </c>
      <c r="C998" t="inlineStr">
        <is>
          <t>15/03/2025 02:00</t>
        </is>
      </c>
      <c r="D998" t="inlineStr">
        <is>
          <t>PHX Arena</t>
        </is>
      </c>
      <c r="E998" t="inlineStr">
        <is>
          <t>Phoenix Suns</t>
        </is>
      </c>
      <c r="F998" t="inlineStr">
        <is>
          <t>Sacramento Kings</t>
        </is>
      </c>
      <c r="G998" t="n">
        <v>122</v>
      </c>
      <c r="H998" t="n">
        <v>106</v>
      </c>
      <c r="I998" t="inlineStr">
        <is>
          <t>Phoenix Suns</t>
        </is>
      </c>
      <c r="J998" t="inlineStr">
        <is>
          <t>Sacramento Kings</t>
        </is>
      </c>
      <c r="K998" t="inlineStr">
        <is>
          <t>Yes</t>
        </is>
      </c>
      <c r="L998" t="inlineStr"/>
      <c r="M998" t="inlineStr">
        <is>
          <t>https://fixturedownload.com/download/nba-2024-UTC.csv</t>
        </is>
      </c>
    </row>
    <row r="999">
      <c r="A999" t="n">
        <v>968</v>
      </c>
      <c r="B999" t="n">
        <v>19</v>
      </c>
      <c r="C999" t="inlineStr">
        <is>
          <t>15/03/2025 22:00</t>
        </is>
      </c>
      <c r="D999" t="inlineStr">
        <is>
          <t>Barclays Center</t>
        </is>
      </c>
      <c r="E999" t="inlineStr">
        <is>
          <t>Brooklyn Nets</t>
        </is>
      </c>
      <c r="F999" t="inlineStr">
        <is>
          <t>Boston Celtics</t>
        </is>
      </c>
      <c r="G999" t="n">
        <v>113</v>
      </c>
      <c r="H999" t="n">
        <v>115</v>
      </c>
      <c r="I999" t="inlineStr">
        <is>
          <t>Boston Celtics</t>
        </is>
      </c>
      <c r="J999" t="inlineStr">
        <is>
          <t>Brooklyn Nets</t>
        </is>
      </c>
      <c r="K999" t="inlineStr">
        <is>
          <t>Yes</t>
        </is>
      </c>
      <c r="L999" t="inlineStr"/>
      <c r="M999" t="inlineStr">
        <is>
          <t>https://fixturedownload.com/download/nba-2024-UTC.csv</t>
        </is>
      </c>
    </row>
    <row r="1000">
      <c r="A1000" t="n">
        <v>969</v>
      </c>
      <c r="B1000" t="n">
        <v>19</v>
      </c>
      <c r="C1000" t="inlineStr">
        <is>
          <t>15/03/2025 23:00</t>
        </is>
      </c>
      <c r="D1000" t="inlineStr">
        <is>
          <t>Little Caesars Arena</t>
        </is>
      </c>
      <c r="E1000" t="inlineStr">
        <is>
          <t>Detroit Pistons</t>
        </is>
      </c>
      <c r="F1000" t="inlineStr">
        <is>
          <t>Oklahoma City Thunder</t>
        </is>
      </c>
      <c r="G1000" t="n">
        <v>107</v>
      </c>
      <c r="H1000" t="n">
        <v>113</v>
      </c>
      <c r="I1000" t="inlineStr">
        <is>
          <t>Oklahoma City Thunder</t>
        </is>
      </c>
      <c r="J1000" t="inlineStr">
        <is>
          <t>Detroit Pistons</t>
        </is>
      </c>
      <c r="K1000" t="inlineStr">
        <is>
          <t>Yes</t>
        </is>
      </c>
      <c r="L1000" t="inlineStr"/>
      <c r="M1000" t="inlineStr">
        <is>
          <t>https://fixturedownload.com/download/nba-2024-UTC.csv</t>
        </is>
      </c>
    </row>
    <row r="1001">
      <c r="A1001" t="n">
        <v>970</v>
      </c>
      <c r="B1001" t="n">
        <v>19</v>
      </c>
      <c r="C1001" t="inlineStr">
        <is>
          <t>16/03/2025 00:00</t>
        </is>
      </c>
      <c r="D1001" t="inlineStr">
        <is>
          <t>Toyota Center</t>
        </is>
      </c>
      <c r="E1001" t="inlineStr">
        <is>
          <t>Houston Rockets</t>
        </is>
      </c>
      <c r="F1001" t="inlineStr">
        <is>
          <t>Chicago Bulls</t>
        </is>
      </c>
      <c r="G1001" t="n">
        <v>117</v>
      </c>
      <c r="H1001" t="n">
        <v>114</v>
      </c>
      <c r="I1001" t="inlineStr">
        <is>
          <t>Houston Rockets</t>
        </is>
      </c>
      <c r="J1001" t="inlineStr">
        <is>
          <t>Chicago Bulls</t>
        </is>
      </c>
      <c r="K1001" t="inlineStr">
        <is>
          <t>Yes</t>
        </is>
      </c>
      <c r="L1001" t="inlineStr"/>
      <c r="M1001" t="inlineStr">
        <is>
          <t>https://fixturedownload.com/download/nba-2024-UTC.csv</t>
        </is>
      </c>
    </row>
    <row r="1002">
      <c r="A1002" t="n">
        <v>971</v>
      </c>
      <c r="B1002" t="n">
        <v>19</v>
      </c>
      <c r="C1002" t="inlineStr">
        <is>
          <t>16/03/2025 00:00</t>
        </is>
      </c>
      <c r="D1002" t="inlineStr">
        <is>
          <t>FedExForum</t>
        </is>
      </c>
      <c r="E1002" t="inlineStr">
        <is>
          <t>Memphis Grizzlies</t>
        </is>
      </c>
      <c r="F1002" t="inlineStr">
        <is>
          <t>Miami Heat</t>
        </is>
      </c>
      <c r="G1002" t="n">
        <v>125</v>
      </c>
      <c r="H1002" t="n">
        <v>91</v>
      </c>
      <c r="I1002" t="inlineStr">
        <is>
          <t>Memphis Grizzlies</t>
        </is>
      </c>
      <c r="J1002" t="inlineStr">
        <is>
          <t>Miami Heat</t>
        </is>
      </c>
      <c r="K1002" t="inlineStr">
        <is>
          <t>Yes</t>
        </is>
      </c>
      <c r="L1002" t="inlineStr"/>
      <c r="M1002" t="inlineStr">
        <is>
          <t>https://fixturedownload.com/download/nba-2024-UTC.csv</t>
        </is>
      </c>
    </row>
    <row r="1003">
      <c r="A1003" t="n">
        <v>972</v>
      </c>
      <c r="B1003" t="n">
        <v>19</v>
      </c>
      <c r="C1003" t="inlineStr">
        <is>
          <t>16/03/2025 00:00</t>
        </is>
      </c>
      <c r="D1003" t="inlineStr">
        <is>
          <t>Fiserv Forum</t>
        </is>
      </c>
      <c r="E1003" t="inlineStr">
        <is>
          <t>Milwaukee Bucks</t>
        </is>
      </c>
      <c r="F1003" t="inlineStr">
        <is>
          <t>Indiana Pacers</t>
        </is>
      </c>
      <c r="G1003" t="n">
        <v>126</v>
      </c>
      <c r="H1003" t="n">
        <v>119</v>
      </c>
      <c r="I1003" t="inlineStr">
        <is>
          <t>Milwaukee Bucks</t>
        </is>
      </c>
      <c r="J1003" t="inlineStr">
        <is>
          <t>Indiana Pacers</t>
        </is>
      </c>
      <c r="K1003" t="inlineStr">
        <is>
          <t>Yes</t>
        </is>
      </c>
      <c r="L1003" t="inlineStr"/>
      <c r="M1003" t="inlineStr">
        <is>
          <t>https://fixturedownload.com/download/nba-2024-UTC.csv</t>
        </is>
      </c>
    </row>
    <row r="1004">
      <c r="A1004" t="n">
        <v>973</v>
      </c>
      <c r="B1004" t="n">
        <v>19</v>
      </c>
      <c r="C1004" t="inlineStr">
        <is>
          <t>16/03/2025 00:30</t>
        </is>
      </c>
      <c r="D1004" t="inlineStr">
        <is>
          <t>Frost Bank Center</t>
        </is>
      </c>
      <c r="E1004" t="inlineStr">
        <is>
          <t>San Antonio Spurs</t>
        </is>
      </c>
      <c r="F1004" t="inlineStr">
        <is>
          <t>New Orleans Pelicans</t>
        </is>
      </c>
      <c r="G1004" t="n">
        <v>119</v>
      </c>
      <c r="H1004" t="n">
        <v>115</v>
      </c>
      <c r="I1004" t="inlineStr">
        <is>
          <t>San Antonio Spurs</t>
        </is>
      </c>
      <c r="J1004" t="inlineStr">
        <is>
          <t>New Orleans Pelicans</t>
        </is>
      </c>
      <c r="K1004" t="inlineStr">
        <is>
          <t>Yes</t>
        </is>
      </c>
      <c r="L1004" t="inlineStr"/>
      <c r="M1004" t="inlineStr">
        <is>
          <t>https://fixturedownload.com/download/nba-2024-UTC.csv</t>
        </is>
      </c>
    </row>
    <row r="1005">
      <c r="A1005" t="n">
        <v>974</v>
      </c>
      <c r="B1005" t="n">
        <v>19</v>
      </c>
      <c r="C1005" t="inlineStr">
        <is>
          <t>16/03/2025 00:30</t>
        </is>
      </c>
      <c r="D1005" t="inlineStr">
        <is>
          <t>Chase Center</t>
        </is>
      </c>
      <c r="E1005" t="inlineStr">
        <is>
          <t>Golden State Warriors</t>
        </is>
      </c>
      <c r="F1005" t="inlineStr">
        <is>
          <t>New York Knicks</t>
        </is>
      </c>
      <c r="G1005" t="n">
        <v>97</v>
      </c>
      <c r="H1005" t="n">
        <v>94</v>
      </c>
      <c r="I1005" t="inlineStr">
        <is>
          <t>Golden State Warriors</t>
        </is>
      </c>
      <c r="J1005" t="inlineStr">
        <is>
          <t>New York Knicks</t>
        </is>
      </c>
      <c r="K1005" t="inlineStr">
        <is>
          <t>Yes</t>
        </is>
      </c>
      <c r="L1005" t="inlineStr"/>
      <c r="M1005" t="inlineStr">
        <is>
          <t>https://fixturedownload.com/download/nba-2024-UTC.csv</t>
        </is>
      </c>
    </row>
    <row r="1006">
      <c r="A1006" t="n">
        <v>975</v>
      </c>
      <c r="B1006" t="n">
        <v>19</v>
      </c>
      <c r="C1006" t="inlineStr">
        <is>
          <t>16/03/2025 01:00</t>
        </is>
      </c>
      <c r="D1006" t="inlineStr">
        <is>
          <t>Ball Arena</t>
        </is>
      </c>
      <c r="E1006" t="inlineStr">
        <is>
          <t>Denver Nuggets</t>
        </is>
      </c>
      <c r="F1006" t="inlineStr">
        <is>
          <t>Washington Wizards</t>
        </is>
      </c>
      <c r="G1006" t="n">
        <v>123</v>
      </c>
      <c r="H1006" t="n">
        <v>126</v>
      </c>
      <c r="I1006" t="inlineStr">
        <is>
          <t>Washington Wizards</t>
        </is>
      </c>
      <c r="J1006" t="inlineStr">
        <is>
          <t>Denver Nuggets</t>
        </is>
      </c>
      <c r="K1006" t="inlineStr">
        <is>
          <t>Yes</t>
        </is>
      </c>
      <c r="L1006" t="inlineStr"/>
      <c r="M1006" t="inlineStr">
        <is>
          <t>https://fixturedownload.com/download/nba-2024-UTC.csv</t>
        </is>
      </c>
    </row>
    <row r="1007">
      <c r="A1007" t="n">
        <v>976</v>
      </c>
      <c r="B1007" t="n">
        <v>19</v>
      </c>
      <c r="C1007" t="inlineStr">
        <is>
          <t>16/03/2025 17:00</t>
        </is>
      </c>
      <c r="D1007" t="inlineStr">
        <is>
          <t>American Airlines Center</t>
        </is>
      </c>
      <c r="E1007" t="inlineStr">
        <is>
          <t>Dallas Mavericks</t>
        </is>
      </c>
      <c r="F1007" t="inlineStr">
        <is>
          <t>Philadelphia 76ers</t>
        </is>
      </c>
      <c r="G1007" t="n">
        <v>125</v>
      </c>
      <c r="H1007" t="n">
        <v>130</v>
      </c>
      <c r="I1007" t="inlineStr">
        <is>
          <t>Philadelphia 76ers</t>
        </is>
      </c>
      <c r="J1007" t="inlineStr">
        <is>
          <t>Dallas Mavericks</t>
        </is>
      </c>
      <c r="K1007" t="inlineStr">
        <is>
          <t>Yes</t>
        </is>
      </c>
      <c r="L1007" t="inlineStr"/>
      <c r="M1007" t="inlineStr">
        <is>
          <t>https://fixturedownload.com/download/nba-2024-UTC.csv</t>
        </is>
      </c>
    </row>
    <row r="1008">
      <c r="A1008" t="n">
        <v>979</v>
      </c>
      <c r="B1008" t="n">
        <v>19</v>
      </c>
      <c r="C1008" t="inlineStr">
        <is>
          <t>16/03/2025 17:00</t>
        </is>
      </c>
      <c r="D1008" t="inlineStr">
        <is>
          <t>Rocket Arena</t>
        </is>
      </c>
      <c r="E1008" t="inlineStr">
        <is>
          <t>Cleveland Cavaliers</t>
        </is>
      </c>
      <c r="F1008" t="inlineStr">
        <is>
          <t>Orlando Magic</t>
        </is>
      </c>
      <c r="G1008" t="n">
        <v>103</v>
      </c>
      <c r="H1008" t="n">
        <v>108</v>
      </c>
      <c r="I1008" t="inlineStr">
        <is>
          <t>Orlando Magic</t>
        </is>
      </c>
      <c r="J1008" t="inlineStr">
        <is>
          <t>Cleveland Cavaliers</t>
        </is>
      </c>
      <c r="K1008" t="inlineStr">
        <is>
          <t>Yes</t>
        </is>
      </c>
      <c r="L1008" t="inlineStr"/>
      <c r="M1008" t="inlineStr">
        <is>
          <t>https://fixturedownload.com/download/nba-2024-UTC.csv</t>
        </is>
      </c>
    </row>
    <row r="1009">
      <c r="A1009" t="n">
        <v>977</v>
      </c>
      <c r="B1009" t="n">
        <v>19</v>
      </c>
      <c r="C1009" t="inlineStr">
        <is>
          <t>16/03/2025 19:30</t>
        </is>
      </c>
      <c r="D1009" t="inlineStr">
        <is>
          <t>Crypto.com Arena</t>
        </is>
      </c>
      <c r="E1009" t="inlineStr">
        <is>
          <t>Los Angeles Lakers</t>
        </is>
      </c>
      <c r="F1009" t="inlineStr">
        <is>
          <t>Phoenix Suns</t>
        </is>
      </c>
      <c r="G1009" t="n">
        <v>107</v>
      </c>
      <c r="H1009" t="n">
        <v>96</v>
      </c>
      <c r="I1009" t="inlineStr">
        <is>
          <t>Los Angeles Lakers</t>
        </is>
      </c>
      <c r="J1009" t="inlineStr">
        <is>
          <t>Phoenix Suns</t>
        </is>
      </c>
      <c r="K1009" t="inlineStr">
        <is>
          <t>Yes</t>
        </is>
      </c>
      <c r="L1009" t="inlineStr"/>
      <c r="M1009" t="inlineStr">
        <is>
          <t>https://fixturedownload.com/download/nba-2024-UTC.csv</t>
        </is>
      </c>
    </row>
    <row r="1010">
      <c r="A1010" t="n">
        <v>978</v>
      </c>
      <c r="B1010" t="n">
        <v>19</v>
      </c>
      <c r="C1010" t="inlineStr">
        <is>
          <t>16/03/2025 22:00</t>
        </is>
      </c>
      <c r="D1010" t="inlineStr">
        <is>
          <t>Barclays Center</t>
        </is>
      </c>
      <c r="E1010" t="inlineStr">
        <is>
          <t>Brooklyn Nets</t>
        </is>
      </c>
      <c r="F1010" t="inlineStr">
        <is>
          <t>Atlanta Hawks</t>
        </is>
      </c>
      <c r="G1010" t="n">
        <v>122</v>
      </c>
      <c r="H1010" t="n">
        <v>114</v>
      </c>
      <c r="I1010" t="inlineStr">
        <is>
          <t>Brooklyn Nets</t>
        </is>
      </c>
      <c r="J1010" t="inlineStr">
        <is>
          <t>Atlanta Hawks</t>
        </is>
      </c>
      <c r="K1010" t="inlineStr">
        <is>
          <t>Yes</t>
        </is>
      </c>
      <c r="L1010" t="inlineStr"/>
      <c r="M1010" t="inlineStr">
        <is>
          <t>https://fixturedownload.com/download/nba-2024-UTC.csv</t>
        </is>
      </c>
    </row>
    <row r="1011">
      <c r="A1011" t="n">
        <v>980</v>
      </c>
      <c r="B1011" t="n">
        <v>19</v>
      </c>
      <c r="C1011" t="inlineStr">
        <is>
          <t>16/03/2025 22:00</t>
        </is>
      </c>
      <c r="D1011" t="inlineStr">
        <is>
          <t>Moda Center</t>
        </is>
      </c>
      <c r="E1011" t="inlineStr">
        <is>
          <t>Portland Trail Blazers</t>
        </is>
      </c>
      <c r="F1011" t="inlineStr">
        <is>
          <t>Toronto Raptors</t>
        </is>
      </c>
      <c r="G1011" t="n">
        <v>105</v>
      </c>
      <c r="H1011" t="n">
        <v>102</v>
      </c>
      <c r="I1011" t="inlineStr">
        <is>
          <t>Portland Trail Blazers</t>
        </is>
      </c>
      <c r="J1011" t="inlineStr">
        <is>
          <t>Toronto Raptors</t>
        </is>
      </c>
      <c r="K1011" t="inlineStr">
        <is>
          <t>Yes</t>
        </is>
      </c>
      <c r="L1011" t="inlineStr"/>
      <c r="M1011" t="inlineStr">
        <is>
          <t>https://fixturedownload.com/download/nba-2024-UTC.csv</t>
        </is>
      </c>
    </row>
    <row r="1012">
      <c r="A1012" t="n">
        <v>538</v>
      </c>
      <c r="B1012" t="n">
        <v>19</v>
      </c>
      <c r="C1012" t="inlineStr">
        <is>
          <t>16/03/2025 23:00</t>
        </is>
      </c>
      <c r="D1012" t="inlineStr">
        <is>
          <t>Intuit Dome</t>
        </is>
      </c>
      <c r="E1012" t="inlineStr">
        <is>
          <t>LA Clippers</t>
        </is>
      </c>
      <c r="F1012" t="inlineStr">
        <is>
          <t>Charlotte Hornets</t>
        </is>
      </c>
      <c r="G1012" t="n">
        <v>123</v>
      </c>
      <c r="H1012" t="n">
        <v>88</v>
      </c>
      <c r="I1012" t="inlineStr">
        <is>
          <t>LA Clippers</t>
        </is>
      </c>
      <c r="J1012" t="inlineStr">
        <is>
          <t>Charlotte Hornets</t>
        </is>
      </c>
      <c r="K1012" t="inlineStr">
        <is>
          <t>Yes</t>
        </is>
      </c>
      <c r="L1012" t="inlineStr"/>
      <c r="M1012" t="inlineStr">
        <is>
          <t>https://fixturedownload.com/download/nba-2024-UTC.csv</t>
        </is>
      </c>
    </row>
    <row r="1013">
      <c r="A1013" t="n">
        <v>981</v>
      </c>
      <c r="B1013" t="n">
        <v>19</v>
      </c>
      <c r="C1013" t="inlineStr">
        <is>
          <t>16/03/2025 23:00</t>
        </is>
      </c>
      <c r="D1013" t="inlineStr">
        <is>
          <t>Target Center</t>
        </is>
      </c>
      <c r="E1013" t="inlineStr">
        <is>
          <t>Minnesota Timberwolves</t>
        </is>
      </c>
      <c r="F1013" t="inlineStr">
        <is>
          <t>Utah Jazz</t>
        </is>
      </c>
      <c r="G1013" t="n">
        <v>128</v>
      </c>
      <c r="H1013" t="n">
        <v>102</v>
      </c>
      <c r="I1013" t="inlineStr">
        <is>
          <t>Minnesota Timberwolves</t>
        </is>
      </c>
      <c r="J1013" t="inlineStr">
        <is>
          <t>Utah Jazz</t>
        </is>
      </c>
      <c r="K1013" t="inlineStr">
        <is>
          <t>Yes</t>
        </is>
      </c>
      <c r="L1013" t="inlineStr"/>
      <c r="M1013" t="inlineStr">
        <is>
          <t>https://fixturedownload.com/download/nba-2024-UTC.csv</t>
        </is>
      </c>
    </row>
    <row r="1014">
      <c r="A1014" t="n">
        <v>982</v>
      </c>
      <c r="B1014" t="n">
        <v>19</v>
      </c>
      <c r="C1014" t="inlineStr">
        <is>
          <t>17/03/2025 01:00</t>
        </is>
      </c>
      <c r="D1014" t="inlineStr">
        <is>
          <t>Fiserv Forum</t>
        </is>
      </c>
      <c r="E1014" t="inlineStr">
        <is>
          <t>Milwaukee Bucks</t>
        </is>
      </c>
      <c r="F1014" t="inlineStr">
        <is>
          <t>Oklahoma City Thunder</t>
        </is>
      </c>
      <c r="G1014" t="n">
        <v>105</v>
      </c>
      <c r="H1014" t="n">
        <v>121</v>
      </c>
      <c r="I1014" t="inlineStr">
        <is>
          <t>Oklahoma City Thunder</t>
        </is>
      </c>
      <c r="J1014" t="inlineStr">
        <is>
          <t>Milwaukee Bucks</t>
        </is>
      </c>
      <c r="K1014" t="inlineStr">
        <is>
          <t>Yes</t>
        </is>
      </c>
      <c r="L1014" t="inlineStr"/>
      <c r="M1014" t="inlineStr">
        <is>
          <t>https://fixturedownload.com/download/nba-2024-UTC.csv</t>
        </is>
      </c>
    </row>
    <row r="1015">
      <c r="A1015" t="n">
        <v>984</v>
      </c>
      <c r="B1015" t="n">
        <v>19</v>
      </c>
      <c r="C1015" t="inlineStr">
        <is>
          <t>17/03/2025 23:30</t>
        </is>
      </c>
      <c r="D1015" t="inlineStr">
        <is>
          <t>Madison Square Garden</t>
        </is>
      </c>
      <c r="E1015" t="inlineStr">
        <is>
          <t>New York Knicks</t>
        </is>
      </c>
      <c r="F1015" t="inlineStr">
        <is>
          <t>Miami Heat</t>
        </is>
      </c>
      <c r="G1015" t="n">
        <v>116</v>
      </c>
      <c r="H1015" t="n">
        <v>95</v>
      </c>
      <c r="I1015" t="inlineStr">
        <is>
          <t>New York Knicks</t>
        </is>
      </c>
      <c r="J1015" t="inlineStr">
        <is>
          <t>Miami Heat</t>
        </is>
      </c>
      <c r="K1015" t="inlineStr">
        <is>
          <t>Yes</t>
        </is>
      </c>
      <c r="L1015" t="inlineStr"/>
      <c r="M1015" t="inlineStr">
        <is>
          <t>https://fixturedownload.com/download/nba-2024-UTC.csv</t>
        </is>
      </c>
    </row>
    <row r="1016">
      <c r="A1016" t="n">
        <v>985</v>
      </c>
      <c r="B1016" t="n">
        <v>19</v>
      </c>
      <c r="C1016" t="inlineStr">
        <is>
          <t>18/03/2025 00:00</t>
        </is>
      </c>
      <c r="D1016" t="inlineStr">
        <is>
          <t>Toyota Center</t>
        </is>
      </c>
      <c r="E1016" t="inlineStr">
        <is>
          <t>Houston Rockets</t>
        </is>
      </c>
      <c r="F1016" t="inlineStr">
        <is>
          <t>Philadelphia 76ers</t>
        </is>
      </c>
      <c r="G1016" t="n">
        <v>144</v>
      </c>
      <c r="H1016" t="n">
        <v>137</v>
      </c>
      <c r="I1016" t="inlineStr">
        <is>
          <t>Houston Rockets</t>
        </is>
      </c>
      <c r="J1016" t="inlineStr">
        <is>
          <t>Philadelphia 76ers</t>
        </is>
      </c>
      <c r="K1016" t="inlineStr">
        <is>
          <t>Yes</t>
        </is>
      </c>
      <c r="L1016" t="inlineStr"/>
      <c r="M1016" t="inlineStr">
        <is>
          <t>https://fixturedownload.com/download/nba-2024-UTC.csv</t>
        </is>
      </c>
    </row>
    <row r="1017">
      <c r="A1017" t="n">
        <v>986</v>
      </c>
      <c r="B1017" t="n">
        <v>19</v>
      </c>
      <c r="C1017" t="inlineStr">
        <is>
          <t>18/03/2025 00:00</t>
        </is>
      </c>
      <c r="D1017" t="inlineStr">
        <is>
          <t>Target Center</t>
        </is>
      </c>
      <c r="E1017" t="inlineStr">
        <is>
          <t>Minnesota Timberwolves</t>
        </is>
      </c>
      <c r="F1017" t="inlineStr">
        <is>
          <t>Indiana Pacers</t>
        </is>
      </c>
      <c r="G1017" t="n">
        <v>130</v>
      </c>
      <c r="H1017" t="n">
        <v>132</v>
      </c>
      <c r="I1017" t="inlineStr">
        <is>
          <t>Indiana Pacers</t>
        </is>
      </c>
      <c r="J1017" t="inlineStr">
        <is>
          <t>Minnesota Timberwolves</t>
        </is>
      </c>
      <c r="K1017" t="inlineStr">
        <is>
          <t>Yes</t>
        </is>
      </c>
      <c r="L1017" t="inlineStr"/>
      <c r="M1017" t="inlineStr">
        <is>
          <t>https://fixturedownload.com/download/nba-2024-UTC.csv</t>
        </is>
      </c>
    </row>
    <row r="1018">
      <c r="A1018" t="n">
        <v>987</v>
      </c>
      <c r="B1018" t="n">
        <v>19</v>
      </c>
      <c r="C1018" t="inlineStr">
        <is>
          <t>18/03/2025 00:00</t>
        </is>
      </c>
      <c r="D1018" t="inlineStr">
        <is>
          <t>Smoothie King Center</t>
        </is>
      </c>
      <c r="E1018" t="inlineStr">
        <is>
          <t>New Orleans Pelicans</t>
        </is>
      </c>
      <c r="F1018" t="inlineStr">
        <is>
          <t>Detroit Pistons</t>
        </is>
      </c>
      <c r="G1018" t="n">
        <v>81</v>
      </c>
      <c r="H1018" t="n">
        <v>127</v>
      </c>
      <c r="I1018" t="inlineStr">
        <is>
          <t>Detroit Pistons</t>
        </is>
      </c>
      <c r="J1018" t="inlineStr">
        <is>
          <t>New Orleans Pelicans</t>
        </is>
      </c>
      <c r="K1018" t="inlineStr">
        <is>
          <t>Yes</t>
        </is>
      </c>
      <c r="L1018" t="inlineStr"/>
      <c r="M1018" t="inlineStr">
        <is>
          <t>https://fixturedownload.com/download/nba-2024-UTC.csv</t>
        </is>
      </c>
    </row>
    <row r="1019">
      <c r="A1019" t="n">
        <v>989</v>
      </c>
      <c r="B1019" t="n">
        <v>19</v>
      </c>
      <c r="C1019" t="inlineStr">
        <is>
          <t>18/03/2025 01:00</t>
        </is>
      </c>
      <c r="D1019" t="inlineStr">
        <is>
          <t>Delta Center</t>
        </is>
      </c>
      <c r="E1019" t="inlineStr">
        <is>
          <t>Utah Jazz</t>
        </is>
      </c>
      <c r="F1019" t="inlineStr">
        <is>
          <t>Chicago Bulls</t>
        </is>
      </c>
      <c r="G1019" t="n">
        <v>97</v>
      </c>
      <c r="H1019" t="n">
        <v>111</v>
      </c>
      <c r="I1019" t="inlineStr">
        <is>
          <t>Chicago Bulls</t>
        </is>
      </c>
      <c r="J1019" t="inlineStr">
        <is>
          <t>Utah Jazz</t>
        </is>
      </c>
      <c r="K1019" t="inlineStr">
        <is>
          <t>Yes</t>
        </is>
      </c>
      <c r="L1019" t="inlineStr"/>
      <c r="M1019" t="inlineStr">
        <is>
          <t>https://fixturedownload.com/download/nba-2024-UTC.csv</t>
        </is>
      </c>
    </row>
    <row r="1020">
      <c r="A1020" t="n">
        <v>990</v>
      </c>
      <c r="B1020" t="n">
        <v>19</v>
      </c>
      <c r="C1020" t="inlineStr">
        <is>
          <t>18/03/2025 02:00</t>
        </is>
      </c>
      <c r="D1020" t="inlineStr">
        <is>
          <t>Chase Center</t>
        </is>
      </c>
      <c r="E1020" t="inlineStr">
        <is>
          <t>Golden State Warriors</t>
        </is>
      </c>
      <c r="F1020" t="inlineStr">
        <is>
          <t>Denver Nuggets</t>
        </is>
      </c>
      <c r="G1020" t="n">
        <v>105</v>
      </c>
      <c r="H1020" t="n">
        <v>114</v>
      </c>
      <c r="I1020" t="inlineStr">
        <is>
          <t>Denver Nuggets</t>
        </is>
      </c>
      <c r="J1020" t="inlineStr">
        <is>
          <t>Golden State Warriors</t>
        </is>
      </c>
      <c r="K1020" t="inlineStr">
        <is>
          <t>Yes</t>
        </is>
      </c>
      <c r="L1020" t="inlineStr"/>
      <c r="M1020" t="inlineStr">
        <is>
          <t>https://fixturedownload.com/download/nba-2024-UTC.csv</t>
        </is>
      </c>
    </row>
    <row r="1021">
      <c r="A1021" t="n">
        <v>991</v>
      </c>
      <c r="B1021" t="n">
        <v>19</v>
      </c>
      <c r="C1021" t="inlineStr">
        <is>
          <t>18/03/2025 02:00</t>
        </is>
      </c>
      <c r="D1021" t="inlineStr">
        <is>
          <t>PHX Arena</t>
        </is>
      </c>
      <c r="E1021" t="inlineStr">
        <is>
          <t>Phoenix Suns</t>
        </is>
      </c>
      <c r="F1021" t="inlineStr">
        <is>
          <t>Toronto Raptors</t>
        </is>
      </c>
      <c r="G1021" t="n">
        <v>129</v>
      </c>
      <c r="H1021" t="n">
        <v>89</v>
      </c>
      <c r="I1021" t="inlineStr">
        <is>
          <t>Phoenix Suns</t>
        </is>
      </c>
      <c r="J1021" t="inlineStr">
        <is>
          <t>Toronto Raptors</t>
        </is>
      </c>
      <c r="K1021" t="inlineStr">
        <is>
          <t>Yes</t>
        </is>
      </c>
      <c r="L1021" t="inlineStr"/>
      <c r="M1021" t="inlineStr">
        <is>
          <t>https://fixturedownload.com/download/nba-2024-UTC.csv</t>
        </is>
      </c>
    </row>
    <row r="1022">
      <c r="A1022" t="n">
        <v>992</v>
      </c>
      <c r="B1022" t="n">
        <v>19</v>
      </c>
      <c r="C1022" t="inlineStr">
        <is>
          <t>18/03/2025 02:00</t>
        </is>
      </c>
      <c r="D1022" t="inlineStr">
        <is>
          <t>Golden 1 Center</t>
        </is>
      </c>
      <c r="E1022" t="inlineStr">
        <is>
          <t>Sacramento Kings</t>
        </is>
      </c>
      <c r="F1022" t="inlineStr">
        <is>
          <t>Memphis Grizzlies</t>
        </is>
      </c>
      <c r="G1022" t="n">
        <v>132</v>
      </c>
      <c r="H1022" t="n">
        <v>122</v>
      </c>
      <c r="I1022" t="inlineStr">
        <is>
          <t>Sacramento Kings</t>
        </is>
      </c>
      <c r="J1022" t="inlineStr">
        <is>
          <t>Memphis Grizzlies</t>
        </is>
      </c>
      <c r="K1022" t="inlineStr">
        <is>
          <t>Yes</t>
        </is>
      </c>
      <c r="L1022" t="inlineStr"/>
      <c r="M1022" t="inlineStr">
        <is>
          <t>https://fixturedownload.com/download/nba-2024-UTC.csv</t>
        </is>
      </c>
    </row>
    <row r="1023">
      <c r="A1023" t="n">
        <v>995</v>
      </c>
      <c r="B1023" t="n">
        <v>19</v>
      </c>
      <c r="C1023" t="inlineStr">
        <is>
          <t>18/03/2025 02:00</t>
        </is>
      </c>
      <c r="D1023" t="inlineStr">
        <is>
          <t>Moda Center</t>
        </is>
      </c>
      <c r="E1023" t="inlineStr">
        <is>
          <t>Portland Trail Blazers</t>
        </is>
      </c>
      <c r="F1023" t="inlineStr">
        <is>
          <t>Washington Wizards</t>
        </is>
      </c>
      <c r="G1023" t="n">
        <v>112</v>
      </c>
      <c r="H1023" t="n">
        <v>97</v>
      </c>
      <c r="I1023" t="inlineStr">
        <is>
          <t>Portland Trail Blazers</t>
        </is>
      </c>
      <c r="J1023" t="inlineStr">
        <is>
          <t>Washington Wizards</t>
        </is>
      </c>
      <c r="K1023" t="inlineStr">
        <is>
          <t>Yes</t>
        </is>
      </c>
      <c r="L1023" t="inlineStr"/>
      <c r="M1023" t="inlineStr">
        <is>
          <t>https://fixturedownload.com/download/nba-2024-UTC.csv</t>
        </is>
      </c>
    </row>
    <row r="1024">
      <c r="A1024" t="n">
        <v>537</v>
      </c>
      <c r="B1024" t="n">
        <v>19</v>
      </c>
      <c r="C1024" t="inlineStr">
        <is>
          <t>18/03/2025 02:30</t>
        </is>
      </c>
      <c r="D1024" t="inlineStr">
        <is>
          <t>Crypto.com Arena</t>
        </is>
      </c>
      <c r="E1024" t="inlineStr">
        <is>
          <t>Los Angeles Lakers</t>
        </is>
      </c>
      <c r="F1024" t="inlineStr">
        <is>
          <t>San Antonio Spurs</t>
        </is>
      </c>
      <c r="G1024" t="n">
        <v>125</v>
      </c>
      <c r="H1024" t="n">
        <v>109</v>
      </c>
      <c r="I1024" t="inlineStr">
        <is>
          <t>Los Angeles Lakers</t>
        </is>
      </c>
      <c r="J1024" t="inlineStr">
        <is>
          <t>San Antonio Spurs</t>
        </is>
      </c>
      <c r="K1024" t="inlineStr">
        <is>
          <t>Yes</t>
        </is>
      </c>
      <c r="L1024" t="inlineStr"/>
      <c r="M1024" t="inlineStr">
        <is>
          <t>https://fixturedownload.com/download/nba-2024-UTC.csv</t>
        </is>
      </c>
    </row>
    <row r="1025">
      <c r="A1025" t="n">
        <v>993</v>
      </c>
      <c r="B1025" t="n">
        <v>19</v>
      </c>
      <c r="C1025" t="inlineStr">
        <is>
          <t>18/03/2025 23:00</t>
        </is>
      </c>
      <c r="D1025" t="inlineStr">
        <is>
          <t>Spectrum Center</t>
        </is>
      </c>
      <c r="E1025" t="inlineStr">
        <is>
          <t>Charlotte Hornets</t>
        </is>
      </c>
      <c r="F1025" t="inlineStr">
        <is>
          <t>Atlanta Hawks</t>
        </is>
      </c>
      <c r="G1025" t="n">
        <v>102</v>
      </c>
      <c r="H1025" t="n">
        <v>134</v>
      </c>
      <c r="I1025" t="inlineStr">
        <is>
          <t>Atlanta Hawks</t>
        </is>
      </c>
      <c r="J1025" t="inlineStr">
        <is>
          <t>Charlotte Hornets</t>
        </is>
      </c>
      <c r="K1025" t="inlineStr">
        <is>
          <t>Yes</t>
        </is>
      </c>
      <c r="L1025" t="inlineStr"/>
      <c r="M1025" t="inlineStr">
        <is>
          <t>https://fixturedownload.com/download/nba-2024-UTC.csv</t>
        </is>
      </c>
    </row>
    <row r="1026">
      <c r="A1026" t="n">
        <v>994</v>
      </c>
      <c r="B1026" t="n">
        <v>19</v>
      </c>
      <c r="C1026" t="inlineStr">
        <is>
          <t>18/03/2025 23:30</t>
        </is>
      </c>
      <c r="D1026" t="inlineStr">
        <is>
          <t>TD Garden</t>
        </is>
      </c>
      <c r="E1026" t="inlineStr">
        <is>
          <t>Boston Celtics</t>
        </is>
      </c>
      <c r="F1026" t="inlineStr">
        <is>
          <t>Brooklyn Nets</t>
        </is>
      </c>
      <c r="G1026" t="n">
        <v>104</v>
      </c>
      <c r="H1026" t="n">
        <v>96</v>
      </c>
      <c r="I1026" t="inlineStr">
        <is>
          <t>Boston Celtics</t>
        </is>
      </c>
      <c r="J1026" t="inlineStr">
        <is>
          <t>Brooklyn Nets</t>
        </is>
      </c>
      <c r="K1026" t="inlineStr">
        <is>
          <t>Yes</t>
        </is>
      </c>
      <c r="L1026" t="inlineStr"/>
      <c r="M1026" t="inlineStr">
        <is>
          <t>https://fixturedownload.com/download/nba-2024-UTC.csv</t>
        </is>
      </c>
    </row>
    <row r="1027">
      <c r="A1027" t="n">
        <v>1012</v>
      </c>
      <c r="B1027" t="n">
        <v>19</v>
      </c>
      <c r="C1027" t="inlineStr">
        <is>
          <t>19/03/2025 02:00</t>
        </is>
      </c>
      <c r="D1027" t="inlineStr">
        <is>
          <t>Chase Center</t>
        </is>
      </c>
      <c r="E1027" t="inlineStr">
        <is>
          <t>Golden State Warriors</t>
        </is>
      </c>
      <c r="F1027" t="inlineStr">
        <is>
          <t>Milwaukee Bucks</t>
        </is>
      </c>
      <c r="G1027" t="n">
        <v>104</v>
      </c>
      <c r="H1027" t="n">
        <v>93</v>
      </c>
      <c r="I1027" t="inlineStr">
        <is>
          <t>Golden State Warriors</t>
        </is>
      </c>
      <c r="J1027" t="inlineStr">
        <is>
          <t>Milwaukee Bucks</t>
        </is>
      </c>
      <c r="K1027" t="inlineStr">
        <is>
          <t>Yes</t>
        </is>
      </c>
      <c r="L1027" t="inlineStr"/>
      <c r="M1027" t="inlineStr">
        <is>
          <t>https://fixturedownload.com/download/nba-2024-UTC.csv</t>
        </is>
      </c>
    </row>
    <row r="1028">
      <c r="A1028" t="n">
        <v>997</v>
      </c>
      <c r="B1028" t="n">
        <v>19</v>
      </c>
      <c r="C1028" t="inlineStr">
        <is>
          <t>19/03/2025 02:30</t>
        </is>
      </c>
      <c r="D1028" t="inlineStr">
        <is>
          <t>Intuit Dome</t>
        </is>
      </c>
      <c r="E1028" t="inlineStr">
        <is>
          <t>LA Clippers</t>
        </is>
      </c>
      <c r="F1028" t="inlineStr">
        <is>
          <t>Cleveland Cavaliers</t>
        </is>
      </c>
      <c r="G1028" t="n">
        <v>132</v>
      </c>
      <c r="H1028" t="n">
        <v>119</v>
      </c>
      <c r="I1028" t="inlineStr">
        <is>
          <t>LA Clippers</t>
        </is>
      </c>
      <c r="J1028" t="inlineStr">
        <is>
          <t>Cleveland Cavaliers</t>
        </is>
      </c>
      <c r="K1028" t="inlineStr">
        <is>
          <t>Yes</t>
        </is>
      </c>
      <c r="L1028" t="inlineStr"/>
      <c r="M1028" t="inlineStr">
        <is>
          <t>https://fixturedownload.com/download/nba-2024-UTC.csv</t>
        </is>
      </c>
    </row>
    <row r="1029">
      <c r="A1029" t="n">
        <v>998</v>
      </c>
      <c r="B1029" t="n">
        <v>20</v>
      </c>
      <c r="C1029" t="inlineStr">
        <is>
          <t>19/03/2025 23:00</t>
        </is>
      </c>
      <c r="D1029" t="inlineStr">
        <is>
          <t>Gainbridge Fieldhouse</t>
        </is>
      </c>
      <c r="E1029" t="inlineStr">
        <is>
          <t>Indiana Pacers</t>
        </is>
      </c>
      <c r="F1029" t="inlineStr">
        <is>
          <t>Dallas Mavericks</t>
        </is>
      </c>
      <c r="G1029" t="n">
        <v>135</v>
      </c>
      <c r="H1029" t="n">
        <v>131</v>
      </c>
      <c r="I1029" t="inlineStr">
        <is>
          <t>Indiana Pacers</t>
        </is>
      </c>
      <c r="J1029" t="inlineStr">
        <is>
          <t>Dallas Mavericks</t>
        </is>
      </c>
      <c r="K1029" t="inlineStr">
        <is>
          <t>Yes</t>
        </is>
      </c>
      <c r="L1029" t="inlineStr"/>
      <c r="M1029" t="inlineStr">
        <is>
          <t>https://fixturedownload.com/download/nba-2024-UTC.csv</t>
        </is>
      </c>
    </row>
    <row r="1030">
      <c r="A1030" t="n">
        <v>999</v>
      </c>
      <c r="B1030" t="n">
        <v>20</v>
      </c>
      <c r="C1030" t="inlineStr">
        <is>
          <t>19/03/2025 23:00</t>
        </is>
      </c>
      <c r="D1030" t="inlineStr">
        <is>
          <t>Kia Center</t>
        </is>
      </c>
      <c r="E1030" t="inlineStr">
        <is>
          <t>Orlando Magic</t>
        </is>
      </c>
      <c r="F1030" t="inlineStr">
        <is>
          <t>Houston Rockets</t>
        </is>
      </c>
      <c r="G1030" t="n">
        <v>108</v>
      </c>
      <c r="H1030" t="n">
        <v>116</v>
      </c>
      <c r="I1030" t="inlineStr">
        <is>
          <t>Houston Rockets</t>
        </is>
      </c>
      <c r="J1030" t="inlineStr">
        <is>
          <t>Orlando Magic</t>
        </is>
      </c>
      <c r="K1030" t="inlineStr">
        <is>
          <t>Yes</t>
        </is>
      </c>
      <c r="L1030" t="inlineStr"/>
      <c r="M1030" t="inlineStr">
        <is>
          <t>https://fixturedownload.com/download/nba-2024-UTC.csv</t>
        </is>
      </c>
    </row>
    <row r="1031">
      <c r="A1031" t="n">
        <v>1000</v>
      </c>
      <c r="B1031" t="n">
        <v>20</v>
      </c>
      <c r="C1031" t="inlineStr">
        <is>
          <t>19/03/2025 23:30</t>
        </is>
      </c>
      <c r="D1031" t="inlineStr">
        <is>
          <t>Kaseya Center</t>
        </is>
      </c>
      <c r="E1031" t="inlineStr">
        <is>
          <t>Miami Heat</t>
        </is>
      </c>
      <c r="F1031" t="inlineStr">
        <is>
          <t>Detroit Pistons</t>
        </is>
      </c>
      <c r="G1031" t="n">
        <v>113</v>
      </c>
      <c r="H1031" t="n">
        <v>116</v>
      </c>
      <c r="I1031" t="inlineStr">
        <is>
          <t>Detroit Pistons</t>
        </is>
      </c>
      <c r="J1031" t="inlineStr">
        <is>
          <t>Miami Heat</t>
        </is>
      </c>
      <c r="K1031" t="inlineStr">
        <is>
          <t>Yes</t>
        </is>
      </c>
      <c r="L1031" t="inlineStr"/>
      <c r="M1031" t="inlineStr">
        <is>
          <t>https://fixturedownload.com/download/nba-2024-UTC.csv</t>
        </is>
      </c>
    </row>
    <row r="1032">
      <c r="A1032" t="n">
        <v>1001</v>
      </c>
      <c r="B1032" t="n">
        <v>20</v>
      </c>
      <c r="C1032" t="inlineStr">
        <is>
          <t>20/03/2025 00:00</t>
        </is>
      </c>
      <c r="D1032" t="inlineStr">
        <is>
          <t>Target Center</t>
        </is>
      </c>
      <c r="E1032" t="inlineStr">
        <is>
          <t>Minnesota Timberwolves</t>
        </is>
      </c>
      <c r="F1032" t="inlineStr">
        <is>
          <t>New Orleans Pelicans</t>
        </is>
      </c>
      <c r="G1032" t="n">
        <v>115</v>
      </c>
      <c r="H1032" t="n">
        <v>119</v>
      </c>
      <c r="I1032" t="inlineStr">
        <is>
          <t>New Orleans Pelicans</t>
        </is>
      </c>
      <c r="J1032" t="inlineStr">
        <is>
          <t>Minnesota Timberwolves</t>
        </is>
      </c>
      <c r="K1032" t="inlineStr">
        <is>
          <t>Yes</t>
        </is>
      </c>
      <c r="L1032" t="inlineStr"/>
      <c r="M1032" t="inlineStr">
        <is>
          <t>https://fixturedownload.com/download/nba-2024-UTC.csv</t>
        </is>
      </c>
    </row>
    <row r="1033">
      <c r="A1033" t="n">
        <v>1002</v>
      </c>
      <c r="B1033" t="n">
        <v>20</v>
      </c>
      <c r="C1033" t="inlineStr">
        <is>
          <t>20/03/2025 00:00</t>
        </is>
      </c>
      <c r="D1033" t="inlineStr">
        <is>
          <t>Paycom Center</t>
        </is>
      </c>
      <c r="E1033" t="inlineStr">
        <is>
          <t>Oklahoma City Thunder</t>
        </is>
      </c>
      <c r="F1033" t="inlineStr">
        <is>
          <t>Philadelphia 76ers</t>
        </is>
      </c>
      <c r="G1033" t="n">
        <v>133</v>
      </c>
      <c r="H1033" t="n">
        <v>100</v>
      </c>
      <c r="I1033" t="inlineStr">
        <is>
          <t>Oklahoma City Thunder</t>
        </is>
      </c>
      <c r="J1033" t="inlineStr">
        <is>
          <t>Philadelphia 76ers</t>
        </is>
      </c>
      <c r="K1033" t="inlineStr">
        <is>
          <t>Yes</t>
        </is>
      </c>
      <c r="L1033" t="inlineStr"/>
      <c r="M1033" t="inlineStr">
        <is>
          <t>https://fixturedownload.com/download/nba-2024-UTC.csv</t>
        </is>
      </c>
    </row>
    <row r="1034">
      <c r="A1034" t="n">
        <v>1003</v>
      </c>
      <c r="B1034" t="n">
        <v>20</v>
      </c>
      <c r="C1034" t="inlineStr">
        <is>
          <t>20/03/2025 00:00</t>
        </is>
      </c>
      <c r="D1034" t="inlineStr">
        <is>
          <t>Frost Bank Center</t>
        </is>
      </c>
      <c r="E1034" t="inlineStr">
        <is>
          <t>San Antonio Spurs</t>
        </is>
      </c>
      <c r="F1034" t="inlineStr">
        <is>
          <t>New York Knicks</t>
        </is>
      </c>
      <c r="G1034" t="n">
        <v>120</v>
      </c>
      <c r="H1034" t="n">
        <v>105</v>
      </c>
      <c r="I1034" t="inlineStr">
        <is>
          <t>San Antonio Spurs</t>
        </is>
      </c>
      <c r="J1034" t="inlineStr">
        <is>
          <t>New York Knicks</t>
        </is>
      </c>
      <c r="K1034" t="inlineStr">
        <is>
          <t>Yes</t>
        </is>
      </c>
      <c r="L1034" t="inlineStr"/>
      <c r="M1034" t="inlineStr">
        <is>
          <t>https://fixturedownload.com/download/nba-2024-UTC.csv</t>
        </is>
      </c>
    </row>
    <row r="1035">
      <c r="A1035" t="n">
        <v>627</v>
      </c>
      <c r="B1035" t="n">
        <v>20</v>
      </c>
      <c r="C1035" t="inlineStr">
        <is>
          <t>20/03/2025 01:00</t>
        </is>
      </c>
      <c r="D1035" t="inlineStr">
        <is>
          <t>Delta Center</t>
        </is>
      </c>
      <c r="E1035" t="inlineStr">
        <is>
          <t>Utah Jazz</t>
        </is>
      </c>
      <c r="F1035" t="inlineStr">
        <is>
          <t>Washington Wizards</t>
        </is>
      </c>
      <c r="G1035" t="n">
        <v>128</v>
      </c>
      <c r="H1035" t="n">
        <v>112</v>
      </c>
      <c r="I1035" t="inlineStr">
        <is>
          <t>Utah Jazz</t>
        </is>
      </c>
      <c r="J1035" t="inlineStr">
        <is>
          <t>Washington Wizards</t>
        </is>
      </c>
      <c r="K1035" t="inlineStr">
        <is>
          <t>Yes</t>
        </is>
      </c>
      <c r="L1035" t="inlineStr"/>
      <c r="M1035" t="inlineStr">
        <is>
          <t>https://fixturedownload.com/download/nba-2024-UTC.csv</t>
        </is>
      </c>
    </row>
    <row r="1036">
      <c r="A1036" t="n">
        <v>1006</v>
      </c>
      <c r="B1036" t="n">
        <v>20</v>
      </c>
      <c r="C1036" t="inlineStr">
        <is>
          <t>20/03/2025 02:00</t>
        </is>
      </c>
      <c r="D1036" t="inlineStr">
        <is>
          <t>Crypto.com Arena</t>
        </is>
      </c>
      <c r="E1036" t="inlineStr">
        <is>
          <t>Los Angeles Lakers</t>
        </is>
      </c>
      <c r="F1036" t="inlineStr">
        <is>
          <t>Denver Nuggets</t>
        </is>
      </c>
      <c r="G1036" t="n">
        <v>120</v>
      </c>
      <c r="H1036" t="n">
        <v>108</v>
      </c>
      <c r="I1036" t="inlineStr">
        <is>
          <t>Los Angeles Lakers</t>
        </is>
      </c>
      <c r="J1036" t="inlineStr">
        <is>
          <t>Denver Nuggets</t>
        </is>
      </c>
      <c r="K1036" t="inlineStr">
        <is>
          <t>Yes</t>
        </is>
      </c>
      <c r="L1036" t="inlineStr"/>
      <c r="M1036" t="inlineStr">
        <is>
          <t>https://fixturedownload.com/download/nba-2024-UTC.csv</t>
        </is>
      </c>
    </row>
    <row r="1037">
      <c r="A1037" t="n">
        <v>1007</v>
      </c>
      <c r="B1037" t="n">
        <v>20</v>
      </c>
      <c r="C1037" t="inlineStr">
        <is>
          <t>20/03/2025 02:00</t>
        </is>
      </c>
      <c r="D1037" t="inlineStr">
        <is>
          <t>PHX Arena</t>
        </is>
      </c>
      <c r="E1037" t="inlineStr">
        <is>
          <t>Phoenix Suns</t>
        </is>
      </c>
      <c r="F1037" t="inlineStr">
        <is>
          <t>Chicago Bulls</t>
        </is>
      </c>
      <c r="G1037" t="n">
        <v>127</v>
      </c>
      <c r="H1037" t="n">
        <v>121</v>
      </c>
      <c r="I1037" t="inlineStr">
        <is>
          <t>Phoenix Suns</t>
        </is>
      </c>
      <c r="J1037" t="inlineStr">
        <is>
          <t>Chicago Bulls</t>
        </is>
      </c>
      <c r="K1037" t="inlineStr">
        <is>
          <t>Yes</t>
        </is>
      </c>
      <c r="L1037" t="inlineStr"/>
      <c r="M1037" t="inlineStr">
        <is>
          <t>https://fixturedownload.com/download/nba-2024-UTC.csv</t>
        </is>
      </c>
    </row>
    <row r="1038">
      <c r="A1038" t="n">
        <v>1008</v>
      </c>
      <c r="B1038" t="n">
        <v>20</v>
      </c>
      <c r="C1038" t="inlineStr">
        <is>
          <t>20/03/2025 02:00</t>
        </is>
      </c>
      <c r="D1038" t="inlineStr">
        <is>
          <t>Moda Center</t>
        </is>
      </c>
      <c r="E1038" t="inlineStr">
        <is>
          <t>Portland Trail Blazers</t>
        </is>
      </c>
      <c r="F1038" t="inlineStr">
        <is>
          <t>Memphis Grizzlies</t>
        </is>
      </c>
      <c r="G1038" t="n">
        <v>115</v>
      </c>
      <c r="H1038" t="n">
        <v>99</v>
      </c>
      <c r="I1038" t="inlineStr">
        <is>
          <t>Portland Trail Blazers</t>
        </is>
      </c>
      <c r="J1038" t="inlineStr">
        <is>
          <t>Memphis Grizzlies</t>
        </is>
      </c>
      <c r="K1038" t="inlineStr">
        <is>
          <t>Yes</t>
        </is>
      </c>
      <c r="L1038" t="inlineStr"/>
      <c r="M1038" t="inlineStr">
        <is>
          <t>https://fixturedownload.com/download/nba-2024-UTC.csv</t>
        </is>
      </c>
    </row>
    <row r="1039">
      <c r="A1039" t="n">
        <v>1009</v>
      </c>
      <c r="B1039" t="n">
        <v>20</v>
      </c>
      <c r="C1039" t="inlineStr">
        <is>
          <t>20/03/2025 02:00</t>
        </is>
      </c>
      <c r="D1039" t="inlineStr">
        <is>
          <t>Golden 1 Center</t>
        </is>
      </c>
      <c r="E1039" t="inlineStr">
        <is>
          <t>Sacramento Kings</t>
        </is>
      </c>
      <c r="F1039" t="inlineStr">
        <is>
          <t>Cleveland Cavaliers</t>
        </is>
      </c>
      <c r="G1039" t="n">
        <v>123</v>
      </c>
      <c r="H1039" t="n">
        <v>119</v>
      </c>
      <c r="I1039" t="inlineStr">
        <is>
          <t>Sacramento Kings</t>
        </is>
      </c>
      <c r="J1039" t="inlineStr">
        <is>
          <t>Cleveland Cavaliers</t>
        </is>
      </c>
      <c r="K1039" t="inlineStr">
        <is>
          <t>Yes</t>
        </is>
      </c>
      <c r="L1039" t="inlineStr"/>
      <c r="M1039" t="inlineStr">
        <is>
          <t>https://fixturedownload.com/download/nba-2024-UTC.csv</t>
        </is>
      </c>
    </row>
    <row r="1040">
      <c r="A1040" t="n">
        <v>1010</v>
      </c>
      <c r="B1040" t="n">
        <v>20</v>
      </c>
      <c r="C1040" t="inlineStr">
        <is>
          <t>20/03/2025 23:00</t>
        </is>
      </c>
      <c r="D1040" t="inlineStr">
        <is>
          <t>Spectrum Center</t>
        </is>
      </c>
      <c r="E1040" t="inlineStr">
        <is>
          <t>Charlotte Hornets</t>
        </is>
      </c>
      <c r="F1040" t="inlineStr">
        <is>
          <t>New York Knicks</t>
        </is>
      </c>
      <c r="G1040" t="n">
        <v>115</v>
      </c>
      <c r="H1040" t="n">
        <v>98</v>
      </c>
      <c r="I1040" t="inlineStr">
        <is>
          <t>Charlotte Hornets</t>
        </is>
      </c>
      <c r="J1040" t="inlineStr">
        <is>
          <t>New York Knicks</t>
        </is>
      </c>
      <c r="K1040" t="inlineStr">
        <is>
          <t>Yes</t>
        </is>
      </c>
      <c r="L1040" t="inlineStr"/>
      <c r="M1040" t="inlineStr">
        <is>
          <t>https://fixturedownload.com/download/nba-2024-UTC.csv</t>
        </is>
      </c>
    </row>
    <row r="1041">
      <c r="A1041" t="n">
        <v>1011</v>
      </c>
      <c r="B1041" t="n">
        <v>20</v>
      </c>
      <c r="C1041" t="inlineStr">
        <is>
          <t>20/03/2025 23:00</t>
        </is>
      </c>
      <c r="D1041" t="inlineStr">
        <is>
          <t>Gainbridge Fieldhouse</t>
        </is>
      </c>
      <c r="E1041" t="inlineStr">
        <is>
          <t>Indiana Pacers</t>
        </is>
      </c>
      <c r="F1041" t="inlineStr">
        <is>
          <t>Brooklyn Nets</t>
        </is>
      </c>
      <c r="G1041" t="n">
        <v>105</v>
      </c>
      <c r="H1041" t="n">
        <v>99</v>
      </c>
      <c r="I1041" t="inlineStr">
        <is>
          <t>Indiana Pacers</t>
        </is>
      </c>
      <c r="J1041" t="inlineStr">
        <is>
          <t>Brooklyn Nets</t>
        </is>
      </c>
      <c r="K1041" t="inlineStr">
        <is>
          <t>Yes</t>
        </is>
      </c>
      <c r="L1041" t="inlineStr"/>
      <c r="M1041" t="inlineStr">
        <is>
          <t>https://fixturedownload.com/download/nba-2024-UTC.csv</t>
        </is>
      </c>
    </row>
    <row r="1042">
      <c r="A1042" t="n">
        <v>1005</v>
      </c>
      <c r="B1042" t="n">
        <v>20</v>
      </c>
      <c r="C1042" t="inlineStr">
        <is>
          <t>21/03/2025 02:00</t>
        </is>
      </c>
      <c r="D1042" t="inlineStr">
        <is>
          <t>Chase Center</t>
        </is>
      </c>
      <c r="E1042" t="inlineStr">
        <is>
          <t>Golden State Warriors</t>
        </is>
      </c>
      <c r="F1042" t="inlineStr">
        <is>
          <t>Toronto Raptors</t>
        </is>
      </c>
      <c r="G1042" t="n">
        <v>117</v>
      </c>
      <c r="H1042" t="n">
        <v>114</v>
      </c>
      <c r="I1042" t="inlineStr">
        <is>
          <t>Golden State Warriors</t>
        </is>
      </c>
      <c r="J1042" t="inlineStr">
        <is>
          <t>Toronto Raptors</t>
        </is>
      </c>
      <c r="K1042" t="inlineStr">
        <is>
          <t>Yes</t>
        </is>
      </c>
      <c r="L1042" t="inlineStr"/>
      <c r="M1042" t="inlineStr">
        <is>
          <t>https://fixturedownload.com/download/nba-2024-UTC.csv</t>
        </is>
      </c>
    </row>
    <row r="1043">
      <c r="A1043" t="n">
        <v>1013</v>
      </c>
      <c r="B1043" t="n">
        <v>20</v>
      </c>
      <c r="C1043" t="inlineStr">
        <is>
          <t>21/03/2025 02:00</t>
        </is>
      </c>
      <c r="D1043" t="inlineStr">
        <is>
          <t>Golden 1 Center</t>
        </is>
      </c>
      <c r="E1043" t="inlineStr">
        <is>
          <t>Sacramento Kings</t>
        </is>
      </c>
      <c r="F1043" t="inlineStr">
        <is>
          <t>Chicago Bulls</t>
        </is>
      </c>
      <c r="G1043" t="n">
        <v>116</v>
      </c>
      <c r="H1043" t="n">
        <v>128</v>
      </c>
      <c r="I1043" t="inlineStr">
        <is>
          <t>Chicago Bulls</t>
        </is>
      </c>
      <c r="J1043" t="inlineStr">
        <is>
          <t>Sacramento Kings</t>
        </is>
      </c>
      <c r="K1043" t="inlineStr">
        <is>
          <t>Yes</t>
        </is>
      </c>
      <c r="L1043" t="inlineStr"/>
      <c r="M1043" t="inlineStr">
        <is>
          <t>https://fixturedownload.com/download/nba-2024-UTC.csv</t>
        </is>
      </c>
    </row>
    <row r="1044">
      <c r="A1044" t="n">
        <v>996</v>
      </c>
      <c r="B1044" t="n">
        <v>20</v>
      </c>
      <c r="C1044" t="inlineStr">
        <is>
          <t>21/03/2025 02:30</t>
        </is>
      </c>
      <c r="D1044" t="inlineStr">
        <is>
          <t>Crypto.com Arena</t>
        </is>
      </c>
      <c r="E1044" t="inlineStr">
        <is>
          <t>Los Angeles Lakers</t>
        </is>
      </c>
      <c r="F1044" t="inlineStr">
        <is>
          <t>Milwaukee Bucks</t>
        </is>
      </c>
      <c r="G1044" t="n">
        <v>89</v>
      </c>
      <c r="H1044" t="n">
        <v>118</v>
      </c>
      <c r="I1044" t="inlineStr">
        <is>
          <t>Milwaukee Bucks</t>
        </is>
      </c>
      <c r="J1044" t="inlineStr">
        <is>
          <t>Los Angeles Lakers</t>
        </is>
      </c>
      <c r="K1044" t="inlineStr">
        <is>
          <t>Yes</t>
        </is>
      </c>
      <c r="L1044" t="inlineStr"/>
      <c r="M1044" t="inlineStr">
        <is>
          <t>https://fixturedownload.com/download/nba-2024-UTC.csv</t>
        </is>
      </c>
    </row>
    <row r="1045">
      <c r="A1045" t="n">
        <v>1014</v>
      </c>
      <c r="B1045" t="n">
        <v>20</v>
      </c>
      <c r="C1045" t="inlineStr">
        <is>
          <t>21/03/2025 23:00</t>
        </is>
      </c>
      <c r="D1045" t="inlineStr">
        <is>
          <t>Capital One Arena</t>
        </is>
      </c>
      <c r="E1045" t="inlineStr">
        <is>
          <t>Washington Wizards</t>
        </is>
      </c>
      <c r="F1045" t="inlineStr">
        <is>
          <t>Orlando Magic</t>
        </is>
      </c>
      <c r="G1045" t="n">
        <v>105</v>
      </c>
      <c r="H1045" t="n">
        <v>120</v>
      </c>
      <c r="I1045" t="inlineStr">
        <is>
          <t>Orlando Magic</t>
        </is>
      </c>
      <c r="J1045" t="inlineStr">
        <is>
          <t>Washington Wizards</t>
        </is>
      </c>
      <c r="K1045" t="inlineStr">
        <is>
          <t>Yes</t>
        </is>
      </c>
      <c r="L1045" t="inlineStr"/>
      <c r="M1045" t="inlineStr">
        <is>
          <t>https://fixturedownload.com/download/nba-2024-UTC.csv</t>
        </is>
      </c>
    </row>
    <row r="1046">
      <c r="A1046" t="n">
        <v>1015</v>
      </c>
      <c r="B1046" t="n">
        <v>20</v>
      </c>
      <c r="C1046" t="inlineStr">
        <is>
          <t>22/03/2025 00:00</t>
        </is>
      </c>
      <c r="D1046" t="inlineStr">
        <is>
          <t>Kaseya Center</t>
        </is>
      </c>
      <c r="E1046" t="inlineStr">
        <is>
          <t>Miami Heat</t>
        </is>
      </c>
      <c r="F1046" t="inlineStr">
        <is>
          <t>Houston Rockets</t>
        </is>
      </c>
      <c r="G1046" t="n">
        <v>98</v>
      </c>
      <c r="H1046" t="n">
        <v>102</v>
      </c>
      <c r="I1046" t="inlineStr">
        <is>
          <t>Houston Rockets</t>
        </is>
      </c>
      <c r="J1046" t="inlineStr">
        <is>
          <t>Miami Heat</t>
        </is>
      </c>
      <c r="K1046" t="inlineStr">
        <is>
          <t>Yes</t>
        </is>
      </c>
      <c r="L1046" t="inlineStr"/>
      <c r="M1046" t="inlineStr">
        <is>
          <t>https://fixturedownload.com/download/nba-2024-UTC.csv</t>
        </is>
      </c>
    </row>
    <row r="1047">
      <c r="A1047" t="n">
        <v>1016</v>
      </c>
      <c r="B1047" t="n">
        <v>20</v>
      </c>
      <c r="C1047" t="inlineStr">
        <is>
          <t>22/03/2025 00:00</t>
        </is>
      </c>
      <c r="D1047" t="inlineStr">
        <is>
          <t>Target Center</t>
        </is>
      </c>
      <c r="E1047" t="inlineStr">
        <is>
          <t>Minnesota Timberwolves</t>
        </is>
      </c>
      <c r="F1047" t="inlineStr">
        <is>
          <t>New Orleans Pelicans</t>
        </is>
      </c>
      <c r="G1047" t="n">
        <v>134</v>
      </c>
      <c r="H1047" t="n">
        <v>93</v>
      </c>
      <c r="I1047" t="inlineStr">
        <is>
          <t>Minnesota Timberwolves</t>
        </is>
      </c>
      <c r="J1047" t="inlineStr">
        <is>
          <t>New Orleans Pelicans</t>
        </is>
      </c>
      <c r="K1047" t="inlineStr">
        <is>
          <t>Yes</t>
        </is>
      </c>
      <c r="L1047" t="inlineStr"/>
      <c r="M1047" t="inlineStr">
        <is>
          <t>https://fixturedownload.com/download/nba-2024-UTC.csv</t>
        </is>
      </c>
    </row>
    <row r="1048">
      <c r="A1048" t="n">
        <v>1017</v>
      </c>
      <c r="B1048" t="n">
        <v>20</v>
      </c>
      <c r="C1048" t="inlineStr">
        <is>
          <t>22/03/2025 00:00</t>
        </is>
      </c>
      <c r="D1048" t="inlineStr">
        <is>
          <t>Paycom Center</t>
        </is>
      </c>
      <c r="E1048" t="inlineStr">
        <is>
          <t>Oklahoma City Thunder</t>
        </is>
      </c>
      <c r="F1048" t="inlineStr">
        <is>
          <t>Charlotte Hornets</t>
        </is>
      </c>
      <c r="G1048" t="n">
        <v>141</v>
      </c>
      <c r="H1048" t="n">
        <v>106</v>
      </c>
      <c r="I1048" t="inlineStr">
        <is>
          <t>Oklahoma City Thunder</t>
        </is>
      </c>
      <c r="J1048" t="inlineStr">
        <is>
          <t>Charlotte Hornets</t>
        </is>
      </c>
      <c r="K1048" t="inlineStr">
        <is>
          <t>Yes</t>
        </is>
      </c>
      <c r="L1048" t="inlineStr"/>
      <c r="M1048" t="inlineStr">
        <is>
          <t>https://fixturedownload.com/download/nba-2024-UTC.csv</t>
        </is>
      </c>
    </row>
    <row r="1049">
      <c r="A1049" t="n">
        <v>1018</v>
      </c>
      <c r="B1049" t="n">
        <v>20</v>
      </c>
      <c r="C1049" t="inlineStr">
        <is>
          <t>22/03/2025 00:00</t>
        </is>
      </c>
      <c r="D1049" t="inlineStr">
        <is>
          <t>Frost Bank Center</t>
        </is>
      </c>
      <c r="E1049" t="inlineStr">
        <is>
          <t>San Antonio Spurs</t>
        </is>
      </c>
      <c r="F1049" t="inlineStr">
        <is>
          <t>Philadelphia 76ers</t>
        </is>
      </c>
      <c r="G1049" t="n">
        <v>128</v>
      </c>
      <c r="H1049" t="n">
        <v>120</v>
      </c>
      <c r="I1049" t="inlineStr">
        <is>
          <t>San Antonio Spurs</t>
        </is>
      </c>
      <c r="J1049" t="inlineStr">
        <is>
          <t>Philadelphia 76ers</t>
        </is>
      </c>
      <c r="K1049" t="inlineStr">
        <is>
          <t>Yes</t>
        </is>
      </c>
      <c r="L1049" t="inlineStr"/>
      <c r="M1049" t="inlineStr">
        <is>
          <t>https://fixturedownload.com/download/nba-2024-UTC.csv</t>
        </is>
      </c>
    </row>
    <row r="1050">
      <c r="A1050" t="n">
        <v>1019</v>
      </c>
      <c r="B1050" t="n">
        <v>20</v>
      </c>
      <c r="C1050" t="inlineStr">
        <is>
          <t>22/03/2025 00:30</t>
        </is>
      </c>
      <c r="D1050" t="inlineStr">
        <is>
          <t>American Airlines Center</t>
        </is>
      </c>
      <c r="E1050" t="inlineStr">
        <is>
          <t>Dallas Mavericks</t>
        </is>
      </c>
      <c r="F1050" t="inlineStr">
        <is>
          <t>Detroit Pistons</t>
        </is>
      </c>
      <c r="G1050" t="n">
        <v>123</v>
      </c>
      <c r="H1050" t="n">
        <v>117</v>
      </c>
      <c r="I1050" t="inlineStr">
        <is>
          <t>Dallas Mavericks</t>
        </is>
      </c>
      <c r="J1050" t="inlineStr">
        <is>
          <t>Detroit Pistons</t>
        </is>
      </c>
      <c r="K1050" t="inlineStr">
        <is>
          <t>Yes</t>
        </is>
      </c>
      <c r="L1050" t="inlineStr"/>
      <c r="M1050" t="inlineStr">
        <is>
          <t>https://fixturedownload.com/download/nba-2024-UTC.csv</t>
        </is>
      </c>
    </row>
    <row r="1051">
      <c r="A1051" t="n">
        <v>1020</v>
      </c>
      <c r="B1051" t="n">
        <v>20</v>
      </c>
      <c r="C1051" t="inlineStr">
        <is>
          <t>22/03/2025 01:30</t>
        </is>
      </c>
      <c r="D1051" t="inlineStr">
        <is>
          <t>Delta Center</t>
        </is>
      </c>
      <c r="E1051" t="inlineStr">
        <is>
          <t>Utah Jazz</t>
        </is>
      </c>
      <c r="F1051" t="inlineStr">
        <is>
          <t>Boston Celtics</t>
        </is>
      </c>
      <c r="G1051" t="n">
        <v>99</v>
      </c>
      <c r="H1051" t="n">
        <v>121</v>
      </c>
      <c r="I1051" t="inlineStr">
        <is>
          <t>Boston Celtics</t>
        </is>
      </c>
      <c r="J1051" t="inlineStr">
        <is>
          <t>Utah Jazz</t>
        </is>
      </c>
      <c r="K1051" t="inlineStr">
        <is>
          <t>Yes</t>
        </is>
      </c>
      <c r="L1051" t="inlineStr"/>
      <c r="M1051" t="inlineStr">
        <is>
          <t>https://fixturedownload.com/download/nba-2024-UTC.csv</t>
        </is>
      </c>
    </row>
    <row r="1052">
      <c r="A1052" t="n">
        <v>1021</v>
      </c>
      <c r="B1052" t="n">
        <v>20</v>
      </c>
      <c r="C1052" t="inlineStr">
        <is>
          <t>22/03/2025 02:00</t>
        </is>
      </c>
      <c r="D1052" t="inlineStr">
        <is>
          <t>PHX Arena</t>
        </is>
      </c>
      <c r="E1052" t="inlineStr">
        <is>
          <t>Phoenix Suns</t>
        </is>
      </c>
      <c r="F1052" t="inlineStr">
        <is>
          <t>Cleveland Cavaliers</t>
        </is>
      </c>
      <c r="G1052" t="n">
        <v>123</v>
      </c>
      <c r="H1052" t="n">
        <v>112</v>
      </c>
      <c r="I1052" t="inlineStr">
        <is>
          <t>Phoenix Suns</t>
        </is>
      </c>
      <c r="J1052" t="inlineStr">
        <is>
          <t>Cleveland Cavaliers</t>
        </is>
      </c>
      <c r="K1052" t="inlineStr">
        <is>
          <t>Yes</t>
        </is>
      </c>
      <c r="L1052" t="inlineStr"/>
      <c r="M1052" t="inlineStr">
        <is>
          <t>https://fixturedownload.com/download/nba-2024-UTC.csv</t>
        </is>
      </c>
    </row>
    <row r="1053">
      <c r="A1053" t="n">
        <v>1022</v>
      </c>
      <c r="B1053" t="n">
        <v>20</v>
      </c>
      <c r="C1053" t="inlineStr">
        <is>
          <t>22/03/2025 02:00</t>
        </is>
      </c>
      <c r="D1053" t="inlineStr">
        <is>
          <t>Moda Center</t>
        </is>
      </c>
      <c r="E1053" t="inlineStr">
        <is>
          <t>Portland Trail Blazers</t>
        </is>
      </c>
      <c r="F1053" t="inlineStr">
        <is>
          <t>Denver Nuggets</t>
        </is>
      </c>
      <c r="G1053" t="n">
        <v>128</v>
      </c>
      <c r="H1053" t="n">
        <v>109</v>
      </c>
      <c r="I1053" t="inlineStr">
        <is>
          <t>Portland Trail Blazers</t>
        </is>
      </c>
      <c r="J1053" t="inlineStr">
        <is>
          <t>Denver Nuggets</t>
        </is>
      </c>
      <c r="K1053" t="inlineStr">
        <is>
          <t>Yes</t>
        </is>
      </c>
      <c r="L1053" t="inlineStr"/>
      <c r="M1053" t="inlineStr">
        <is>
          <t>https://fixturedownload.com/download/nba-2024-UTC.csv</t>
        </is>
      </c>
    </row>
    <row r="1054">
      <c r="A1054" t="n">
        <v>1023</v>
      </c>
      <c r="B1054" t="n">
        <v>20</v>
      </c>
      <c r="C1054" t="inlineStr">
        <is>
          <t>22/03/2025 02:30</t>
        </is>
      </c>
      <c r="D1054" t="inlineStr">
        <is>
          <t>Intuit Dome</t>
        </is>
      </c>
      <c r="E1054" t="inlineStr">
        <is>
          <t>LA Clippers</t>
        </is>
      </c>
      <c r="F1054" t="inlineStr">
        <is>
          <t>Memphis Grizzlies</t>
        </is>
      </c>
      <c r="G1054" t="n">
        <v>128</v>
      </c>
      <c r="H1054" t="n">
        <v>108</v>
      </c>
      <c r="I1054" t="inlineStr">
        <is>
          <t>LA Clippers</t>
        </is>
      </c>
      <c r="J1054" t="inlineStr">
        <is>
          <t>Memphis Grizzlies</t>
        </is>
      </c>
      <c r="K1054" t="inlineStr">
        <is>
          <t>Yes</t>
        </is>
      </c>
      <c r="L1054" t="inlineStr"/>
      <c r="M1054" t="inlineStr">
        <is>
          <t>https://fixturedownload.com/download/nba-2024-UTC.csv</t>
        </is>
      </c>
    </row>
    <row r="1055">
      <c r="A1055" t="n">
        <v>1024</v>
      </c>
      <c r="B1055" t="n">
        <v>20</v>
      </c>
      <c r="C1055" t="inlineStr">
        <is>
          <t>22/03/2025 21:00</t>
        </is>
      </c>
      <c r="D1055" t="inlineStr">
        <is>
          <t>Gainbridge Fieldhouse</t>
        </is>
      </c>
      <c r="E1055" t="inlineStr">
        <is>
          <t>Indiana Pacers</t>
        </is>
      </c>
      <c r="F1055" t="inlineStr">
        <is>
          <t>Brooklyn Nets</t>
        </is>
      </c>
      <c r="G1055" t="n">
        <v>108</v>
      </c>
      <c r="H1055" t="n">
        <v>103</v>
      </c>
      <c r="I1055" t="inlineStr">
        <is>
          <t>Indiana Pacers</t>
        </is>
      </c>
      <c r="J1055" t="inlineStr">
        <is>
          <t>Brooklyn Nets</t>
        </is>
      </c>
      <c r="K1055" t="inlineStr">
        <is>
          <t>Yes</t>
        </is>
      </c>
      <c r="L1055" t="inlineStr"/>
      <c r="M1055" t="inlineStr">
        <is>
          <t>https://fixturedownload.com/download/nba-2024-UTC.csv</t>
        </is>
      </c>
    </row>
    <row r="1056">
      <c r="A1056" t="n">
        <v>1025</v>
      </c>
      <c r="B1056" t="n">
        <v>20</v>
      </c>
      <c r="C1056" t="inlineStr">
        <is>
          <t>22/03/2025 23:00</t>
        </is>
      </c>
      <c r="D1056" t="inlineStr">
        <is>
          <t>State Farm Arena</t>
        </is>
      </c>
      <c r="E1056" t="inlineStr">
        <is>
          <t>Atlanta Hawks</t>
        </is>
      </c>
      <c r="F1056" t="inlineStr">
        <is>
          <t>Golden State Warriors</t>
        </is>
      </c>
      <c r="G1056" t="n">
        <v>124</v>
      </c>
      <c r="H1056" t="n">
        <v>115</v>
      </c>
      <c r="I1056" t="inlineStr">
        <is>
          <t>Atlanta Hawks</t>
        </is>
      </c>
      <c r="J1056" t="inlineStr">
        <is>
          <t>Golden State Warriors</t>
        </is>
      </c>
      <c r="K1056" t="inlineStr">
        <is>
          <t>Yes</t>
        </is>
      </c>
      <c r="L1056" t="inlineStr"/>
      <c r="M1056" t="inlineStr">
        <is>
          <t>https://fixturedownload.com/download/nba-2024-UTC.csv</t>
        </is>
      </c>
    </row>
    <row r="1057">
      <c r="A1057" t="n">
        <v>1026</v>
      </c>
      <c r="B1057" t="n">
        <v>20</v>
      </c>
      <c r="C1057" t="inlineStr">
        <is>
          <t>23/03/2025 00:00</t>
        </is>
      </c>
      <c r="D1057" t="inlineStr">
        <is>
          <t>Madison Square Garden</t>
        </is>
      </c>
      <c r="E1057" t="inlineStr">
        <is>
          <t>New York Knicks</t>
        </is>
      </c>
      <c r="F1057" t="inlineStr">
        <is>
          <t>Washington Wizards</t>
        </is>
      </c>
      <c r="G1057" t="n">
        <v>122</v>
      </c>
      <c r="H1057" t="n">
        <v>103</v>
      </c>
      <c r="I1057" t="inlineStr">
        <is>
          <t>New York Knicks</t>
        </is>
      </c>
      <c r="J1057" t="inlineStr">
        <is>
          <t>Washington Wizards</t>
        </is>
      </c>
      <c r="K1057" t="inlineStr">
        <is>
          <t>Yes</t>
        </is>
      </c>
      <c r="L1057" t="inlineStr"/>
      <c r="M1057" t="inlineStr">
        <is>
          <t>https://fixturedownload.com/download/nba-2024-UTC.csv</t>
        </is>
      </c>
    </row>
    <row r="1058">
      <c r="A1058" t="n">
        <v>1027</v>
      </c>
      <c r="B1058" t="n">
        <v>20</v>
      </c>
      <c r="C1058" t="inlineStr">
        <is>
          <t>23/03/2025 02:00</t>
        </is>
      </c>
      <c r="D1058" t="inlineStr">
        <is>
          <t>Golden 1 Center</t>
        </is>
      </c>
      <c r="E1058" t="inlineStr">
        <is>
          <t>Sacramento Kings</t>
        </is>
      </c>
      <c r="F1058" t="inlineStr">
        <is>
          <t>Milwaukee Bucks</t>
        </is>
      </c>
      <c r="G1058" t="n">
        <v>108</v>
      </c>
      <c r="H1058" t="n">
        <v>114</v>
      </c>
      <c r="I1058" t="inlineStr">
        <is>
          <t>Milwaukee Bucks</t>
        </is>
      </c>
      <c r="J1058" t="inlineStr">
        <is>
          <t>Sacramento Kings</t>
        </is>
      </c>
      <c r="K1058" t="inlineStr">
        <is>
          <t>Yes</t>
        </is>
      </c>
      <c r="L1058" t="inlineStr"/>
      <c r="M1058" t="inlineStr">
        <is>
          <t>https://fixturedownload.com/download/nba-2024-UTC.csv</t>
        </is>
      </c>
    </row>
    <row r="1059">
      <c r="A1059" t="n">
        <v>1028</v>
      </c>
      <c r="B1059" t="n">
        <v>20</v>
      </c>
      <c r="C1059" t="inlineStr">
        <is>
          <t>23/03/2025 02:30</t>
        </is>
      </c>
      <c r="D1059" t="inlineStr">
        <is>
          <t>Crypto.com Arena</t>
        </is>
      </c>
      <c r="E1059" t="inlineStr">
        <is>
          <t>Los Angeles Lakers</t>
        </is>
      </c>
      <c r="F1059" t="inlineStr">
        <is>
          <t>Chicago Bulls</t>
        </is>
      </c>
      <c r="G1059" t="n">
        <v>115</v>
      </c>
      <c r="H1059" t="n">
        <v>146</v>
      </c>
      <c r="I1059" t="inlineStr">
        <is>
          <t>Chicago Bulls</t>
        </is>
      </c>
      <c r="J1059" t="inlineStr">
        <is>
          <t>Los Angeles Lakers</t>
        </is>
      </c>
      <c r="K1059" t="inlineStr">
        <is>
          <t>Yes</t>
        </is>
      </c>
      <c r="L1059" t="inlineStr"/>
      <c r="M1059" t="inlineStr">
        <is>
          <t>https://fixturedownload.com/download/nba-2024-UTC.csv</t>
        </is>
      </c>
    </row>
    <row r="1060">
      <c r="A1060" t="n">
        <v>1029</v>
      </c>
      <c r="B1060" t="n">
        <v>20</v>
      </c>
      <c r="C1060" t="inlineStr">
        <is>
          <t>23/03/2025 19:00</t>
        </is>
      </c>
      <c r="D1060" t="inlineStr">
        <is>
          <t>Little Caesars Arena</t>
        </is>
      </c>
      <c r="E1060" t="inlineStr">
        <is>
          <t>Detroit Pistons</t>
        </is>
      </c>
      <c r="F1060" t="inlineStr">
        <is>
          <t>New Orleans Pelicans</t>
        </is>
      </c>
      <c r="G1060" t="n">
        <v>136</v>
      </c>
      <c r="H1060" t="n">
        <v>130</v>
      </c>
      <c r="I1060" t="inlineStr">
        <is>
          <t>Detroit Pistons</t>
        </is>
      </c>
      <c r="J1060" t="inlineStr">
        <is>
          <t>New Orleans Pelicans</t>
        </is>
      </c>
      <c r="K1060" t="inlineStr">
        <is>
          <t>Yes</t>
        </is>
      </c>
      <c r="L1060" t="inlineStr"/>
      <c r="M1060" t="inlineStr">
        <is>
          <t>https://fixturedownload.com/download/nba-2024-UTC.csv</t>
        </is>
      </c>
    </row>
    <row r="1061">
      <c r="A1061" t="n">
        <v>1030</v>
      </c>
      <c r="B1061" t="n">
        <v>20</v>
      </c>
      <c r="C1061" t="inlineStr">
        <is>
          <t>23/03/2025 19:30</t>
        </is>
      </c>
      <c r="D1061" t="inlineStr">
        <is>
          <t>Delta Center</t>
        </is>
      </c>
      <c r="E1061" t="inlineStr">
        <is>
          <t>Utah Jazz</t>
        </is>
      </c>
      <c r="F1061" t="inlineStr">
        <is>
          <t>Cleveland Cavaliers</t>
        </is>
      </c>
      <c r="G1061" t="n">
        <v>91</v>
      </c>
      <c r="H1061" t="n">
        <v>120</v>
      </c>
      <c r="I1061" t="inlineStr">
        <is>
          <t>Cleveland Cavaliers</t>
        </is>
      </c>
      <c r="J1061" t="inlineStr">
        <is>
          <t>Utah Jazz</t>
        </is>
      </c>
      <c r="K1061" t="inlineStr">
        <is>
          <t>Yes</t>
        </is>
      </c>
      <c r="L1061" t="inlineStr"/>
      <c r="M1061" t="inlineStr">
        <is>
          <t>https://fixturedownload.com/download/nba-2024-UTC.csv</t>
        </is>
      </c>
    </row>
    <row r="1062">
      <c r="A1062" t="n">
        <v>1031</v>
      </c>
      <c r="B1062" t="n">
        <v>20</v>
      </c>
      <c r="C1062" t="inlineStr">
        <is>
          <t>23/03/2025 22:00</t>
        </is>
      </c>
      <c r="D1062" t="inlineStr">
        <is>
          <t>State Farm Arena</t>
        </is>
      </c>
      <c r="E1062" t="inlineStr">
        <is>
          <t>Atlanta Hawks</t>
        </is>
      </c>
      <c r="F1062" t="inlineStr">
        <is>
          <t>Philadelphia 76ers</t>
        </is>
      </c>
      <c r="G1062" t="n">
        <v>132</v>
      </c>
      <c r="H1062" t="n">
        <v>119</v>
      </c>
      <c r="I1062" t="inlineStr">
        <is>
          <t>Atlanta Hawks</t>
        </is>
      </c>
      <c r="J1062" t="inlineStr">
        <is>
          <t>Philadelphia 76ers</t>
        </is>
      </c>
      <c r="K1062" t="inlineStr">
        <is>
          <t>Yes</t>
        </is>
      </c>
      <c r="L1062" t="inlineStr"/>
      <c r="M1062" t="inlineStr">
        <is>
          <t>https://fixturedownload.com/download/nba-2024-UTC.csv</t>
        </is>
      </c>
    </row>
    <row r="1063">
      <c r="A1063" t="n">
        <v>1032</v>
      </c>
      <c r="B1063" t="n">
        <v>20</v>
      </c>
      <c r="C1063" t="inlineStr">
        <is>
          <t>23/03/2025 22:00</t>
        </is>
      </c>
      <c r="D1063" t="inlineStr">
        <is>
          <t>Kaseya Center</t>
        </is>
      </c>
      <c r="E1063" t="inlineStr">
        <is>
          <t>Miami Heat</t>
        </is>
      </c>
      <c r="F1063" t="inlineStr">
        <is>
          <t>Charlotte Hornets</t>
        </is>
      </c>
      <c r="G1063" t="n">
        <v>122</v>
      </c>
      <c r="H1063" t="n">
        <v>105</v>
      </c>
      <c r="I1063" t="inlineStr">
        <is>
          <t>Miami Heat</t>
        </is>
      </c>
      <c r="J1063" t="inlineStr">
        <is>
          <t>Charlotte Hornets</t>
        </is>
      </c>
      <c r="K1063" t="inlineStr">
        <is>
          <t>Yes</t>
        </is>
      </c>
      <c r="L1063" t="inlineStr"/>
      <c r="M1063" t="inlineStr">
        <is>
          <t>https://fixturedownload.com/download/nba-2024-UTC.csv</t>
        </is>
      </c>
    </row>
    <row r="1064">
      <c r="A1064" t="n">
        <v>1033</v>
      </c>
      <c r="B1064" t="n">
        <v>20</v>
      </c>
      <c r="C1064" t="inlineStr">
        <is>
          <t>23/03/2025 22:00</t>
        </is>
      </c>
      <c r="D1064" t="inlineStr">
        <is>
          <t>Scotiabank Arena</t>
        </is>
      </c>
      <c r="E1064" t="inlineStr">
        <is>
          <t>Toronto Raptors</t>
        </is>
      </c>
      <c r="F1064" t="inlineStr">
        <is>
          <t>San Antonio Spurs</t>
        </is>
      </c>
      <c r="G1064" t="n">
        <v>89</v>
      </c>
      <c r="H1064" t="n">
        <v>123</v>
      </c>
      <c r="I1064" t="inlineStr">
        <is>
          <t>San Antonio Spurs</t>
        </is>
      </c>
      <c r="J1064" t="inlineStr">
        <is>
          <t>Toronto Raptors</t>
        </is>
      </c>
      <c r="K1064" t="inlineStr">
        <is>
          <t>Yes</t>
        </is>
      </c>
      <c r="L1064" t="inlineStr"/>
      <c r="M1064" t="inlineStr">
        <is>
          <t>https://fixturedownload.com/download/nba-2024-UTC.csv</t>
        </is>
      </c>
    </row>
    <row r="1065">
      <c r="A1065" t="n">
        <v>1034</v>
      </c>
      <c r="B1065" t="n">
        <v>20</v>
      </c>
      <c r="C1065" t="inlineStr">
        <is>
          <t>23/03/2025 22:00</t>
        </is>
      </c>
      <c r="D1065" t="inlineStr">
        <is>
          <t>Moda Center</t>
        </is>
      </c>
      <c r="E1065" t="inlineStr">
        <is>
          <t>Portland Trail Blazers</t>
        </is>
      </c>
      <c r="F1065" t="inlineStr">
        <is>
          <t>Boston Celtics</t>
        </is>
      </c>
      <c r="G1065" t="n">
        <v>116</v>
      </c>
      <c r="H1065" t="n">
        <v>129</v>
      </c>
      <c r="I1065" t="inlineStr">
        <is>
          <t>Boston Celtics</t>
        </is>
      </c>
      <c r="J1065" t="inlineStr">
        <is>
          <t>Portland Trail Blazers</t>
        </is>
      </c>
      <c r="K1065" t="inlineStr">
        <is>
          <t>Yes</t>
        </is>
      </c>
      <c r="L1065" t="inlineStr"/>
      <c r="M1065" t="inlineStr">
        <is>
          <t>https://fixturedownload.com/download/nba-2024-UTC.csv</t>
        </is>
      </c>
    </row>
    <row r="1066">
      <c r="A1066" t="n">
        <v>1035</v>
      </c>
      <c r="B1066" t="n">
        <v>20</v>
      </c>
      <c r="C1066" t="inlineStr">
        <is>
          <t>23/03/2025 23:00</t>
        </is>
      </c>
      <c r="D1066" t="inlineStr">
        <is>
          <t>Toyota Center</t>
        </is>
      </c>
      <c r="E1066" t="inlineStr">
        <is>
          <t>Houston Rockets</t>
        </is>
      </c>
      <c r="F1066" t="inlineStr">
        <is>
          <t>Denver Nuggets</t>
        </is>
      </c>
      <c r="G1066" t="n">
        <v>111</v>
      </c>
      <c r="H1066" t="n">
        <v>116</v>
      </c>
      <c r="I1066" t="inlineStr">
        <is>
          <t>Denver Nuggets</t>
        </is>
      </c>
      <c r="J1066" t="inlineStr">
        <is>
          <t>Houston Rockets</t>
        </is>
      </c>
      <c r="K1066" t="inlineStr">
        <is>
          <t>Yes</t>
        </is>
      </c>
      <c r="L1066" t="inlineStr"/>
      <c r="M1066" t="inlineStr">
        <is>
          <t>https://fixturedownload.com/download/nba-2024-UTC.csv</t>
        </is>
      </c>
    </row>
    <row r="1067">
      <c r="A1067" t="n">
        <v>1036</v>
      </c>
      <c r="B1067" t="n">
        <v>20</v>
      </c>
      <c r="C1067" t="inlineStr">
        <is>
          <t>24/03/2025 01:00</t>
        </is>
      </c>
      <c r="D1067" t="inlineStr">
        <is>
          <t>Intuit Dome</t>
        </is>
      </c>
      <c r="E1067" t="inlineStr">
        <is>
          <t>LA Clippers</t>
        </is>
      </c>
      <c r="F1067" t="inlineStr">
        <is>
          <t>Oklahoma City Thunder</t>
        </is>
      </c>
      <c r="G1067" t="n">
        <v>101</v>
      </c>
      <c r="H1067" t="n">
        <v>103</v>
      </c>
      <c r="I1067" t="inlineStr">
        <is>
          <t>Oklahoma City Thunder</t>
        </is>
      </c>
      <c r="J1067" t="inlineStr">
        <is>
          <t>LA Clippers</t>
        </is>
      </c>
      <c r="K1067" t="inlineStr">
        <is>
          <t>Yes</t>
        </is>
      </c>
      <c r="L1067" t="inlineStr"/>
      <c r="M1067" t="inlineStr">
        <is>
          <t>https://fixturedownload.com/download/nba-2024-UTC.csv</t>
        </is>
      </c>
    </row>
    <row r="1068">
      <c r="A1068" t="n">
        <v>1037</v>
      </c>
      <c r="B1068" t="n">
        <v>20</v>
      </c>
      <c r="C1068" t="inlineStr">
        <is>
          <t>24/03/2025 23:00</t>
        </is>
      </c>
      <c r="D1068" t="inlineStr">
        <is>
          <t>Gainbridge Fieldhouse</t>
        </is>
      </c>
      <c r="E1068" t="inlineStr">
        <is>
          <t>Indiana Pacers</t>
        </is>
      </c>
      <c r="F1068" t="inlineStr">
        <is>
          <t>Minnesota Timberwolves</t>
        </is>
      </c>
      <c r="G1068" t="n">
        <v>119</v>
      </c>
      <c r="H1068" t="n">
        <v>103</v>
      </c>
      <c r="I1068" t="inlineStr">
        <is>
          <t>Indiana Pacers</t>
        </is>
      </c>
      <c r="J1068" t="inlineStr">
        <is>
          <t>Minnesota Timberwolves</t>
        </is>
      </c>
      <c r="K1068" t="inlineStr">
        <is>
          <t>Yes</t>
        </is>
      </c>
      <c r="L1068" t="inlineStr"/>
      <c r="M1068" t="inlineStr">
        <is>
          <t>https://fixturedownload.com/download/nba-2024-UTC.csv</t>
        </is>
      </c>
    </row>
    <row r="1069">
      <c r="A1069" t="n">
        <v>1038</v>
      </c>
      <c r="B1069" t="n">
        <v>20</v>
      </c>
      <c r="C1069" t="inlineStr">
        <is>
          <t>24/03/2025 23:00</t>
        </is>
      </c>
      <c r="D1069" t="inlineStr">
        <is>
          <t>Kia Center</t>
        </is>
      </c>
      <c r="E1069" t="inlineStr">
        <is>
          <t>Orlando Magic</t>
        </is>
      </c>
      <c r="F1069" t="inlineStr">
        <is>
          <t>Los Angeles Lakers</t>
        </is>
      </c>
      <c r="G1069" t="n">
        <v>118</v>
      </c>
      <c r="H1069" t="n">
        <v>106</v>
      </c>
      <c r="I1069" t="inlineStr">
        <is>
          <t>Orlando Magic</t>
        </is>
      </c>
      <c r="J1069" t="inlineStr">
        <is>
          <t>Los Angeles Lakers</t>
        </is>
      </c>
      <c r="K1069" t="inlineStr">
        <is>
          <t>Yes</t>
        </is>
      </c>
      <c r="L1069" t="inlineStr"/>
      <c r="M1069" t="inlineStr">
        <is>
          <t>https://fixturedownload.com/download/nba-2024-UTC.csv</t>
        </is>
      </c>
    </row>
    <row r="1070">
      <c r="A1070" t="n">
        <v>1039</v>
      </c>
      <c r="B1070" t="n">
        <v>20</v>
      </c>
      <c r="C1070" t="inlineStr">
        <is>
          <t>24/03/2025 23:00</t>
        </is>
      </c>
      <c r="D1070" t="inlineStr">
        <is>
          <t>Capital One Arena</t>
        </is>
      </c>
      <c r="E1070" t="inlineStr">
        <is>
          <t>Washington Wizards</t>
        </is>
      </c>
      <c r="F1070" t="inlineStr">
        <is>
          <t>Toronto Raptors</t>
        </is>
      </c>
      <c r="G1070" t="n">
        <v>104</v>
      </c>
      <c r="H1070" t="n">
        <v>112</v>
      </c>
      <c r="I1070" t="inlineStr">
        <is>
          <t>Toronto Raptors</t>
        </is>
      </c>
      <c r="J1070" t="inlineStr">
        <is>
          <t>Washington Wizards</t>
        </is>
      </c>
      <c r="K1070" t="inlineStr">
        <is>
          <t>Yes</t>
        </is>
      </c>
      <c r="L1070" t="inlineStr"/>
      <c r="M1070" t="inlineStr">
        <is>
          <t>https://fixturedownload.com/download/nba-2024-UTC.csv</t>
        </is>
      </c>
    </row>
    <row r="1071">
      <c r="A1071" t="n">
        <v>1040</v>
      </c>
      <c r="B1071" t="n">
        <v>20</v>
      </c>
      <c r="C1071" t="inlineStr">
        <is>
          <t>24/03/2025 23:30</t>
        </is>
      </c>
      <c r="D1071" t="inlineStr">
        <is>
          <t>Barclays Center</t>
        </is>
      </c>
      <c r="E1071" t="inlineStr">
        <is>
          <t>Brooklyn Nets</t>
        </is>
      </c>
      <c r="F1071" t="inlineStr">
        <is>
          <t>Dallas Mavericks</t>
        </is>
      </c>
      <c r="G1071" t="n">
        <v>101</v>
      </c>
      <c r="H1071" t="n">
        <v>120</v>
      </c>
      <c r="I1071" t="inlineStr">
        <is>
          <t>Dallas Mavericks</t>
        </is>
      </c>
      <c r="J1071" t="inlineStr">
        <is>
          <t>Brooklyn Nets</t>
        </is>
      </c>
      <c r="K1071" t="inlineStr">
        <is>
          <t>Yes</t>
        </is>
      </c>
      <c r="L1071" t="inlineStr"/>
      <c r="M1071" t="inlineStr">
        <is>
          <t>https://fixturedownload.com/download/nba-2024-UTC.csv</t>
        </is>
      </c>
    </row>
    <row r="1072">
      <c r="A1072" t="n">
        <v>1041</v>
      </c>
      <c r="B1072" t="n">
        <v>20</v>
      </c>
      <c r="C1072" t="inlineStr">
        <is>
          <t>25/03/2025 00:00</t>
        </is>
      </c>
      <c r="D1072" t="inlineStr">
        <is>
          <t>Smoothie King Center</t>
        </is>
      </c>
      <c r="E1072" t="inlineStr">
        <is>
          <t>New Orleans Pelicans</t>
        </is>
      </c>
      <c r="F1072" t="inlineStr">
        <is>
          <t>Philadelphia 76ers</t>
        </is>
      </c>
      <c r="G1072" t="n">
        <v>112</v>
      </c>
      <c r="H1072" t="n">
        <v>99</v>
      </c>
      <c r="I1072" t="inlineStr">
        <is>
          <t>New Orleans Pelicans</t>
        </is>
      </c>
      <c r="J1072" t="inlineStr">
        <is>
          <t>Philadelphia 76ers</t>
        </is>
      </c>
      <c r="K1072" t="inlineStr">
        <is>
          <t>Yes</t>
        </is>
      </c>
      <c r="L1072" t="inlineStr"/>
      <c r="M1072" t="inlineStr">
        <is>
          <t>https://fixturedownload.com/download/nba-2024-UTC.csv</t>
        </is>
      </c>
    </row>
    <row r="1073">
      <c r="A1073" t="n">
        <v>1042</v>
      </c>
      <c r="B1073" t="n">
        <v>20</v>
      </c>
      <c r="C1073" t="inlineStr">
        <is>
          <t>25/03/2025 01:00</t>
        </is>
      </c>
      <c r="D1073" t="inlineStr">
        <is>
          <t>Ball Arena</t>
        </is>
      </c>
      <c r="E1073" t="inlineStr">
        <is>
          <t>Denver Nuggets</t>
        </is>
      </c>
      <c r="F1073" t="inlineStr">
        <is>
          <t>Chicago Bulls</t>
        </is>
      </c>
      <c r="G1073" t="n">
        <v>119</v>
      </c>
      <c r="H1073" t="n">
        <v>129</v>
      </c>
      <c r="I1073" t="inlineStr">
        <is>
          <t>Chicago Bulls</t>
        </is>
      </c>
      <c r="J1073" t="inlineStr">
        <is>
          <t>Denver Nuggets</t>
        </is>
      </c>
      <c r="K1073" t="inlineStr">
        <is>
          <t>Yes</t>
        </is>
      </c>
      <c r="L1073" t="inlineStr"/>
      <c r="M1073" t="inlineStr">
        <is>
          <t>https://fixturedownload.com/download/nba-2024-UTC.csv</t>
        </is>
      </c>
    </row>
    <row r="1074">
      <c r="A1074" t="n">
        <v>1043</v>
      </c>
      <c r="B1074" t="n">
        <v>20</v>
      </c>
      <c r="C1074" t="inlineStr">
        <is>
          <t>25/03/2025 02:00</t>
        </is>
      </c>
      <c r="D1074" t="inlineStr">
        <is>
          <t>PHX Arena</t>
        </is>
      </c>
      <c r="E1074" t="inlineStr">
        <is>
          <t>Phoenix Suns</t>
        </is>
      </c>
      <c r="F1074" t="inlineStr">
        <is>
          <t>Milwaukee Bucks</t>
        </is>
      </c>
      <c r="G1074" t="n">
        <v>108</v>
      </c>
      <c r="H1074" t="n">
        <v>106</v>
      </c>
      <c r="I1074" t="inlineStr">
        <is>
          <t>Phoenix Suns</t>
        </is>
      </c>
      <c r="J1074" t="inlineStr">
        <is>
          <t>Milwaukee Bucks</t>
        </is>
      </c>
      <c r="K1074" t="inlineStr">
        <is>
          <t>Yes</t>
        </is>
      </c>
      <c r="L1074" t="inlineStr"/>
      <c r="M1074" t="inlineStr">
        <is>
          <t>https://fixturedownload.com/download/nba-2024-UTC.csv</t>
        </is>
      </c>
    </row>
    <row r="1075">
      <c r="A1075" t="n">
        <v>1044</v>
      </c>
      <c r="B1075" t="n">
        <v>20</v>
      </c>
      <c r="C1075" t="inlineStr">
        <is>
          <t>25/03/2025 02:00</t>
        </is>
      </c>
      <c r="D1075" t="inlineStr">
        <is>
          <t>Golden 1 Center</t>
        </is>
      </c>
      <c r="E1075" t="inlineStr">
        <is>
          <t>Sacramento Kings</t>
        </is>
      </c>
      <c r="F1075" t="inlineStr">
        <is>
          <t>Boston Celtics</t>
        </is>
      </c>
      <c r="G1075" t="n">
        <v>95</v>
      </c>
      <c r="H1075" t="n">
        <v>113</v>
      </c>
      <c r="I1075" t="inlineStr">
        <is>
          <t>Boston Celtics</t>
        </is>
      </c>
      <c r="J1075" t="inlineStr">
        <is>
          <t>Sacramento Kings</t>
        </is>
      </c>
      <c r="K1075" t="inlineStr">
        <is>
          <t>Yes</t>
        </is>
      </c>
      <c r="L1075" t="inlineStr"/>
      <c r="M1075" t="inlineStr">
        <is>
          <t>https://fixturedownload.com/download/nba-2024-UTC.csv</t>
        </is>
      </c>
    </row>
    <row r="1076">
      <c r="A1076" t="n">
        <v>1045</v>
      </c>
      <c r="B1076" t="n">
        <v>20</v>
      </c>
      <c r="C1076" t="inlineStr">
        <is>
          <t>25/03/2025 23:00</t>
        </is>
      </c>
      <c r="D1076" t="inlineStr">
        <is>
          <t>Spectrum Center</t>
        </is>
      </c>
      <c r="E1076" t="inlineStr">
        <is>
          <t>Charlotte Hornets</t>
        </is>
      </c>
      <c r="F1076" t="inlineStr">
        <is>
          <t>Orlando Magic</t>
        </is>
      </c>
      <c r="G1076" t="n">
        <v>104</v>
      </c>
      <c r="H1076" t="n">
        <v>111</v>
      </c>
      <c r="I1076" t="inlineStr">
        <is>
          <t>Orlando Magic</t>
        </is>
      </c>
      <c r="J1076" t="inlineStr">
        <is>
          <t>Charlotte Hornets</t>
        </is>
      </c>
      <c r="K1076" t="inlineStr">
        <is>
          <t>Yes</t>
        </is>
      </c>
      <c r="L1076" t="inlineStr"/>
      <c r="M1076" t="inlineStr">
        <is>
          <t>https://fixturedownload.com/download/nba-2024-UTC.csv</t>
        </is>
      </c>
    </row>
    <row r="1077">
      <c r="A1077" t="n">
        <v>1046</v>
      </c>
      <c r="B1077" t="n">
        <v>20</v>
      </c>
      <c r="C1077" t="inlineStr">
        <is>
          <t>25/03/2025 23:00</t>
        </is>
      </c>
      <c r="D1077" t="inlineStr">
        <is>
          <t>Little Caesars Arena</t>
        </is>
      </c>
      <c r="E1077" t="inlineStr">
        <is>
          <t>Detroit Pistons</t>
        </is>
      </c>
      <c r="F1077" t="inlineStr">
        <is>
          <t>San Antonio Spurs</t>
        </is>
      </c>
      <c r="G1077" t="n">
        <v>122</v>
      </c>
      <c r="H1077" t="n">
        <v>96</v>
      </c>
      <c r="I1077" t="inlineStr">
        <is>
          <t>Detroit Pistons</t>
        </is>
      </c>
      <c r="J1077" t="inlineStr">
        <is>
          <t>San Antonio Spurs</t>
        </is>
      </c>
      <c r="K1077" t="inlineStr">
        <is>
          <t>Yes</t>
        </is>
      </c>
      <c r="L1077" t="inlineStr"/>
      <c r="M1077" t="inlineStr">
        <is>
          <t>https://fixturedownload.com/download/nba-2024-UTC.csv</t>
        </is>
      </c>
    </row>
    <row r="1078">
      <c r="A1078" t="n">
        <v>1047</v>
      </c>
      <c r="B1078" t="n">
        <v>20</v>
      </c>
      <c r="C1078" t="inlineStr">
        <is>
          <t>25/03/2025 23:30</t>
        </is>
      </c>
      <c r="D1078" t="inlineStr">
        <is>
          <t>Kaseya Center</t>
        </is>
      </c>
      <c r="E1078" t="inlineStr">
        <is>
          <t>Miami Heat</t>
        </is>
      </c>
      <c r="F1078" t="inlineStr">
        <is>
          <t>Golden State Warriors</t>
        </is>
      </c>
      <c r="G1078" t="n">
        <v>112</v>
      </c>
      <c r="H1078" t="n">
        <v>86</v>
      </c>
      <c r="I1078" t="inlineStr">
        <is>
          <t>Miami Heat</t>
        </is>
      </c>
      <c r="J1078" t="inlineStr">
        <is>
          <t>Golden State Warriors</t>
        </is>
      </c>
      <c r="K1078" t="inlineStr">
        <is>
          <t>Yes</t>
        </is>
      </c>
      <c r="L1078" t="inlineStr"/>
      <c r="M1078" t="inlineStr">
        <is>
          <t>https://fixturedownload.com/download/nba-2024-UTC.csv</t>
        </is>
      </c>
    </row>
    <row r="1079">
      <c r="A1079" t="n">
        <v>1048</v>
      </c>
      <c r="B1079" t="n">
        <v>20</v>
      </c>
      <c r="C1079" t="inlineStr">
        <is>
          <t>25/03/2025 23:30</t>
        </is>
      </c>
      <c r="D1079" t="inlineStr">
        <is>
          <t>Madison Square Garden</t>
        </is>
      </c>
      <c r="E1079" t="inlineStr">
        <is>
          <t>New York Knicks</t>
        </is>
      </c>
      <c r="F1079" t="inlineStr">
        <is>
          <t>Dallas Mavericks</t>
        </is>
      </c>
      <c r="G1079" t="n">
        <v>128</v>
      </c>
      <c r="H1079" t="n">
        <v>113</v>
      </c>
      <c r="I1079" t="inlineStr">
        <is>
          <t>New York Knicks</t>
        </is>
      </c>
      <c r="J1079" t="inlineStr">
        <is>
          <t>Dallas Mavericks</t>
        </is>
      </c>
      <c r="K1079" t="inlineStr">
        <is>
          <t>Yes</t>
        </is>
      </c>
      <c r="L1079" t="inlineStr"/>
      <c r="M1079" t="inlineStr">
        <is>
          <t>https://fixturedownload.com/download/nba-2024-UTC.csv</t>
        </is>
      </c>
    </row>
    <row r="1080">
      <c r="A1080" t="n">
        <v>1049</v>
      </c>
      <c r="B1080" t="n">
        <v>20</v>
      </c>
      <c r="C1080" t="inlineStr">
        <is>
          <t>26/03/2025 00:00</t>
        </is>
      </c>
      <c r="D1080" t="inlineStr">
        <is>
          <t>Toyota Center</t>
        </is>
      </c>
      <c r="E1080" t="inlineStr">
        <is>
          <t>Houston Rockets</t>
        </is>
      </c>
      <c r="F1080" t="inlineStr">
        <is>
          <t>Atlanta Hawks</t>
        </is>
      </c>
      <c r="G1080" t="n">
        <v>121</v>
      </c>
      <c r="H1080" t="n">
        <v>114</v>
      </c>
      <c r="I1080" t="inlineStr">
        <is>
          <t>Houston Rockets</t>
        </is>
      </c>
      <c r="J1080" t="inlineStr">
        <is>
          <t>Atlanta Hawks</t>
        </is>
      </c>
      <c r="K1080" t="inlineStr">
        <is>
          <t>Yes</t>
        </is>
      </c>
      <c r="L1080" t="inlineStr"/>
      <c r="M1080" t="inlineStr">
        <is>
          <t>https://fixturedownload.com/download/nba-2024-UTC.csv</t>
        </is>
      </c>
    </row>
    <row r="1081">
      <c r="A1081" t="n">
        <v>1050</v>
      </c>
      <c r="B1081" t="n">
        <v>20</v>
      </c>
      <c r="C1081" t="inlineStr">
        <is>
          <t>26/03/2025 01:00</t>
        </is>
      </c>
      <c r="D1081" t="inlineStr">
        <is>
          <t>Delta Center</t>
        </is>
      </c>
      <c r="E1081" t="inlineStr">
        <is>
          <t>Utah Jazz</t>
        </is>
      </c>
      <c r="F1081" t="inlineStr">
        <is>
          <t>Memphis Grizzlies</t>
        </is>
      </c>
      <c r="G1081" t="n">
        <v>103</v>
      </c>
      <c r="H1081" t="n">
        <v>140</v>
      </c>
      <c r="I1081" t="inlineStr">
        <is>
          <t>Memphis Grizzlies</t>
        </is>
      </c>
      <c r="J1081" t="inlineStr">
        <is>
          <t>Utah Jazz</t>
        </is>
      </c>
      <c r="K1081" t="inlineStr">
        <is>
          <t>Yes</t>
        </is>
      </c>
      <c r="L1081" t="inlineStr"/>
      <c r="M1081" t="inlineStr">
        <is>
          <t>https://fixturedownload.com/download/nba-2024-UTC.csv</t>
        </is>
      </c>
    </row>
    <row r="1082">
      <c r="A1082" t="n">
        <v>1051</v>
      </c>
      <c r="B1082" t="n">
        <v>20</v>
      </c>
      <c r="C1082" t="inlineStr">
        <is>
          <t>26/03/2025 02:00</t>
        </is>
      </c>
      <c r="D1082" t="inlineStr">
        <is>
          <t>Moda Center</t>
        </is>
      </c>
      <c r="E1082" t="inlineStr">
        <is>
          <t>Portland Trail Blazers</t>
        </is>
      </c>
      <c r="F1082" t="inlineStr">
        <is>
          <t>Cleveland Cavaliers</t>
        </is>
      </c>
      <c r="G1082" t="n">
        <v>111</v>
      </c>
      <c r="H1082" t="n">
        <v>122</v>
      </c>
      <c r="I1082" t="inlineStr">
        <is>
          <t>Cleveland Cavaliers</t>
        </is>
      </c>
      <c r="J1082" t="inlineStr">
        <is>
          <t>Portland Trail Blazers</t>
        </is>
      </c>
      <c r="K1082" t="inlineStr">
        <is>
          <t>Yes</t>
        </is>
      </c>
      <c r="L1082" t="inlineStr"/>
      <c r="M1082" t="inlineStr">
        <is>
          <t>https://fixturedownload.com/download/nba-2024-UTC.csv</t>
        </is>
      </c>
    </row>
    <row r="1083">
      <c r="A1083" t="n">
        <v>1052</v>
      </c>
      <c r="B1083" t="n">
        <v>20</v>
      </c>
      <c r="C1083" t="inlineStr">
        <is>
          <t>26/03/2025 02:00</t>
        </is>
      </c>
      <c r="D1083" t="inlineStr">
        <is>
          <t>Golden 1 Center</t>
        </is>
      </c>
      <c r="E1083" t="inlineStr">
        <is>
          <t>Sacramento Kings</t>
        </is>
      </c>
      <c r="F1083" t="inlineStr">
        <is>
          <t>Oklahoma City Thunder</t>
        </is>
      </c>
      <c r="G1083" t="n">
        <v>105</v>
      </c>
      <c r="H1083" t="n">
        <v>121</v>
      </c>
      <c r="I1083" t="inlineStr">
        <is>
          <t>Oklahoma City Thunder</t>
        </is>
      </c>
      <c r="J1083" t="inlineStr">
        <is>
          <t>Sacramento Kings</t>
        </is>
      </c>
      <c r="K1083" t="inlineStr">
        <is>
          <t>Yes</t>
        </is>
      </c>
      <c r="L1083" t="inlineStr"/>
      <c r="M1083" t="inlineStr">
        <is>
          <t>https://fixturedownload.com/download/nba-2024-UTC.csv</t>
        </is>
      </c>
    </row>
    <row r="1084">
      <c r="A1084" t="n">
        <v>1053</v>
      </c>
      <c r="B1084" t="n">
        <v>21</v>
      </c>
      <c r="C1084" t="inlineStr">
        <is>
          <t>26/03/2025 23:00</t>
        </is>
      </c>
      <c r="D1084" t="inlineStr">
        <is>
          <t>Wells Fargo Center</t>
        </is>
      </c>
      <c r="E1084" t="inlineStr">
        <is>
          <t>Philadelphia 76ers</t>
        </is>
      </c>
      <c r="F1084" t="inlineStr">
        <is>
          <t>Washington Wizards</t>
        </is>
      </c>
      <c r="G1084" t="n">
        <v>114</v>
      </c>
      <c r="H1084" t="n">
        <v>119</v>
      </c>
      <c r="I1084" t="inlineStr">
        <is>
          <t>Washington Wizards</t>
        </is>
      </c>
      <c r="J1084" t="inlineStr">
        <is>
          <t>Philadelphia 76ers</t>
        </is>
      </c>
      <c r="K1084" t="inlineStr">
        <is>
          <t>Yes</t>
        </is>
      </c>
      <c r="L1084" t="inlineStr"/>
      <c r="M1084" t="inlineStr">
        <is>
          <t>https://fixturedownload.com/download/nba-2024-UTC.csv</t>
        </is>
      </c>
    </row>
    <row r="1085">
      <c r="A1085" t="n">
        <v>1054</v>
      </c>
      <c r="B1085" t="n">
        <v>21</v>
      </c>
      <c r="C1085" t="inlineStr">
        <is>
          <t>26/03/2025 23:30</t>
        </is>
      </c>
      <c r="D1085" t="inlineStr">
        <is>
          <t>Barclays Center</t>
        </is>
      </c>
      <c r="E1085" t="inlineStr">
        <is>
          <t>Brooklyn Nets</t>
        </is>
      </c>
      <c r="F1085" t="inlineStr">
        <is>
          <t>Toronto Raptors</t>
        </is>
      </c>
      <c r="G1085" t="n">
        <v>86</v>
      </c>
      <c r="H1085" t="n">
        <v>116</v>
      </c>
      <c r="I1085" t="inlineStr">
        <is>
          <t>Toronto Raptors</t>
        </is>
      </c>
      <c r="J1085" t="inlineStr">
        <is>
          <t>Brooklyn Nets</t>
        </is>
      </c>
      <c r="K1085" t="inlineStr">
        <is>
          <t>Yes</t>
        </is>
      </c>
      <c r="L1085" t="inlineStr"/>
      <c r="M1085" t="inlineStr">
        <is>
          <t>https://fixturedownload.com/download/nba-2024-UTC.csv</t>
        </is>
      </c>
    </row>
    <row r="1086">
      <c r="A1086" t="n">
        <v>1055</v>
      </c>
      <c r="B1086" t="n">
        <v>21</v>
      </c>
      <c r="C1086" t="inlineStr">
        <is>
          <t>26/03/2025 23:30</t>
        </is>
      </c>
      <c r="D1086" t="inlineStr">
        <is>
          <t>Gainbridge Fieldhouse</t>
        </is>
      </c>
      <c r="E1086" t="inlineStr">
        <is>
          <t>Indiana Pacers</t>
        </is>
      </c>
      <c r="F1086" t="inlineStr">
        <is>
          <t>Los Angeles Lakers</t>
        </is>
      </c>
      <c r="G1086" t="n">
        <v>119</v>
      </c>
      <c r="H1086" t="n">
        <v>120</v>
      </c>
      <c r="I1086" t="inlineStr">
        <is>
          <t>Los Angeles Lakers</t>
        </is>
      </c>
      <c r="J1086" t="inlineStr">
        <is>
          <t>Indiana Pacers</t>
        </is>
      </c>
      <c r="K1086" t="inlineStr">
        <is>
          <t>Yes</t>
        </is>
      </c>
      <c r="L1086" t="inlineStr"/>
      <c r="M1086" t="inlineStr">
        <is>
          <t>https://fixturedownload.com/download/nba-2024-UTC.csv</t>
        </is>
      </c>
    </row>
    <row r="1087">
      <c r="A1087" t="n">
        <v>1056</v>
      </c>
      <c r="B1087" t="n">
        <v>21</v>
      </c>
      <c r="C1087" t="inlineStr">
        <is>
          <t>26/03/2025 23:30</t>
        </is>
      </c>
      <c r="D1087" t="inlineStr">
        <is>
          <t>Madison Square Garden</t>
        </is>
      </c>
      <c r="E1087" t="inlineStr">
        <is>
          <t>New York Knicks</t>
        </is>
      </c>
      <c r="F1087" t="inlineStr">
        <is>
          <t>LA Clippers</t>
        </is>
      </c>
      <c r="G1087" t="n">
        <v>113</v>
      </c>
      <c r="H1087" t="n">
        <v>126</v>
      </c>
      <c r="I1087" t="inlineStr">
        <is>
          <t>LA Clippers</t>
        </is>
      </c>
      <c r="J1087" t="inlineStr">
        <is>
          <t>New York Knicks</t>
        </is>
      </c>
      <c r="K1087" t="inlineStr">
        <is>
          <t>Yes</t>
        </is>
      </c>
      <c r="L1087" t="inlineStr"/>
      <c r="M1087" t="inlineStr">
        <is>
          <t>https://fixturedownload.com/download/nba-2024-UTC.csv</t>
        </is>
      </c>
    </row>
    <row r="1088">
      <c r="A1088" t="n">
        <v>1057</v>
      </c>
      <c r="B1088" t="n">
        <v>21</v>
      </c>
      <c r="C1088" t="inlineStr">
        <is>
          <t>27/03/2025 01:00</t>
        </is>
      </c>
      <c r="D1088" t="inlineStr">
        <is>
          <t>Ball Arena</t>
        </is>
      </c>
      <c r="E1088" t="inlineStr">
        <is>
          <t>Denver Nuggets</t>
        </is>
      </c>
      <c r="F1088" t="inlineStr">
        <is>
          <t>Milwaukee Bucks</t>
        </is>
      </c>
      <c r="G1088" t="n">
        <v>127</v>
      </c>
      <c r="H1088" t="n">
        <v>117</v>
      </c>
      <c r="I1088" t="inlineStr">
        <is>
          <t>Denver Nuggets</t>
        </is>
      </c>
      <c r="J1088" t="inlineStr">
        <is>
          <t>Milwaukee Bucks</t>
        </is>
      </c>
      <c r="K1088" t="inlineStr">
        <is>
          <t>Yes</t>
        </is>
      </c>
      <c r="L1088" t="inlineStr"/>
      <c r="M1088" t="inlineStr">
        <is>
          <t>https://fixturedownload.com/download/nba-2024-UTC.csv</t>
        </is>
      </c>
    </row>
    <row r="1089">
      <c r="A1089" t="n">
        <v>1058</v>
      </c>
      <c r="B1089" t="n">
        <v>21</v>
      </c>
      <c r="C1089" t="inlineStr">
        <is>
          <t>27/03/2025 02:00</t>
        </is>
      </c>
      <c r="D1089" t="inlineStr">
        <is>
          <t>PHX Arena</t>
        </is>
      </c>
      <c r="E1089" t="inlineStr">
        <is>
          <t>Phoenix Suns</t>
        </is>
      </c>
      <c r="F1089" t="inlineStr">
        <is>
          <t>Boston Celtics</t>
        </is>
      </c>
      <c r="G1089" t="n">
        <v>102</v>
      </c>
      <c r="H1089" t="n">
        <v>132</v>
      </c>
      <c r="I1089" t="inlineStr">
        <is>
          <t>Boston Celtics</t>
        </is>
      </c>
      <c r="J1089" t="inlineStr">
        <is>
          <t>Phoenix Suns</t>
        </is>
      </c>
      <c r="K1089" t="inlineStr">
        <is>
          <t>Yes</t>
        </is>
      </c>
      <c r="L1089" t="inlineStr"/>
      <c r="M1089" t="inlineStr">
        <is>
          <t>https://fixturedownload.com/download/nba-2024-UTC.csv</t>
        </is>
      </c>
    </row>
    <row r="1090">
      <c r="A1090" t="n">
        <v>1059</v>
      </c>
      <c r="B1090" t="n">
        <v>21</v>
      </c>
      <c r="C1090" t="inlineStr">
        <is>
          <t>27/03/2025 23:00</t>
        </is>
      </c>
      <c r="D1090" t="inlineStr">
        <is>
          <t>Rocket Arena</t>
        </is>
      </c>
      <c r="E1090" t="inlineStr">
        <is>
          <t>Cleveland Cavaliers</t>
        </is>
      </c>
      <c r="F1090" t="inlineStr">
        <is>
          <t>San Antonio Spurs</t>
        </is>
      </c>
      <c r="G1090" t="n">
        <v>124</v>
      </c>
      <c r="H1090" t="n">
        <v>116</v>
      </c>
      <c r="I1090" t="inlineStr">
        <is>
          <t>Cleveland Cavaliers</t>
        </is>
      </c>
      <c r="J1090" t="inlineStr">
        <is>
          <t>San Antonio Spurs</t>
        </is>
      </c>
      <c r="K1090" t="inlineStr">
        <is>
          <t>Yes</t>
        </is>
      </c>
      <c r="L1090" t="inlineStr"/>
      <c r="M1090" t="inlineStr">
        <is>
          <t>https://fixturedownload.com/download/nba-2024-UTC.csv</t>
        </is>
      </c>
    </row>
    <row r="1091">
      <c r="A1091" t="n">
        <v>1060</v>
      </c>
      <c r="B1091" t="n">
        <v>21</v>
      </c>
      <c r="C1091" t="inlineStr">
        <is>
          <t>27/03/2025 23:00</t>
        </is>
      </c>
      <c r="D1091" t="inlineStr">
        <is>
          <t>Kia Center</t>
        </is>
      </c>
      <c r="E1091" t="inlineStr">
        <is>
          <t>Orlando Magic</t>
        </is>
      </c>
      <c r="F1091" t="inlineStr">
        <is>
          <t>Dallas Mavericks</t>
        </is>
      </c>
      <c r="G1091" t="n">
        <v>92</v>
      </c>
      <c r="H1091" t="n">
        <v>101</v>
      </c>
      <c r="I1091" t="inlineStr">
        <is>
          <t>Dallas Mavericks</t>
        </is>
      </c>
      <c r="J1091" t="inlineStr">
        <is>
          <t>Orlando Magic</t>
        </is>
      </c>
      <c r="K1091" t="inlineStr">
        <is>
          <t>Yes</t>
        </is>
      </c>
      <c r="L1091" t="inlineStr"/>
      <c r="M1091" t="inlineStr">
        <is>
          <t>https://fixturedownload.com/download/nba-2024-UTC.csv</t>
        </is>
      </c>
    </row>
    <row r="1092">
      <c r="A1092" t="n">
        <v>1061</v>
      </c>
      <c r="B1092" t="n">
        <v>21</v>
      </c>
      <c r="C1092" t="inlineStr">
        <is>
          <t>27/03/2025 23:00</t>
        </is>
      </c>
      <c r="D1092" t="inlineStr">
        <is>
          <t>Capital One Arena</t>
        </is>
      </c>
      <c r="E1092" t="inlineStr">
        <is>
          <t>Washington Wizards</t>
        </is>
      </c>
      <c r="F1092" t="inlineStr">
        <is>
          <t>Indiana Pacers</t>
        </is>
      </c>
      <c r="G1092" t="n">
        <v>109</v>
      </c>
      <c r="H1092" t="n">
        <v>162</v>
      </c>
      <c r="I1092" t="inlineStr">
        <is>
          <t>Indiana Pacers</t>
        </is>
      </c>
      <c r="J1092" t="inlineStr">
        <is>
          <t>Washington Wizards</t>
        </is>
      </c>
      <c r="K1092" t="inlineStr">
        <is>
          <t>Yes</t>
        </is>
      </c>
      <c r="L1092" t="inlineStr"/>
      <c r="M1092" t="inlineStr">
        <is>
          <t>https://fixturedownload.com/download/nba-2024-UTC.csv</t>
        </is>
      </c>
    </row>
    <row r="1093">
      <c r="A1093" t="n">
        <v>1062</v>
      </c>
      <c r="B1093" t="n">
        <v>21</v>
      </c>
      <c r="C1093" t="inlineStr">
        <is>
          <t>27/03/2025 23:30</t>
        </is>
      </c>
      <c r="D1093" t="inlineStr">
        <is>
          <t>Kaseya Center</t>
        </is>
      </c>
      <c r="E1093" t="inlineStr">
        <is>
          <t>Miami Heat</t>
        </is>
      </c>
      <c r="F1093" t="inlineStr">
        <is>
          <t>Atlanta Hawks</t>
        </is>
      </c>
      <c r="G1093" t="n">
        <v>122</v>
      </c>
      <c r="H1093" t="n">
        <v>112</v>
      </c>
      <c r="I1093" t="inlineStr">
        <is>
          <t>Miami Heat</t>
        </is>
      </c>
      <c r="J1093" t="inlineStr">
        <is>
          <t>Atlanta Hawks</t>
        </is>
      </c>
      <c r="K1093" t="inlineStr">
        <is>
          <t>Yes</t>
        </is>
      </c>
      <c r="L1093" t="inlineStr"/>
      <c r="M1093" t="inlineStr">
        <is>
          <t>https://fixturedownload.com/download/nba-2024-UTC.csv</t>
        </is>
      </c>
    </row>
    <row r="1094">
      <c r="A1094" t="n">
        <v>1063</v>
      </c>
      <c r="B1094" t="n">
        <v>21</v>
      </c>
      <c r="C1094" t="inlineStr">
        <is>
          <t>28/03/2025 00:00</t>
        </is>
      </c>
      <c r="D1094" t="inlineStr">
        <is>
          <t>United Center</t>
        </is>
      </c>
      <c r="E1094" t="inlineStr">
        <is>
          <t>Chicago Bulls</t>
        </is>
      </c>
      <c r="F1094" t="inlineStr">
        <is>
          <t>Los Angeles Lakers</t>
        </is>
      </c>
      <c r="G1094" t="n">
        <v>119</v>
      </c>
      <c r="H1094" t="n">
        <v>117</v>
      </c>
      <c r="I1094" t="inlineStr">
        <is>
          <t>Chicago Bulls</t>
        </is>
      </c>
      <c r="J1094" t="inlineStr">
        <is>
          <t>Los Angeles Lakers</t>
        </is>
      </c>
      <c r="K1094" t="inlineStr">
        <is>
          <t>Yes</t>
        </is>
      </c>
      <c r="L1094" t="inlineStr"/>
      <c r="M1094" t="inlineStr">
        <is>
          <t>https://fixturedownload.com/download/nba-2024-UTC.csv</t>
        </is>
      </c>
    </row>
    <row r="1095">
      <c r="A1095" t="n">
        <v>1064</v>
      </c>
      <c r="B1095" t="n">
        <v>21</v>
      </c>
      <c r="C1095" t="inlineStr">
        <is>
          <t>28/03/2025 00:00</t>
        </is>
      </c>
      <c r="D1095" t="inlineStr">
        <is>
          <t>Paycom Center</t>
        </is>
      </c>
      <c r="E1095" t="inlineStr">
        <is>
          <t>Oklahoma City Thunder</t>
        </is>
      </c>
      <c r="F1095" t="inlineStr">
        <is>
          <t>Memphis Grizzlies</t>
        </is>
      </c>
      <c r="G1095" t="n">
        <v>125</v>
      </c>
      <c r="H1095" t="n">
        <v>104</v>
      </c>
      <c r="I1095" t="inlineStr">
        <is>
          <t>Oklahoma City Thunder</t>
        </is>
      </c>
      <c r="J1095" t="inlineStr">
        <is>
          <t>Memphis Grizzlies</t>
        </is>
      </c>
      <c r="K1095" t="inlineStr">
        <is>
          <t>Yes</t>
        </is>
      </c>
      <c r="L1095" t="inlineStr"/>
      <c r="M1095" t="inlineStr">
        <is>
          <t>https://fixturedownload.com/download/nba-2024-UTC.csv</t>
        </is>
      </c>
    </row>
    <row r="1096">
      <c r="A1096" t="n">
        <v>1065</v>
      </c>
      <c r="B1096" t="n">
        <v>21</v>
      </c>
      <c r="C1096" t="inlineStr">
        <is>
          <t>28/03/2025 01:00</t>
        </is>
      </c>
      <c r="D1096" t="inlineStr">
        <is>
          <t>Delta Center</t>
        </is>
      </c>
      <c r="E1096" t="inlineStr">
        <is>
          <t>Utah Jazz</t>
        </is>
      </c>
      <c r="F1096" t="inlineStr">
        <is>
          <t>Houston Rockets</t>
        </is>
      </c>
      <c r="G1096" t="n">
        <v>110</v>
      </c>
      <c r="H1096" t="n">
        <v>121</v>
      </c>
      <c r="I1096" t="inlineStr">
        <is>
          <t>Houston Rockets</t>
        </is>
      </c>
      <c r="J1096" t="inlineStr">
        <is>
          <t>Utah Jazz</t>
        </is>
      </c>
      <c r="K1096" t="inlineStr">
        <is>
          <t>Yes</t>
        </is>
      </c>
      <c r="L1096" t="inlineStr"/>
      <c r="M1096" t="inlineStr">
        <is>
          <t>https://fixturedownload.com/download/nba-2024-UTC.csv</t>
        </is>
      </c>
    </row>
    <row r="1097">
      <c r="A1097" t="n">
        <v>1066</v>
      </c>
      <c r="B1097" t="n">
        <v>21</v>
      </c>
      <c r="C1097" t="inlineStr">
        <is>
          <t>28/03/2025 02:00</t>
        </is>
      </c>
      <c r="D1097" t="inlineStr">
        <is>
          <t>Golden 1 Center</t>
        </is>
      </c>
      <c r="E1097" t="inlineStr">
        <is>
          <t>Sacramento Kings</t>
        </is>
      </c>
      <c r="F1097" t="inlineStr">
        <is>
          <t>Portland Trail Blazers</t>
        </is>
      </c>
      <c r="G1097" t="n">
        <v>128</v>
      </c>
      <c r="H1097" t="n">
        <v>107</v>
      </c>
      <c r="I1097" t="inlineStr">
        <is>
          <t>Sacramento Kings</t>
        </is>
      </c>
      <c r="J1097" t="inlineStr">
        <is>
          <t>Portland Trail Blazers</t>
        </is>
      </c>
      <c r="K1097" t="inlineStr">
        <is>
          <t>Yes</t>
        </is>
      </c>
      <c r="L1097" t="inlineStr"/>
      <c r="M1097" t="inlineStr">
        <is>
          <t>https://fixturedownload.com/download/nba-2024-UTC.csv</t>
        </is>
      </c>
    </row>
    <row r="1098">
      <c r="A1098" t="n">
        <v>1067</v>
      </c>
      <c r="B1098" t="n">
        <v>21</v>
      </c>
      <c r="C1098" t="inlineStr">
        <is>
          <t>28/03/2025 23:00</t>
        </is>
      </c>
      <c r="D1098" t="inlineStr">
        <is>
          <t>Little Caesars Arena</t>
        </is>
      </c>
      <c r="E1098" t="inlineStr">
        <is>
          <t>Detroit Pistons</t>
        </is>
      </c>
      <c r="F1098" t="inlineStr">
        <is>
          <t>Cleveland Cavaliers</t>
        </is>
      </c>
      <c r="G1098" t="n">
        <v>133</v>
      </c>
      <c r="H1098" t="n">
        <v>122</v>
      </c>
      <c r="I1098" t="inlineStr">
        <is>
          <t>Detroit Pistons</t>
        </is>
      </c>
      <c r="J1098" t="inlineStr">
        <is>
          <t>Cleveland Cavaliers</t>
        </is>
      </c>
      <c r="K1098" t="inlineStr">
        <is>
          <t>Yes</t>
        </is>
      </c>
      <c r="L1098" t="inlineStr"/>
      <c r="M1098" t="inlineStr">
        <is>
          <t>https://fixturedownload.com/download/nba-2024-UTC.csv</t>
        </is>
      </c>
    </row>
    <row r="1099">
      <c r="A1099" t="n">
        <v>1068</v>
      </c>
      <c r="B1099" t="n">
        <v>21</v>
      </c>
      <c r="C1099" t="inlineStr">
        <is>
          <t>28/03/2025 23:30</t>
        </is>
      </c>
      <c r="D1099" t="inlineStr">
        <is>
          <t>Barclays Center</t>
        </is>
      </c>
      <c r="E1099" t="inlineStr">
        <is>
          <t>Brooklyn Nets</t>
        </is>
      </c>
      <c r="F1099" t="inlineStr">
        <is>
          <t>LA Clippers</t>
        </is>
      </c>
      <c r="G1099" t="n">
        <v>100</v>
      </c>
      <c r="H1099" t="n">
        <v>132</v>
      </c>
      <c r="I1099" t="inlineStr">
        <is>
          <t>LA Clippers</t>
        </is>
      </c>
      <c r="J1099" t="inlineStr">
        <is>
          <t>Brooklyn Nets</t>
        </is>
      </c>
      <c r="K1099" t="inlineStr">
        <is>
          <t>Yes</t>
        </is>
      </c>
      <c r="L1099" t="inlineStr"/>
      <c r="M1099" t="inlineStr">
        <is>
          <t>https://fixturedownload.com/download/nba-2024-UTC.csv</t>
        </is>
      </c>
    </row>
    <row r="1100">
      <c r="A1100" t="n">
        <v>1069</v>
      </c>
      <c r="B1100" t="n">
        <v>21</v>
      </c>
      <c r="C1100" t="inlineStr">
        <is>
          <t>28/03/2025 23:30</t>
        </is>
      </c>
      <c r="D1100" t="inlineStr">
        <is>
          <t>Scotiabank Arena</t>
        </is>
      </c>
      <c r="E1100" t="inlineStr">
        <is>
          <t>Toronto Raptors</t>
        </is>
      </c>
      <c r="F1100" t="inlineStr">
        <is>
          <t>Charlotte Hornets</t>
        </is>
      </c>
      <c r="G1100" t="n">
        <v>108</v>
      </c>
      <c r="H1100" t="n">
        <v>97</v>
      </c>
      <c r="I1100" t="inlineStr">
        <is>
          <t>Toronto Raptors</t>
        </is>
      </c>
      <c r="J1100" t="inlineStr">
        <is>
          <t>Charlotte Hornets</t>
        </is>
      </c>
      <c r="K1100" t="inlineStr">
        <is>
          <t>Yes</t>
        </is>
      </c>
      <c r="L1100" t="inlineStr"/>
      <c r="M1100" t="inlineStr">
        <is>
          <t>https://fixturedownload.com/download/nba-2024-UTC.csv</t>
        </is>
      </c>
    </row>
    <row r="1101">
      <c r="A1101" t="n">
        <v>1070</v>
      </c>
      <c r="B1101" t="n">
        <v>21</v>
      </c>
      <c r="C1101" t="inlineStr">
        <is>
          <t>29/03/2025 00:00</t>
        </is>
      </c>
      <c r="D1101" t="inlineStr">
        <is>
          <t>Fiserv Forum</t>
        </is>
      </c>
      <c r="E1101" t="inlineStr">
        <is>
          <t>Milwaukee Bucks</t>
        </is>
      </c>
      <c r="F1101" t="inlineStr">
        <is>
          <t>New York Knicks</t>
        </is>
      </c>
      <c r="G1101" t="n">
        <v>107</v>
      </c>
      <c r="H1101" t="n">
        <v>116</v>
      </c>
      <c r="I1101" t="inlineStr">
        <is>
          <t>New York Knicks</t>
        </is>
      </c>
      <c r="J1101" t="inlineStr">
        <is>
          <t>Milwaukee Bucks</t>
        </is>
      </c>
      <c r="K1101" t="inlineStr">
        <is>
          <t>Yes</t>
        </is>
      </c>
      <c r="L1101" t="inlineStr"/>
      <c r="M1101" t="inlineStr">
        <is>
          <t>https://fixturedownload.com/download/nba-2024-UTC.csv</t>
        </is>
      </c>
    </row>
    <row r="1102">
      <c r="A1102" t="n">
        <v>1071</v>
      </c>
      <c r="B1102" t="n">
        <v>21</v>
      </c>
      <c r="C1102" t="inlineStr">
        <is>
          <t>29/03/2025 00:00</t>
        </is>
      </c>
      <c r="D1102" t="inlineStr">
        <is>
          <t>Target Center</t>
        </is>
      </c>
      <c r="E1102" t="inlineStr">
        <is>
          <t>Minnesota Timberwolves</t>
        </is>
      </c>
      <c r="F1102" t="inlineStr">
        <is>
          <t>Phoenix Suns</t>
        </is>
      </c>
      <c r="G1102" t="n">
        <v>124</v>
      </c>
      <c r="H1102" t="n">
        <v>109</v>
      </c>
      <c r="I1102" t="inlineStr">
        <is>
          <t>Minnesota Timberwolves</t>
        </is>
      </c>
      <c r="J1102" t="inlineStr">
        <is>
          <t>Phoenix Suns</t>
        </is>
      </c>
      <c r="K1102" t="inlineStr">
        <is>
          <t>Yes</t>
        </is>
      </c>
      <c r="L1102" t="inlineStr"/>
      <c r="M1102" t="inlineStr">
        <is>
          <t>https://fixturedownload.com/download/nba-2024-UTC.csv</t>
        </is>
      </c>
    </row>
    <row r="1103">
      <c r="A1103" t="n">
        <v>1072</v>
      </c>
      <c r="B1103" t="n">
        <v>21</v>
      </c>
      <c r="C1103" t="inlineStr">
        <is>
          <t>29/03/2025 00:00</t>
        </is>
      </c>
      <c r="D1103" t="inlineStr">
        <is>
          <t>Smoothie King Center</t>
        </is>
      </c>
      <c r="E1103" t="inlineStr">
        <is>
          <t>New Orleans Pelicans</t>
        </is>
      </c>
      <c r="F1103" t="inlineStr">
        <is>
          <t>Golden State Warriors</t>
        </is>
      </c>
      <c r="G1103" t="n">
        <v>95</v>
      </c>
      <c r="H1103" t="n">
        <v>111</v>
      </c>
      <c r="I1103" t="inlineStr">
        <is>
          <t>Golden State Warriors</t>
        </is>
      </c>
      <c r="J1103" t="inlineStr">
        <is>
          <t>New Orleans Pelicans</t>
        </is>
      </c>
      <c r="K1103" t="inlineStr">
        <is>
          <t>Yes</t>
        </is>
      </c>
      <c r="L1103" t="inlineStr"/>
      <c r="M1103" t="inlineStr">
        <is>
          <t>https://fixturedownload.com/download/nba-2024-UTC.csv</t>
        </is>
      </c>
    </row>
    <row r="1104">
      <c r="A1104" t="n">
        <v>1073</v>
      </c>
      <c r="B1104" t="n">
        <v>21</v>
      </c>
      <c r="C1104" t="inlineStr">
        <is>
          <t>29/03/2025 01:00</t>
        </is>
      </c>
      <c r="D1104" t="inlineStr">
        <is>
          <t>Ball Arena</t>
        </is>
      </c>
      <c r="E1104" t="inlineStr">
        <is>
          <t>Denver Nuggets</t>
        </is>
      </c>
      <c r="F1104" t="inlineStr">
        <is>
          <t>Utah Jazz</t>
        </is>
      </c>
      <c r="G1104" t="n">
        <v>129</v>
      </c>
      <c r="H1104" t="n">
        <v>93</v>
      </c>
      <c r="I1104" t="inlineStr">
        <is>
          <t>Denver Nuggets</t>
        </is>
      </c>
      <c r="J1104" t="inlineStr">
        <is>
          <t>Utah Jazz</t>
        </is>
      </c>
      <c r="K1104" t="inlineStr">
        <is>
          <t>Yes</t>
        </is>
      </c>
      <c r="L1104" t="inlineStr"/>
      <c r="M1104" t="inlineStr">
        <is>
          <t>https://fixturedownload.com/download/nba-2024-UTC.csv</t>
        </is>
      </c>
    </row>
    <row r="1105">
      <c r="A1105" t="n">
        <v>1074</v>
      </c>
      <c r="B1105" t="n">
        <v>21</v>
      </c>
      <c r="C1105" t="inlineStr">
        <is>
          <t>29/03/2025 21:00</t>
        </is>
      </c>
      <c r="D1105" t="inlineStr">
        <is>
          <t>Kia Center</t>
        </is>
      </c>
      <c r="E1105" t="inlineStr">
        <is>
          <t>Orlando Magic</t>
        </is>
      </c>
      <c r="F1105" t="inlineStr">
        <is>
          <t>Sacramento Kings</t>
        </is>
      </c>
      <c r="G1105" t="n">
        <v>121</v>
      </c>
      <c r="H1105" t="n">
        <v>91</v>
      </c>
      <c r="I1105" t="inlineStr">
        <is>
          <t>Orlando Magic</t>
        </is>
      </c>
      <c r="J1105" t="inlineStr">
        <is>
          <t>Sacramento Kings</t>
        </is>
      </c>
      <c r="K1105" t="inlineStr">
        <is>
          <t>Yes</t>
        </is>
      </c>
      <c r="L1105" t="inlineStr"/>
      <c r="M1105" t="inlineStr">
        <is>
          <t>https://fixturedownload.com/download/nba-2024-UTC.csv</t>
        </is>
      </c>
    </row>
    <row r="1106">
      <c r="A1106" t="n">
        <v>1075</v>
      </c>
      <c r="B1106" t="n">
        <v>21</v>
      </c>
      <c r="C1106" t="inlineStr">
        <is>
          <t>29/03/2025 23:00</t>
        </is>
      </c>
      <c r="D1106" t="inlineStr">
        <is>
          <t>Capital One Arena</t>
        </is>
      </c>
      <c r="E1106" t="inlineStr">
        <is>
          <t>Washington Wizards</t>
        </is>
      </c>
      <c r="F1106" t="inlineStr">
        <is>
          <t>Brooklyn Nets</t>
        </is>
      </c>
      <c r="G1106" t="n">
        <v>112</v>
      </c>
      <c r="H1106" t="n">
        <v>115</v>
      </c>
      <c r="I1106" t="inlineStr">
        <is>
          <t>Brooklyn Nets</t>
        </is>
      </c>
      <c r="J1106" t="inlineStr">
        <is>
          <t>Washington Wizards</t>
        </is>
      </c>
      <c r="K1106" t="inlineStr">
        <is>
          <t>Yes</t>
        </is>
      </c>
      <c r="L1106" t="inlineStr"/>
      <c r="M1106" t="inlineStr">
        <is>
          <t>https://fixturedownload.com/download/nba-2024-UTC.csv</t>
        </is>
      </c>
    </row>
    <row r="1107">
      <c r="A1107" t="n">
        <v>1076</v>
      </c>
      <c r="B1107" t="n">
        <v>21</v>
      </c>
      <c r="C1107" t="inlineStr">
        <is>
          <t>29/03/2025 23:30</t>
        </is>
      </c>
      <c r="D1107" t="inlineStr">
        <is>
          <t>Wells Fargo Center</t>
        </is>
      </c>
      <c r="E1107" t="inlineStr">
        <is>
          <t>Philadelphia 76ers</t>
        </is>
      </c>
      <c r="F1107" t="inlineStr">
        <is>
          <t>Miami Heat</t>
        </is>
      </c>
      <c r="G1107" t="n">
        <v>95</v>
      </c>
      <c r="H1107" t="n">
        <v>118</v>
      </c>
      <c r="I1107" t="inlineStr">
        <is>
          <t>Miami Heat</t>
        </is>
      </c>
      <c r="J1107" t="inlineStr">
        <is>
          <t>Philadelphia 76ers</t>
        </is>
      </c>
      <c r="K1107" t="inlineStr">
        <is>
          <t>Yes</t>
        </is>
      </c>
      <c r="L1107" t="inlineStr"/>
      <c r="M1107" t="inlineStr">
        <is>
          <t>https://fixturedownload.com/download/nba-2024-UTC.csv</t>
        </is>
      </c>
    </row>
    <row r="1108">
      <c r="A1108" t="n">
        <v>1077</v>
      </c>
      <c r="B1108" t="n">
        <v>21</v>
      </c>
      <c r="C1108" t="inlineStr">
        <is>
          <t>30/03/2025 00:00</t>
        </is>
      </c>
      <c r="D1108" t="inlineStr">
        <is>
          <t>United Center</t>
        </is>
      </c>
      <c r="E1108" t="inlineStr">
        <is>
          <t>Chicago Bulls</t>
        </is>
      </c>
      <c r="F1108" t="inlineStr">
        <is>
          <t>Dallas Mavericks</t>
        </is>
      </c>
      <c r="G1108" t="n">
        <v>119</v>
      </c>
      <c r="H1108" t="n">
        <v>120</v>
      </c>
      <c r="I1108" t="inlineStr">
        <is>
          <t>Dallas Mavericks</t>
        </is>
      </c>
      <c r="J1108" t="inlineStr">
        <is>
          <t>Chicago Bulls</t>
        </is>
      </c>
      <c r="K1108" t="inlineStr">
        <is>
          <t>Yes</t>
        </is>
      </c>
      <c r="L1108" t="inlineStr"/>
      <c r="M1108" t="inlineStr">
        <is>
          <t>https://fixturedownload.com/download/nba-2024-UTC.csv</t>
        </is>
      </c>
    </row>
    <row r="1109">
      <c r="A1109" t="n">
        <v>1078</v>
      </c>
      <c r="B1109" t="n">
        <v>21</v>
      </c>
      <c r="C1109" t="inlineStr">
        <is>
          <t>30/03/2025 00:00</t>
        </is>
      </c>
      <c r="D1109" t="inlineStr">
        <is>
          <t>FedExForum</t>
        </is>
      </c>
      <c r="E1109" t="inlineStr">
        <is>
          <t>Memphis Grizzlies</t>
        </is>
      </c>
      <c r="F1109" t="inlineStr">
        <is>
          <t>Los Angeles Lakers</t>
        </is>
      </c>
      <c r="G1109" t="n">
        <v>127</v>
      </c>
      <c r="H1109" t="n">
        <v>134</v>
      </c>
      <c r="I1109" t="inlineStr">
        <is>
          <t>Los Angeles Lakers</t>
        </is>
      </c>
      <c r="J1109" t="inlineStr">
        <is>
          <t>Memphis Grizzlies</t>
        </is>
      </c>
      <c r="K1109" t="inlineStr">
        <is>
          <t>Yes</t>
        </is>
      </c>
      <c r="L1109" t="inlineStr"/>
      <c r="M1109" t="inlineStr">
        <is>
          <t>https://fixturedownload.com/download/nba-2024-UTC.csv</t>
        </is>
      </c>
    </row>
    <row r="1110">
      <c r="A1110" t="n">
        <v>1079</v>
      </c>
      <c r="B1110" t="n">
        <v>21</v>
      </c>
      <c r="C1110" t="inlineStr">
        <is>
          <t>30/03/2025 00:00</t>
        </is>
      </c>
      <c r="D1110" t="inlineStr">
        <is>
          <t>Paycom Center</t>
        </is>
      </c>
      <c r="E1110" t="inlineStr">
        <is>
          <t>Oklahoma City Thunder</t>
        </is>
      </c>
      <c r="F1110" t="inlineStr">
        <is>
          <t>Indiana Pacers</t>
        </is>
      </c>
      <c r="G1110" t="n">
        <v>132</v>
      </c>
      <c r="H1110" t="n">
        <v>111</v>
      </c>
      <c r="I1110" t="inlineStr">
        <is>
          <t>Oklahoma City Thunder</t>
        </is>
      </c>
      <c r="J1110" t="inlineStr">
        <is>
          <t>Indiana Pacers</t>
        </is>
      </c>
      <c r="K1110" t="inlineStr">
        <is>
          <t>Yes</t>
        </is>
      </c>
      <c r="L1110" t="inlineStr"/>
      <c r="M1110" t="inlineStr">
        <is>
          <t>https://fixturedownload.com/download/nba-2024-UTC.csv</t>
        </is>
      </c>
    </row>
    <row r="1111">
      <c r="A1111" t="n">
        <v>1080</v>
      </c>
      <c r="B1111" t="n">
        <v>21</v>
      </c>
      <c r="C1111" t="inlineStr">
        <is>
          <t>30/03/2025 00:00</t>
        </is>
      </c>
      <c r="D1111" t="inlineStr">
        <is>
          <t>Frost Bank Center</t>
        </is>
      </c>
      <c r="E1111" t="inlineStr">
        <is>
          <t>San Antonio Spurs</t>
        </is>
      </c>
      <c r="F1111" t="inlineStr">
        <is>
          <t>Boston Celtics</t>
        </is>
      </c>
      <c r="G1111" t="n">
        <v>111</v>
      </c>
      <c r="H1111" t="n">
        <v>121</v>
      </c>
      <c r="I1111" t="inlineStr">
        <is>
          <t>Boston Celtics</t>
        </is>
      </c>
      <c r="J1111" t="inlineStr">
        <is>
          <t>San Antonio Spurs</t>
        </is>
      </c>
      <c r="K1111" t="inlineStr">
        <is>
          <t>Yes</t>
        </is>
      </c>
      <c r="L1111" t="inlineStr"/>
      <c r="M1111" t="inlineStr">
        <is>
          <t>https://fixturedownload.com/download/nba-2024-UTC.csv</t>
        </is>
      </c>
    </row>
    <row r="1112">
      <c r="A1112" t="n">
        <v>1081</v>
      </c>
      <c r="B1112" t="n">
        <v>21</v>
      </c>
      <c r="C1112" t="inlineStr">
        <is>
          <t>30/03/2025 19:30</t>
        </is>
      </c>
      <c r="D1112" t="inlineStr">
        <is>
          <t>Rocket Arena</t>
        </is>
      </c>
      <c r="E1112" t="inlineStr">
        <is>
          <t>Cleveland Cavaliers</t>
        </is>
      </c>
      <c r="F1112" t="inlineStr">
        <is>
          <t>LA Clippers</t>
        </is>
      </c>
      <c r="G1112" t="n">
        <v>127</v>
      </c>
      <c r="H1112" t="n">
        <v>122</v>
      </c>
      <c r="I1112" t="inlineStr">
        <is>
          <t>Cleveland Cavaliers</t>
        </is>
      </c>
      <c r="J1112" t="inlineStr">
        <is>
          <t>LA Clippers</t>
        </is>
      </c>
      <c r="K1112" t="inlineStr">
        <is>
          <t>Yes</t>
        </is>
      </c>
      <c r="L1112" t="inlineStr"/>
      <c r="M1112" t="inlineStr">
        <is>
          <t>https://fixturedownload.com/download/nba-2024-UTC.csv</t>
        </is>
      </c>
    </row>
    <row r="1113">
      <c r="A1113" t="n">
        <v>1082</v>
      </c>
      <c r="B1113" t="n">
        <v>21</v>
      </c>
      <c r="C1113" t="inlineStr">
        <is>
          <t>30/03/2025 22:00</t>
        </is>
      </c>
      <c r="D1113" t="inlineStr">
        <is>
          <t>Madison Square Garden</t>
        </is>
      </c>
      <c r="E1113" t="inlineStr">
        <is>
          <t>New York Knicks</t>
        </is>
      </c>
      <c r="F1113" t="inlineStr">
        <is>
          <t>Portland Trail Blazers</t>
        </is>
      </c>
      <c r="G1113" t="n">
        <v>110</v>
      </c>
      <c r="H1113" t="n">
        <v>93</v>
      </c>
      <c r="I1113" t="inlineStr">
        <is>
          <t>New York Knicks</t>
        </is>
      </c>
      <c r="J1113" t="inlineStr">
        <is>
          <t>Portland Trail Blazers</t>
        </is>
      </c>
      <c r="K1113" t="inlineStr">
        <is>
          <t>Yes</t>
        </is>
      </c>
      <c r="L1113" t="inlineStr"/>
      <c r="M1113" t="inlineStr">
        <is>
          <t>https://fixturedownload.com/download/nba-2024-UTC.csv</t>
        </is>
      </c>
    </row>
    <row r="1114">
      <c r="A1114" t="n">
        <v>1083</v>
      </c>
      <c r="B1114" t="n">
        <v>21</v>
      </c>
      <c r="C1114" t="inlineStr">
        <is>
          <t>30/03/2025 23:00</t>
        </is>
      </c>
      <c r="D1114" t="inlineStr">
        <is>
          <t>Fiserv Forum</t>
        </is>
      </c>
      <c r="E1114" t="inlineStr">
        <is>
          <t>Milwaukee Bucks</t>
        </is>
      </c>
      <c r="F1114" t="inlineStr">
        <is>
          <t>Atlanta Hawks</t>
        </is>
      </c>
      <c r="G1114" t="n">
        <v>124</v>
      </c>
      <c r="H1114" t="n">
        <v>145</v>
      </c>
      <c r="I1114" t="inlineStr">
        <is>
          <t>Atlanta Hawks</t>
        </is>
      </c>
      <c r="J1114" t="inlineStr">
        <is>
          <t>Milwaukee Bucks</t>
        </is>
      </c>
      <c r="K1114" t="inlineStr">
        <is>
          <t>Yes</t>
        </is>
      </c>
      <c r="L1114" t="inlineStr"/>
      <c r="M1114" t="inlineStr">
        <is>
          <t>https://fixturedownload.com/download/nba-2024-UTC.csv</t>
        </is>
      </c>
    </row>
    <row r="1115">
      <c r="A1115" t="n">
        <v>1084</v>
      </c>
      <c r="B1115" t="n">
        <v>21</v>
      </c>
      <c r="C1115" t="inlineStr">
        <is>
          <t>30/03/2025 23:00</t>
        </is>
      </c>
      <c r="D1115" t="inlineStr">
        <is>
          <t>Target Center</t>
        </is>
      </c>
      <c r="E1115" t="inlineStr">
        <is>
          <t>Minnesota Timberwolves</t>
        </is>
      </c>
      <c r="F1115" t="inlineStr">
        <is>
          <t>Detroit Pistons</t>
        </is>
      </c>
      <c r="G1115" t="n">
        <v>123</v>
      </c>
      <c r="H1115" t="n">
        <v>104</v>
      </c>
      <c r="I1115" t="inlineStr">
        <is>
          <t>Minnesota Timberwolves</t>
        </is>
      </c>
      <c r="J1115" t="inlineStr">
        <is>
          <t>Detroit Pistons</t>
        </is>
      </c>
      <c r="K1115" t="inlineStr">
        <is>
          <t>Yes</t>
        </is>
      </c>
      <c r="L1115" t="inlineStr"/>
      <c r="M1115" t="inlineStr">
        <is>
          <t>https://fixturedownload.com/download/nba-2024-UTC.csv</t>
        </is>
      </c>
    </row>
    <row r="1116">
      <c r="A1116" t="n">
        <v>1085</v>
      </c>
      <c r="B1116" t="n">
        <v>21</v>
      </c>
      <c r="C1116" t="inlineStr">
        <is>
          <t>30/03/2025 23:00</t>
        </is>
      </c>
      <c r="D1116" t="inlineStr">
        <is>
          <t>Smoothie King Center</t>
        </is>
      </c>
      <c r="E1116" t="inlineStr">
        <is>
          <t>New Orleans Pelicans</t>
        </is>
      </c>
      <c r="F1116" t="inlineStr">
        <is>
          <t>Charlotte Hornets</t>
        </is>
      </c>
      <c r="G1116" t="n">
        <v>98</v>
      </c>
      <c r="H1116" t="n">
        <v>94</v>
      </c>
      <c r="I1116" t="inlineStr">
        <is>
          <t>New Orleans Pelicans</t>
        </is>
      </c>
      <c r="J1116" t="inlineStr">
        <is>
          <t>Charlotte Hornets</t>
        </is>
      </c>
      <c r="K1116" t="inlineStr">
        <is>
          <t>Yes</t>
        </is>
      </c>
      <c r="L1116" t="inlineStr"/>
      <c r="M1116" t="inlineStr">
        <is>
          <t>https://fixturedownload.com/download/nba-2024-UTC.csv</t>
        </is>
      </c>
    </row>
    <row r="1117">
      <c r="A1117" t="n">
        <v>1086</v>
      </c>
      <c r="B1117" t="n">
        <v>21</v>
      </c>
      <c r="C1117" t="inlineStr">
        <is>
          <t>30/03/2025 23:00</t>
        </is>
      </c>
      <c r="D1117" t="inlineStr">
        <is>
          <t>Frost Bank Center</t>
        </is>
      </c>
      <c r="E1117" t="inlineStr">
        <is>
          <t>San Antonio Spurs</t>
        </is>
      </c>
      <c r="F1117" t="inlineStr">
        <is>
          <t>Golden State Warriors</t>
        </is>
      </c>
      <c r="G1117" t="n">
        <v>106</v>
      </c>
      <c r="H1117" t="n">
        <v>148</v>
      </c>
      <c r="I1117" t="inlineStr">
        <is>
          <t>Golden State Warriors</t>
        </is>
      </c>
      <c r="J1117" t="inlineStr">
        <is>
          <t>San Antonio Spurs</t>
        </is>
      </c>
      <c r="K1117" t="inlineStr">
        <is>
          <t>Yes</t>
        </is>
      </c>
      <c r="L1117" t="inlineStr"/>
      <c r="M1117" t="inlineStr">
        <is>
          <t>https://fixturedownload.com/download/nba-2024-UTC.csv</t>
        </is>
      </c>
    </row>
    <row r="1118">
      <c r="A1118" t="n">
        <v>1087</v>
      </c>
      <c r="B1118" t="n">
        <v>21</v>
      </c>
      <c r="C1118" t="inlineStr">
        <is>
          <t>30/03/2025 23:30</t>
        </is>
      </c>
      <c r="D1118" t="inlineStr">
        <is>
          <t>Wells Fargo Center</t>
        </is>
      </c>
      <c r="E1118" t="inlineStr">
        <is>
          <t>Philadelphia 76ers</t>
        </is>
      </c>
      <c r="F1118" t="inlineStr">
        <is>
          <t>Toronto Raptors</t>
        </is>
      </c>
      <c r="G1118" t="n">
        <v>109</v>
      </c>
      <c r="H1118" t="n">
        <v>127</v>
      </c>
      <c r="I1118" t="inlineStr">
        <is>
          <t>Toronto Raptors</t>
        </is>
      </c>
      <c r="J1118" t="inlineStr">
        <is>
          <t>Philadelphia 76ers</t>
        </is>
      </c>
      <c r="K1118" t="inlineStr">
        <is>
          <t>Yes</t>
        </is>
      </c>
      <c r="L1118" t="inlineStr"/>
      <c r="M1118" t="inlineStr">
        <is>
          <t>https://fixturedownload.com/download/nba-2024-UTC.csv</t>
        </is>
      </c>
    </row>
    <row r="1119">
      <c r="A1119" t="n">
        <v>1088</v>
      </c>
      <c r="B1119" t="n">
        <v>21</v>
      </c>
      <c r="C1119" t="inlineStr">
        <is>
          <t>31/03/2025 01:00</t>
        </is>
      </c>
      <c r="D1119" t="inlineStr">
        <is>
          <t>PHX Arena</t>
        </is>
      </c>
      <c r="E1119" t="inlineStr">
        <is>
          <t>Phoenix Suns</t>
        </is>
      </c>
      <c r="F1119" t="inlineStr">
        <is>
          <t>Houston Rockets</t>
        </is>
      </c>
      <c r="G1119" t="n">
        <v>109</v>
      </c>
      <c r="H1119" t="n">
        <v>148</v>
      </c>
      <c r="I1119" t="inlineStr">
        <is>
          <t>Houston Rockets</t>
        </is>
      </c>
      <c r="J1119" t="inlineStr">
        <is>
          <t>Phoenix Suns</t>
        </is>
      </c>
      <c r="K1119" t="inlineStr">
        <is>
          <t>Yes</t>
        </is>
      </c>
      <c r="L1119" t="inlineStr"/>
      <c r="M1119" t="inlineStr">
        <is>
          <t>https://fixturedownload.com/download/nba-2024-UTC.csv</t>
        </is>
      </c>
    </row>
    <row r="1120">
      <c r="A1120" t="n">
        <v>1089</v>
      </c>
      <c r="B1120" t="n">
        <v>21</v>
      </c>
      <c r="C1120" t="inlineStr">
        <is>
          <t>31/03/2025 23:00</t>
        </is>
      </c>
      <c r="D1120" t="inlineStr">
        <is>
          <t>Spectrum Center</t>
        </is>
      </c>
      <c r="E1120" t="inlineStr">
        <is>
          <t>Charlotte Hornets</t>
        </is>
      </c>
      <c r="F1120" t="inlineStr">
        <is>
          <t>Utah Jazz</t>
        </is>
      </c>
      <c r="G1120" t="n">
        <v>110</v>
      </c>
      <c r="H1120" t="n">
        <v>106</v>
      </c>
      <c r="I1120" t="inlineStr">
        <is>
          <t>Charlotte Hornets</t>
        </is>
      </c>
      <c r="J1120" t="inlineStr">
        <is>
          <t>Utah Jazz</t>
        </is>
      </c>
      <c r="K1120" t="inlineStr">
        <is>
          <t>Yes</t>
        </is>
      </c>
      <c r="L1120" t="inlineStr"/>
      <c r="M1120" t="inlineStr">
        <is>
          <t>https://fixturedownload.com/download/nba-2024-UTC.csv</t>
        </is>
      </c>
    </row>
    <row r="1121">
      <c r="A1121" t="n">
        <v>1090</v>
      </c>
      <c r="B1121" t="n">
        <v>21</v>
      </c>
      <c r="C1121" t="inlineStr">
        <is>
          <t>31/03/2025 23:00</t>
        </is>
      </c>
      <c r="D1121" t="inlineStr">
        <is>
          <t>Gainbridge Fieldhouse</t>
        </is>
      </c>
      <c r="E1121" t="inlineStr">
        <is>
          <t>Indiana Pacers</t>
        </is>
      </c>
      <c r="F1121" t="inlineStr">
        <is>
          <t>Sacramento Kings</t>
        </is>
      </c>
      <c r="G1121" t="n">
        <v>111</v>
      </c>
      <c r="H1121" t="n">
        <v>109</v>
      </c>
      <c r="I1121" t="inlineStr">
        <is>
          <t>Indiana Pacers</t>
        </is>
      </c>
      <c r="J1121" t="inlineStr">
        <is>
          <t>Sacramento Kings</t>
        </is>
      </c>
      <c r="K1121" t="inlineStr">
        <is>
          <t>Yes</t>
        </is>
      </c>
      <c r="L1121" t="inlineStr"/>
      <c r="M1121" t="inlineStr">
        <is>
          <t>https://fixturedownload.com/download/nba-2024-UTC.csv</t>
        </is>
      </c>
    </row>
    <row r="1122">
      <c r="A1122" t="n">
        <v>1091</v>
      </c>
      <c r="B1122" t="n">
        <v>21</v>
      </c>
      <c r="C1122" t="inlineStr">
        <is>
          <t>31/03/2025 23:00</t>
        </is>
      </c>
      <c r="D1122" t="inlineStr">
        <is>
          <t>Kia Center</t>
        </is>
      </c>
      <c r="E1122" t="inlineStr">
        <is>
          <t>Orlando Magic</t>
        </is>
      </c>
      <c r="F1122" t="inlineStr">
        <is>
          <t>LA Clippers</t>
        </is>
      </c>
      <c r="G1122" t="n">
        <v>87</v>
      </c>
      <c r="H1122" t="n">
        <v>96</v>
      </c>
      <c r="I1122" t="inlineStr">
        <is>
          <t>LA Clippers</t>
        </is>
      </c>
      <c r="J1122" t="inlineStr">
        <is>
          <t>Orlando Magic</t>
        </is>
      </c>
      <c r="K1122" t="inlineStr">
        <is>
          <t>Yes</t>
        </is>
      </c>
      <c r="L1122" t="inlineStr"/>
      <c r="M1122" t="inlineStr">
        <is>
          <t>https://fixturedownload.com/download/nba-2024-UTC.csv</t>
        </is>
      </c>
    </row>
    <row r="1123">
      <c r="A1123" t="n">
        <v>1092</v>
      </c>
      <c r="B1123" t="n">
        <v>21</v>
      </c>
      <c r="C1123" t="inlineStr">
        <is>
          <t>31/03/2025 23:00</t>
        </is>
      </c>
      <c r="D1123" t="inlineStr">
        <is>
          <t>Capital One Arena</t>
        </is>
      </c>
      <c r="E1123" t="inlineStr">
        <is>
          <t>Washington Wizards</t>
        </is>
      </c>
      <c r="F1123" t="inlineStr">
        <is>
          <t>Miami Heat</t>
        </is>
      </c>
      <c r="G1123" t="n">
        <v>94</v>
      </c>
      <c r="H1123" t="n">
        <v>120</v>
      </c>
      <c r="I1123" t="inlineStr">
        <is>
          <t>Miami Heat</t>
        </is>
      </c>
      <c r="J1123" t="inlineStr">
        <is>
          <t>Washington Wizards</t>
        </is>
      </c>
      <c r="K1123" t="inlineStr">
        <is>
          <t>Yes</t>
        </is>
      </c>
      <c r="L1123" t="inlineStr"/>
      <c r="M1123" t="inlineStr">
        <is>
          <t>https://fixturedownload.com/download/nba-2024-UTC.csv</t>
        </is>
      </c>
    </row>
    <row r="1124">
      <c r="A1124" t="n">
        <v>1093</v>
      </c>
      <c r="B1124" t="n">
        <v>21</v>
      </c>
      <c r="C1124" t="inlineStr">
        <is>
          <t>31/03/2025 23:30</t>
        </is>
      </c>
      <c r="D1124" t="inlineStr">
        <is>
          <t>FedExForum</t>
        </is>
      </c>
      <c r="E1124" t="inlineStr">
        <is>
          <t>Memphis Grizzlies</t>
        </is>
      </c>
      <c r="F1124" t="inlineStr">
        <is>
          <t>Boston Celtics</t>
        </is>
      </c>
      <c r="G1124" t="n">
        <v>103</v>
      </c>
      <c r="H1124" t="n">
        <v>117</v>
      </c>
      <c r="I1124" t="inlineStr">
        <is>
          <t>Boston Celtics</t>
        </is>
      </c>
      <c r="J1124" t="inlineStr">
        <is>
          <t>Memphis Grizzlies</t>
        </is>
      </c>
      <c r="K1124" t="inlineStr">
        <is>
          <t>Yes</t>
        </is>
      </c>
      <c r="L1124" t="inlineStr"/>
      <c r="M1124" t="inlineStr">
        <is>
          <t>https://fixturedownload.com/download/nba-2024-UTC.csv</t>
        </is>
      </c>
    </row>
    <row r="1125">
      <c r="A1125" t="n">
        <v>1094</v>
      </c>
      <c r="B1125" t="n">
        <v>21</v>
      </c>
      <c r="C1125" t="inlineStr">
        <is>
          <t>01/04/2025 00:00</t>
        </is>
      </c>
      <c r="D1125" t="inlineStr">
        <is>
          <t>Paycom Center</t>
        </is>
      </c>
      <c r="E1125" t="inlineStr">
        <is>
          <t>Oklahoma City Thunder</t>
        </is>
      </c>
      <c r="F1125" t="inlineStr">
        <is>
          <t>Chicago Bulls</t>
        </is>
      </c>
      <c r="G1125" t="n">
        <v>145</v>
      </c>
      <c r="H1125" t="n">
        <v>117</v>
      </c>
      <c r="I1125" t="inlineStr">
        <is>
          <t>Oklahoma City Thunder</t>
        </is>
      </c>
      <c r="J1125" t="inlineStr">
        <is>
          <t>Chicago Bulls</t>
        </is>
      </c>
      <c r="K1125" t="inlineStr">
        <is>
          <t>Yes</t>
        </is>
      </c>
      <c r="L1125" t="inlineStr"/>
      <c r="M1125" t="inlineStr">
        <is>
          <t>https://fixturedownload.com/download/nba-2024-UTC.csv</t>
        </is>
      </c>
    </row>
    <row r="1126">
      <c r="A1126" t="n">
        <v>1095</v>
      </c>
      <c r="B1126" t="n">
        <v>21</v>
      </c>
      <c r="C1126" t="inlineStr">
        <is>
          <t>01/04/2025 00:30</t>
        </is>
      </c>
      <c r="D1126" t="inlineStr">
        <is>
          <t>American Airlines Center</t>
        </is>
      </c>
      <c r="E1126" t="inlineStr">
        <is>
          <t>Dallas Mavericks</t>
        </is>
      </c>
      <c r="F1126" t="inlineStr">
        <is>
          <t>Brooklyn Nets</t>
        </is>
      </c>
      <c r="G1126" t="n">
        <v>109</v>
      </c>
      <c r="H1126" t="n">
        <v>113</v>
      </c>
      <c r="I1126" t="inlineStr">
        <is>
          <t>Brooklyn Nets</t>
        </is>
      </c>
      <c r="J1126" t="inlineStr">
        <is>
          <t>Dallas Mavericks</t>
        </is>
      </c>
      <c r="K1126" t="inlineStr">
        <is>
          <t>Yes</t>
        </is>
      </c>
      <c r="L1126" t="inlineStr"/>
      <c r="M1126" t="inlineStr">
        <is>
          <t>https://fixturedownload.com/download/nba-2024-UTC.csv</t>
        </is>
      </c>
    </row>
    <row r="1127">
      <c r="A1127" t="n">
        <v>1096</v>
      </c>
      <c r="B1127" t="n">
        <v>21</v>
      </c>
      <c r="C1127" t="inlineStr">
        <is>
          <t>01/04/2025 02:00</t>
        </is>
      </c>
      <c r="D1127" t="inlineStr">
        <is>
          <t>Crypto.com Arena</t>
        </is>
      </c>
      <c r="E1127" t="inlineStr">
        <is>
          <t>Los Angeles Lakers</t>
        </is>
      </c>
      <c r="F1127" t="inlineStr">
        <is>
          <t>Houston Rockets</t>
        </is>
      </c>
      <c r="G1127" t="n">
        <v>104</v>
      </c>
      <c r="H1127" t="n">
        <v>98</v>
      </c>
      <c r="I1127" t="inlineStr">
        <is>
          <t>Los Angeles Lakers</t>
        </is>
      </c>
      <c r="J1127" t="inlineStr">
        <is>
          <t>Houston Rockets</t>
        </is>
      </c>
      <c r="K1127" t="inlineStr">
        <is>
          <t>Yes</t>
        </is>
      </c>
      <c r="L1127" t="inlineStr"/>
      <c r="M1127" t="inlineStr">
        <is>
          <t>https://fixturedownload.com/download/nba-2024-UTC.csv</t>
        </is>
      </c>
    </row>
    <row r="1128">
      <c r="A1128" t="n">
        <v>1097</v>
      </c>
      <c r="B1128" t="n">
        <v>21</v>
      </c>
      <c r="C1128" t="inlineStr">
        <is>
          <t>01/04/2025 23:30</t>
        </is>
      </c>
      <c r="D1128" t="inlineStr">
        <is>
          <t>State Farm Arena</t>
        </is>
      </c>
      <c r="E1128" t="inlineStr">
        <is>
          <t>Atlanta Hawks</t>
        </is>
      </c>
      <c r="F1128" t="inlineStr">
        <is>
          <t>Portland Trail Blazers</t>
        </is>
      </c>
      <c r="G1128" t="n">
        <v>113</v>
      </c>
      <c r="H1128" t="n">
        <v>127</v>
      </c>
      <c r="I1128" t="inlineStr">
        <is>
          <t>Portland Trail Blazers</t>
        </is>
      </c>
      <c r="J1128" t="inlineStr">
        <is>
          <t>Atlanta Hawks</t>
        </is>
      </c>
      <c r="K1128" t="inlineStr">
        <is>
          <t>Yes</t>
        </is>
      </c>
      <c r="L1128" t="inlineStr"/>
      <c r="M1128" t="inlineStr">
        <is>
          <t>https://fixturedownload.com/download/nba-2024-UTC.csv</t>
        </is>
      </c>
    </row>
    <row r="1129">
      <c r="A1129" t="n">
        <v>1098</v>
      </c>
      <c r="B1129" t="n">
        <v>21</v>
      </c>
      <c r="C1129" t="inlineStr">
        <is>
          <t>01/04/2025 23:30</t>
        </is>
      </c>
      <c r="D1129" t="inlineStr">
        <is>
          <t>Madison Square Garden</t>
        </is>
      </c>
      <c r="E1129" t="inlineStr">
        <is>
          <t>New York Knicks</t>
        </is>
      </c>
      <c r="F1129" t="inlineStr">
        <is>
          <t>Philadelphia 76ers</t>
        </is>
      </c>
      <c r="G1129" t="n">
        <v>105</v>
      </c>
      <c r="H1129" t="n">
        <v>91</v>
      </c>
      <c r="I1129" t="inlineStr">
        <is>
          <t>New York Knicks</t>
        </is>
      </c>
      <c r="J1129" t="inlineStr">
        <is>
          <t>Philadelphia 76ers</t>
        </is>
      </c>
      <c r="K1129" t="inlineStr">
        <is>
          <t>Yes</t>
        </is>
      </c>
      <c r="L1129" t="inlineStr"/>
      <c r="M1129" t="inlineStr">
        <is>
          <t>https://fixturedownload.com/download/nba-2024-UTC.csv</t>
        </is>
      </c>
    </row>
    <row r="1130">
      <c r="A1130" t="n">
        <v>1101</v>
      </c>
      <c r="B1130" t="n">
        <v>21</v>
      </c>
      <c r="C1130" t="inlineStr">
        <is>
          <t>01/04/2025 23:30</t>
        </is>
      </c>
      <c r="D1130" t="inlineStr">
        <is>
          <t>Fiserv Forum</t>
        </is>
      </c>
      <c r="E1130" t="inlineStr">
        <is>
          <t>Milwaukee Bucks</t>
        </is>
      </c>
      <c r="F1130" t="inlineStr">
        <is>
          <t>Phoenix Suns</t>
        </is>
      </c>
      <c r="G1130" t="n">
        <v>133</v>
      </c>
      <c r="H1130" t="n">
        <v>123</v>
      </c>
      <c r="I1130" t="inlineStr">
        <is>
          <t>Milwaukee Bucks</t>
        </is>
      </c>
      <c r="J1130" t="inlineStr">
        <is>
          <t>Phoenix Suns</t>
        </is>
      </c>
      <c r="K1130" t="inlineStr">
        <is>
          <t>Yes</t>
        </is>
      </c>
      <c r="L1130" t="inlineStr"/>
      <c r="M1130" t="inlineStr">
        <is>
          <t>https://fixturedownload.com/download/nba-2024-UTC.csv</t>
        </is>
      </c>
    </row>
    <row r="1131">
      <c r="A1131" t="n">
        <v>988</v>
      </c>
      <c r="B1131" t="n">
        <v>21</v>
      </c>
      <c r="C1131" t="inlineStr">
        <is>
          <t>02/04/2025 00:00</t>
        </is>
      </c>
      <c r="D1131" t="inlineStr">
        <is>
          <t>Frost Bank Center</t>
        </is>
      </c>
      <c r="E1131" t="inlineStr">
        <is>
          <t>San Antonio Spurs</t>
        </is>
      </c>
      <c r="F1131" t="inlineStr">
        <is>
          <t>Orlando Magic</t>
        </is>
      </c>
      <c r="G1131" t="n">
        <v>105</v>
      </c>
      <c r="H1131" t="n">
        <v>116</v>
      </c>
      <c r="I1131" t="inlineStr">
        <is>
          <t>Orlando Magic</t>
        </is>
      </c>
      <c r="J1131" t="inlineStr">
        <is>
          <t>San Antonio Spurs</t>
        </is>
      </c>
      <c r="K1131" t="inlineStr">
        <is>
          <t>Yes</t>
        </is>
      </c>
      <c r="L1131" t="inlineStr"/>
      <c r="M1131" t="inlineStr">
        <is>
          <t>https://fixturedownload.com/download/nba-2024-UTC.csv</t>
        </is>
      </c>
    </row>
    <row r="1132">
      <c r="A1132" t="n">
        <v>1099</v>
      </c>
      <c r="B1132" t="n">
        <v>21</v>
      </c>
      <c r="C1132" t="inlineStr">
        <is>
          <t>02/04/2025 00:00</t>
        </is>
      </c>
      <c r="D1132" t="inlineStr">
        <is>
          <t>United Center</t>
        </is>
      </c>
      <c r="E1132" t="inlineStr">
        <is>
          <t>Chicago Bulls</t>
        </is>
      </c>
      <c r="F1132" t="inlineStr">
        <is>
          <t>Toronto Raptors</t>
        </is>
      </c>
      <c r="G1132" t="n">
        <v>137</v>
      </c>
      <c r="H1132" t="n">
        <v>118</v>
      </c>
      <c r="I1132" t="inlineStr">
        <is>
          <t>Chicago Bulls</t>
        </is>
      </c>
      <c r="J1132" t="inlineStr">
        <is>
          <t>Toronto Raptors</t>
        </is>
      </c>
      <c r="K1132" t="inlineStr">
        <is>
          <t>Yes</t>
        </is>
      </c>
      <c r="L1132" t="inlineStr"/>
      <c r="M1132" t="inlineStr">
        <is>
          <t>https://fixturedownload.com/download/nba-2024-UTC.csv</t>
        </is>
      </c>
    </row>
    <row r="1133">
      <c r="A1133" t="n">
        <v>1100</v>
      </c>
      <c r="B1133" t="n">
        <v>21</v>
      </c>
      <c r="C1133" t="inlineStr">
        <is>
          <t>02/04/2025 00:00</t>
        </is>
      </c>
      <c r="D1133" t="inlineStr">
        <is>
          <t>FedExForum</t>
        </is>
      </c>
      <c r="E1133" t="inlineStr">
        <is>
          <t>Memphis Grizzlies</t>
        </is>
      </c>
      <c r="F1133" t="inlineStr">
        <is>
          <t>Golden State Warriors</t>
        </is>
      </c>
      <c r="G1133" t="n">
        <v>125</v>
      </c>
      <c r="H1133" t="n">
        <v>134</v>
      </c>
      <c r="I1133" t="inlineStr">
        <is>
          <t>Golden State Warriors</t>
        </is>
      </c>
      <c r="J1133" t="inlineStr">
        <is>
          <t>Memphis Grizzlies</t>
        </is>
      </c>
      <c r="K1133" t="inlineStr">
        <is>
          <t>Yes</t>
        </is>
      </c>
      <c r="L1133" t="inlineStr"/>
      <c r="M1133" t="inlineStr">
        <is>
          <t>https://fixturedownload.com/download/nba-2024-UTC.csv</t>
        </is>
      </c>
    </row>
    <row r="1134">
      <c r="A1134" t="n">
        <v>1102</v>
      </c>
      <c r="B1134" t="n">
        <v>21</v>
      </c>
      <c r="C1134" t="inlineStr">
        <is>
          <t>02/04/2025 02:00</t>
        </is>
      </c>
      <c r="D1134" t="inlineStr">
        <is>
          <t>Ball Arena</t>
        </is>
      </c>
      <c r="E1134" t="inlineStr">
        <is>
          <t>Denver Nuggets</t>
        </is>
      </c>
      <c r="F1134" t="inlineStr">
        <is>
          <t>Minnesota Timberwolves</t>
        </is>
      </c>
      <c r="G1134" t="n">
        <v>139</v>
      </c>
      <c r="H1134" t="n">
        <v>140</v>
      </c>
      <c r="I1134" t="inlineStr">
        <is>
          <t>Minnesota Timberwolves</t>
        </is>
      </c>
      <c r="J1134" t="inlineStr">
        <is>
          <t>Denver Nuggets</t>
        </is>
      </c>
      <c r="K1134" t="inlineStr">
        <is>
          <t>Yes</t>
        </is>
      </c>
      <c r="L1134" t="inlineStr"/>
      <c r="M1134" t="inlineStr">
        <is>
          <t>https://fixturedownload.com/download/nba-2024-UTC.csv</t>
        </is>
      </c>
    </row>
    <row r="1135">
      <c r="A1135" t="n">
        <v>1103</v>
      </c>
      <c r="B1135" t="n">
        <v>22</v>
      </c>
      <c r="C1135" t="inlineStr">
        <is>
          <t>02/04/2025 23:00</t>
        </is>
      </c>
      <c r="D1135" t="inlineStr">
        <is>
          <t>Rocket Arena</t>
        </is>
      </c>
      <c r="E1135" t="inlineStr">
        <is>
          <t>Cleveland Cavaliers</t>
        </is>
      </c>
      <c r="F1135" t="inlineStr">
        <is>
          <t>New York Knicks</t>
        </is>
      </c>
      <c r="G1135" t="n">
        <v>124</v>
      </c>
      <c r="H1135" t="n">
        <v>105</v>
      </c>
      <c r="I1135" t="inlineStr">
        <is>
          <t>Cleveland Cavaliers</t>
        </is>
      </c>
      <c r="J1135" t="inlineStr">
        <is>
          <t>New York Knicks</t>
        </is>
      </c>
      <c r="K1135" t="inlineStr">
        <is>
          <t>Yes</t>
        </is>
      </c>
      <c r="L1135" t="inlineStr"/>
      <c r="M1135" t="inlineStr">
        <is>
          <t>https://fixturedownload.com/download/nba-2024-UTC.csv</t>
        </is>
      </c>
    </row>
    <row r="1136">
      <c r="A1136" t="n">
        <v>1104</v>
      </c>
      <c r="B1136" t="n">
        <v>22</v>
      </c>
      <c r="C1136" t="inlineStr">
        <is>
          <t>02/04/2025 23:00</t>
        </is>
      </c>
      <c r="D1136" t="inlineStr">
        <is>
          <t>Gainbridge Fieldhouse</t>
        </is>
      </c>
      <c r="E1136" t="inlineStr">
        <is>
          <t>Indiana Pacers</t>
        </is>
      </c>
      <c r="F1136" t="inlineStr">
        <is>
          <t>Charlotte Hornets</t>
        </is>
      </c>
      <c r="G1136" t="n">
        <v>119</v>
      </c>
      <c r="H1136" t="n">
        <v>105</v>
      </c>
      <c r="I1136" t="inlineStr">
        <is>
          <t>Indiana Pacers</t>
        </is>
      </c>
      <c r="J1136" t="inlineStr">
        <is>
          <t>Charlotte Hornets</t>
        </is>
      </c>
      <c r="K1136" t="inlineStr">
        <is>
          <t>Yes</t>
        </is>
      </c>
      <c r="L1136" t="inlineStr"/>
      <c r="M1136" t="inlineStr">
        <is>
          <t>https://fixturedownload.com/download/nba-2024-UTC.csv</t>
        </is>
      </c>
    </row>
    <row r="1137">
      <c r="A1137" t="n">
        <v>1105</v>
      </c>
      <c r="B1137" t="n">
        <v>22</v>
      </c>
      <c r="C1137" t="inlineStr">
        <is>
          <t>02/04/2025 23:00</t>
        </is>
      </c>
      <c r="D1137" t="inlineStr">
        <is>
          <t>Capital One Arena</t>
        </is>
      </c>
      <c r="E1137" t="inlineStr">
        <is>
          <t>Washington Wizards</t>
        </is>
      </c>
      <c r="F1137" t="inlineStr">
        <is>
          <t>Sacramento Kings</t>
        </is>
      </c>
      <c r="G1137" t="n">
        <v>116</v>
      </c>
      <c r="H1137" t="n">
        <v>111</v>
      </c>
      <c r="I1137" t="inlineStr">
        <is>
          <t>Washington Wizards</t>
        </is>
      </c>
      <c r="J1137" t="inlineStr">
        <is>
          <t>Sacramento Kings</t>
        </is>
      </c>
      <c r="K1137" t="inlineStr">
        <is>
          <t>Yes</t>
        </is>
      </c>
      <c r="L1137" t="inlineStr"/>
      <c r="M1137" t="inlineStr">
        <is>
          <t>https://fixturedownload.com/download/nba-2024-UTC.csv</t>
        </is>
      </c>
    </row>
    <row r="1138">
      <c r="A1138" t="n">
        <v>1106</v>
      </c>
      <c r="B1138" t="n">
        <v>22</v>
      </c>
      <c r="C1138" t="inlineStr">
        <is>
          <t>02/04/2025 23:30</t>
        </is>
      </c>
      <c r="D1138" t="inlineStr">
        <is>
          <t>TD Garden</t>
        </is>
      </c>
      <c r="E1138" t="inlineStr">
        <is>
          <t>Boston Celtics</t>
        </is>
      </c>
      <c r="F1138" t="inlineStr">
        <is>
          <t>Miami Heat</t>
        </is>
      </c>
      <c r="G1138" t="n">
        <v>103</v>
      </c>
      <c r="H1138" t="n">
        <v>124</v>
      </c>
      <c r="I1138" t="inlineStr">
        <is>
          <t>Miami Heat</t>
        </is>
      </c>
      <c r="J1138" t="inlineStr">
        <is>
          <t>Boston Celtics</t>
        </is>
      </c>
      <c r="K1138" t="inlineStr">
        <is>
          <t>Yes</t>
        </is>
      </c>
      <c r="L1138" t="inlineStr"/>
      <c r="M1138" t="inlineStr">
        <is>
          <t>https://fixturedownload.com/download/nba-2024-UTC.csv</t>
        </is>
      </c>
    </row>
    <row r="1139">
      <c r="A1139" t="n">
        <v>1107</v>
      </c>
      <c r="B1139" t="n">
        <v>22</v>
      </c>
      <c r="C1139" t="inlineStr">
        <is>
          <t>03/04/2025 00:00</t>
        </is>
      </c>
      <c r="D1139" t="inlineStr">
        <is>
          <t>Toyota Center</t>
        </is>
      </c>
      <c r="E1139" t="inlineStr">
        <is>
          <t>Houston Rockets</t>
        </is>
      </c>
      <c r="F1139" t="inlineStr">
        <is>
          <t>Utah Jazz</t>
        </is>
      </c>
      <c r="G1139" t="n">
        <v>143</v>
      </c>
      <c r="H1139" t="n">
        <v>105</v>
      </c>
      <c r="I1139" t="inlineStr">
        <is>
          <t>Houston Rockets</t>
        </is>
      </c>
      <c r="J1139" t="inlineStr">
        <is>
          <t>Utah Jazz</t>
        </is>
      </c>
      <c r="K1139" t="inlineStr">
        <is>
          <t>Yes</t>
        </is>
      </c>
      <c r="L1139" t="inlineStr"/>
      <c r="M1139" t="inlineStr">
        <is>
          <t>https://fixturedownload.com/download/nba-2024-UTC.csv</t>
        </is>
      </c>
    </row>
    <row r="1140">
      <c r="A1140" t="n">
        <v>1109</v>
      </c>
      <c r="B1140" t="n">
        <v>22</v>
      </c>
      <c r="C1140" t="inlineStr">
        <is>
          <t>03/04/2025 00:30</t>
        </is>
      </c>
      <c r="D1140" t="inlineStr">
        <is>
          <t>American Airlines Center</t>
        </is>
      </c>
      <c r="E1140" t="inlineStr">
        <is>
          <t>Dallas Mavericks</t>
        </is>
      </c>
      <c r="F1140" t="inlineStr">
        <is>
          <t>Atlanta Hawks</t>
        </is>
      </c>
      <c r="G1140" t="n">
        <v>120</v>
      </c>
      <c r="H1140" t="n">
        <v>118</v>
      </c>
      <c r="I1140" t="inlineStr">
        <is>
          <t>Dallas Mavericks</t>
        </is>
      </c>
      <c r="J1140" t="inlineStr">
        <is>
          <t>Atlanta Hawks</t>
        </is>
      </c>
      <c r="K1140" t="inlineStr">
        <is>
          <t>Yes</t>
        </is>
      </c>
      <c r="L1140" t="inlineStr"/>
      <c r="M1140" t="inlineStr">
        <is>
          <t>https://fixturedownload.com/download/nba-2024-UTC.csv</t>
        </is>
      </c>
    </row>
    <row r="1141">
      <c r="A1141" t="n">
        <v>1110</v>
      </c>
      <c r="B1141" t="n">
        <v>22</v>
      </c>
      <c r="C1141" t="inlineStr">
        <is>
          <t>03/04/2025 01:00</t>
        </is>
      </c>
      <c r="D1141" t="inlineStr">
        <is>
          <t>Ball Arena</t>
        </is>
      </c>
      <c r="E1141" t="inlineStr">
        <is>
          <t>Denver Nuggets</t>
        </is>
      </c>
      <c r="F1141" t="inlineStr">
        <is>
          <t>San Antonio Spurs</t>
        </is>
      </c>
      <c r="G1141" t="n">
        <v>106</v>
      </c>
      <c r="H1141" t="n">
        <v>113</v>
      </c>
      <c r="I1141" t="inlineStr">
        <is>
          <t>San Antonio Spurs</t>
        </is>
      </c>
      <c r="J1141" t="inlineStr">
        <is>
          <t>Denver Nuggets</t>
        </is>
      </c>
      <c r="K1141" t="inlineStr">
        <is>
          <t>Yes</t>
        </is>
      </c>
      <c r="L1141" t="inlineStr"/>
      <c r="M1141" t="inlineStr">
        <is>
          <t>https://fixturedownload.com/download/nba-2024-UTC.csv</t>
        </is>
      </c>
    </row>
    <row r="1142">
      <c r="A1142" t="n">
        <v>1108</v>
      </c>
      <c r="B1142" t="n">
        <v>22</v>
      </c>
      <c r="C1142" t="inlineStr">
        <is>
          <t>03/04/2025 01:30</t>
        </is>
      </c>
      <c r="D1142" t="inlineStr">
        <is>
          <t>Paycom Center</t>
        </is>
      </c>
      <c r="E1142" t="inlineStr">
        <is>
          <t>Oklahoma City Thunder</t>
        </is>
      </c>
      <c r="F1142" t="inlineStr">
        <is>
          <t>Detroit Pistons</t>
        </is>
      </c>
      <c r="G1142" t="n">
        <v>119</v>
      </c>
      <c r="H1142" t="n">
        <v>103</v>
      </c>
      <c r="I1142" t="inlineStr">
        <is>
          <t>Oklahoma City Thunder</t>
        </is>
      </c>
      <c r="J1142" t="inlineStr">
        <is>
          <t>Detroit Pistons</t>
        </is>
      </c>
      <c r="K1142" t="inlineStr">
        <is>
          <t>Yes</t>
        </is>
      </c>
      <c r="L1142" t="inlineStr"/>
      <c r="M1142" t="inlineStr">
        <is>
          <t>https://fixturedownload.com/download/nba-2024-UTC.csv</t>
        </is>
      </c>
    </row>
    <row r="1143">
      <c r="A1143" t="n">
        <v>1111</v>
      </c>
      <c r="B1143" t="n">
        <v>22</v>
      </c>
      <c r="C1143" t="inlineStr">
        <is>
          <t>03/04/2025 02:30</t>
        </is>
      </c>
      <c r="D1143" t="inlineStr">
        <is>
          <t>Intuit Dome</t>
        </is>
      </c>
      <c r="E1143" t="inlineStr">
        <is>
          <t>LA Clippers</t>
        </is>
      </c>
      <c r="F1143" t="inlineStr">
        <is>
          <t>New Orleans Pelicans</t>
        </is>
      </c>
      <c r="G1143" t="n">
        <v>114</v>
      </c>
      <c r="H1143" t="n">
        <v>98</v>
      </c>
      <c r="I1143" t="inlineStr">
        <is>
          <t>LA Clippers</t>
        </is>
      </c>
      <c r="J1143" t="inlineStr">
        <is>
          <t>New Orleans Pelicans</t>
        </is>
      </c>
      <c r="K1143" t="inlineStr">
        <is>
          <t>Yes</t>
        </is>
      </c>
      <c r="L1143" t="inlineStr"/>
      <c r="M1143" t="inlineStr">
        <is>
          <t>https://fixturedownload.com/download/nba-2024-UTC.csv</t>
        </is>
      </c>
    </row>
    <row r="1144">
      <c r="A1144" t="n">
        <v>1112</v>
      </c>
      <c r="B1144" t="n">
        <v>22</v>
      </c>
      <c r="C1144" t="inlineStr">
        <is>
          <t>03/04/2025 23:00</t>
        </is>
      </c>
      <c r="D1144" t="inlineStr">
        <is>
          <t>Capital One Arena</t>
        </is>
      </c>
      <c r="E1144" t="inlineStr">
        <is>
          <t>Washington Wizards</t>
        </is>
      </c>
      <c r="F1144" t="inlineStr">
        <is>
          <t>Orlando Magic</t>
        </is>
      </c>
      <c r="G1144" t="n">
        <v>97</v>
      </c>
      <c r="H1144" t="n">
        <v>109</v>
      </c>
      <c r="I1144" t="inlineStr">
        <is>
          <t>Orlando Magic</t>
        </is>
      </c>
      <c r="J1144" t="inlineStr">
        <is>
          <t>Washington Wizards</t>
        </is>
      </c>
      <c r="K1144" t="inlineStr">
        <is>
          <t>Yes</t>
        </is>
      </c>
      <c r="L1144" t="inlineStr"/>
      <c r="M1144" t="inlineStr">
        <is>
          <t>https://fixturedownload.com/download/nba-2024-UTC.csv</t>
        </is>
      </c>
    </row>
    <row r="1145">
      <c r="A1145" t="n">
        <v>1115</v>
      </c>
      <c r="B1145" t="n">
        <v>22</v>
      </c>
      <c r="C1145" t="inlineStr">
        <is>
          <t>03/04/2025 23:00</t>
        </is>
      </c>
      <c r="D1145" t="inlineStr">
        <is>
          <t>Wells Fargo Center</t>
        </is>
      </c>
      <c r="E1145" t="inlineStr">
        <is>
          <t>Philadelphia 76ers</t>
        </is>
      </c>
      <c r="F1145" t="inlineStr">
        <is>
          <t>Milwaukee Bucks</t>
        </is>
      </c>
      <c r="G1145" t="n">
        <v>113</v>
      </c>
      <c r="H1145" t="n">
        <v>126</v>
      </c>
      <c r="I1145" t="inlineStr">
        <is>
          <t>Milwaukee Bucks</t>
        </is>
      </c>
      <c r="J1145" t="inlineStr">
        <is>
          <t>Philadelphia 76ers</t>
        </is>
      </c>
      <c r="K1145" t="inlineStr">
        <is>
          <t>Yes</t>
        </is>
      </c>
      <c r="L1145" t="inlineStr"/>
      <c r="M1145" t="inlineStr">
        <is>
          <t>https://fixturedownload.com/download/nba-2024-UTC.csv</t>
        </is>
      </c>
    </row>
    <row r="1146">
      <c r="A1146" t="n">
        <v>1113</v>
      </c>
      <c r="B1146" t="n">
        <v>22</v>
      </c>
      <c r="C1146" t="inlineStr">
        <is>
          <t>03/04/2025 23:30</t>
        </is>
      </c>
      <c r="D1146" t="inlineStr">
        <is>
          <t>Barclays Center</t>
        </is>
      </c>
      <c r="E1146" t="inlineStr">
        <is>
          <t>Brooklyn Nets</t>
        </is>
      </c>
      <c r="F1146" t="inlineStr">
        <is>
          <t>Minnesota Timberwolves</t>
        </is>
      </c>
      <c r="G1146" t="n">
        <v>90</v>
      </c>
      <c r="H1146" t="n">
        <v>105</v>
      </c>
      <c r="I1146" t="inlineStr">
        <is>
          <t>Minnesota Timberwolves</t>
        </is>
      </c>
      <c r="J1146" t="inlineStr">
        <is>
          <t>Brooklyn Nets</t>
        </is>
      </c>
      <c r="K1146" t="inlineStr">
        <is>
          <t>Yes</t>
        </is>
      </c>
      <c r="L1146" t="inlineStr"/>
      <c r="M1146" t="inlineStr">
        <is>
          <t>https://fixturedownload.com/download/nba-2024-UTC.csv</t>
        </is>
      </c>
    </row>
    <row r="1147">
      <c r="A1147" t="n">
        <v>1114</v>
      </c>
      <c r="B1147" t="n">
        <v>22</v>
      </c>
      <c r="C1147" t="inlineStr">
        <is>
          <t>03/04/2025 23:30</t>
        </is>
      </c>
      <c r="D1147" t="inlineStr">
        <is>
          <t>Kaseya Center</t>
        </is>
      </c>
      <c r="E1147" t="inlineStr">
        <is>
          <t>Miami Heat</t>
        </is>
      </c>
      <c r="F1147" t="inlineStr">
        <is>
          <t>Memphis Grizzlies</t>
        </is>
      </c>
      <c r="G1147" t="n">
        <v>108</v>
      </c>
      <c r="H1147" t="n">
        <v>110</v>
      </c>
      <c r="I1147" t="inlineStr">
        <is>
          <t>Memphis Grizzlies</t>
        </is>
      </c>
      <c r="J1147" t="inlineStr">
        <is>
          <t>Miami Heat</t>
        </is>
      </c>
      <c r="K1147" t="inlineStr">
        <is>
          <t>Yes</t>
        </is>
      </c>
      <c r="L1147" t="inlineStr"/>
      <c r="M1147" t="inlineStr">
        <is>
          <t>https://fixturedownload.com/download/nba-2024-UTC.csv</t>
        </is>
      </c>
    </row>
    <row r="1148">
      <c r="A1148" t="n">
        <v>1116</v>
      </c>
      <c r="B1148" t="n">
        <v>22</v>
      </c>
      <c r="C1148" t="inlineStr">
        <is>
          <t>03/04/2025 23:30</t>
        </is>
      </c>
      <c r="D1148" t="inlineStr">
        <is>
          <t>Scotiabank Arena</t>
        </is>
      </c>
      <c r="E1148" t="inlineStr">
        <is>
          <t>Toronto Raptors</t>
        </is>
      </c>
      <c r="F1148" t="inlineStr">
        <is>
          <t>Portland Trail Blazers</t>
        </is>
      </c>
      <c r="G1148" t="n">
        <v>103</v>
      </c>
      <c r="H1148" t="n">
        <v>112</v>
      </c>
      <c r="I1148" t="inlineStr">
        <is>
          <t>Portland Trail Blazers</t>
        </is>
      </c>
      <c r="J1148" t="inlineStr">
        <is>
          <t>Toronto Raptors</t>
        </is>
      </c>
      <c r="K1148" t="inlineStr">
        <is>
          <t>Yes</t>
        </is>
      </c>
      <c r="L1148" t="inlineStr"/>
      <c r="M1148" t="inlineStr">
        <is>
          <t>https://fixturedownload.com/download/nba-2024-UTC.csv</t>
        </is>
      </c>
    </row>
    <row r="1149">
      <c r="A1149" t="n">
        <v>1117</v>
      </c>
      <c r="B1149" t="n">
        <v>22</v>
      </c>
      <c r="C1149" t="inlineStr">
        <is>
          <t>04/04/2025 02:00</t>
        </is>
      </c>
      <c r="D1149" t="inlineStr">
        <is>
          <t>Crypto.com Arena</t>
        </is>
      </c>
      <c r="E1149" t="inlineStr">
        <is>
          <t>Los Angeles Lakers</t>
        </is>
      </c>
      <c r="F1149" t="inlineStr">
        <is>
          <t>Golden State Warriors</t>
        </is>
      </c>
      <c r="G1149" t="n">
        <v>116</v>
      </c>
      <c r="H1149" t="n">
        <v>123</v>
      </c>
      <c r="I1149" t="inlineStr">
        <is>
          <t>Golden State Warriors</t>
        </is>
      </c>
      <c r="J1149" t="inlineStr">
        <is>
          <t>Los Angeles Lakers</t>
        </is>
      </c>
      <c r="K1149" t="inlineStr">
        <is>
          <t>Yes</t>
        </is>
      </c>
      <c r="L1149" t="inlineStr"/>
      <c r="M1149" t="inlineStr">
        <is>
          <t>https://fixturedownload.com/download/nba-2024-UTC.csv</t>
        </is>
      </c>
    </row>
    <row r="1150">
      <c r="A1150" t="n">
        <v>1118</v>
      </c>
      <c r="B1150" t="n">
        <v>22</v>
      </c>
      <c r="C1150" t="inlineStr">
        <is>
          <t>04/04/2025 23:00</t>
        </is>
      </c>
      <c r="D1150" t="inlineStr">
        <is>
          <t>Spectrum Center</t>
        </is>
      </c>
      <c r="E1150" t="inlineStr">
        <is>
          <t>Charlotte Hornets</t>
        </is>
      </c>
      <c r="F1150" t="inlineStr">
        <is>
          <t>Sacramento Kings</t>
        </is>
      </c>
      <c r="G1150" t="n">
        <v>102</v>
      </c>
      <c r="H1150" t="n">
        <v>125</v>
      </c>
      <c r="I1150" t="inlineStr">
        <is>
          <t>Sacramento Kings</t>
        </is>
      </c>
      <c r="J1150" t="inlineStr">
        <is>
          <t>Charlotte Hornets</t>
        </is>
      </c>
      <c r="K1150" t="inlineStr">
        <is>
          <t>Yes</t>
        </is>
      </c>
      <c r="L1150" t="inlineStr"/>
      <c r="M1150" t="inlineStr">
        <is>
          <t>https://fixturedownload.com/download/nba-2024-UTC.csv</t>
        </is>
      </c>
    </row>
    <row r="1151">
      <c r="A1151" t="n">
        <v>1119</v>
      </c>
      <c r="B1151" t="n">
        <v>22</v>
      </c>
      <c r="C1151" t="inlineStr">
        <is>
          <t>04/04/2025 23:00</t>
        </is>
      </c>
      <c r="D1151" t="inlineStr">
        <is>
          <t>Gainbridge Fieldhouse</t>
        </is>
      </c>
      <c r="E1151" t="inlineStr">
        <is>
          <t>Indiana Pacers</t>
        </is>
      </c>
      <c r="F1151" t="inlineStr">
        <is>
          <t>Utah Jazz</t>
        </is>
      </c>
      <c r="G1151" t="n">
        <v>140</v>
      </c>
      <c r="H1151" t="n">
        <v>112</v>
      </c>
      <c r="I1151" t="inlineStr">
        <is>
          <t>Indiana Pacers</t>
        </is>
      </c>
      <c r="J1151" t="inlineStr">
        <is>
          <t>Utah Jazz</t>
        </is>
      </c>
      <c r="K1151" t="inlineStr">
        <is>
          <t>Yes</t>
        </is>
      </c>
      <c r="L1151" t="inlineStr"/>
      <c r="M1151" t="inlineStr">
        <is>
          <t>https://fixturedownload.com/download/nba-2024-UTC.csv</t>
        </is>
      </c>
    </row>
    <row r="1152">
      <c r="A1152" t="n">
        <v>1120</v>
      </c>
      <c r="B1152" t="n">
        <v>22</v>
      </c>
      <c r="C1152" t="inlineStr">
        <is>
          <t>04/04/2025 23:30</t>
        </is>
      </c>
      <c r="D1152" t="inlineStr">
        <is>
          <t>TD Garden</t>
        </is>
      </c>
      <c r="E1152" t="inlineStr">
        <is>
          <t>Boston Celtics</t>
        </is>
      </c>
      <c r="F1152" t="inlineStr">
        <is>
          <t>Phoenix Suns</t>
        </is>
      </c>
      <c r="G1152" t="n">
        <v>123</v>
      </c>
      <c r="H1152" t="n">
        <v>103</v>
      </c>
      <c r="I1152" t="inlineStr">
        <is>
          <t>Boston Celtics</t>
        </is>
      </c>
      <c r="J1152" t="inlineStr">
        <is>
          <t>Phoenix Suns</t>
        </is>
      </c>
      <c r="K1152" t="inlineStr">
        <is>
          <t>Yes</t>
        </is>
      </c>
      <c r="L1152" t="inlineStr"/>
      <c r="M1152" t="inlineStr">
        <is>
          <t>https://fixturedownload.com/download/nba-2024-UTC.csv</t>
        </is>
      </c>
    </row>
    <row r="1153">
      <c r="A1153" t="n">
        <v>1121</v>
      </c>
      <c r="B1153" t="n">
        <v>22</v>
      </c>
      <c r="C1153" t="inlineStr">
        <is>
          <t>04/04/2025 23:30</t>
        </is>
      </c>
      <c r="D1153" t="inlineStr">
        <is>
          <t>Scotiabank Arena</t>
        </is>
      </c>
      <c r="E1153" t="inlineStr">
        <is>
          <t>Toronto Raptors</t>
        </is>
      </c>
      <c r="F1153" t="inlineStr">
        <is>
          <t>Detroit Pistons</t>
        </is>
      </c>
      <c r="G1153" t="n">
        <v>105</v>
      </c>
      <c r="H1153" t="n">
        <v>117</v>
      </c>
      <c r="I1153" t="inlineStr">
        <is>
          <t>Detroit Pistons</t>
        </is>
      </c>
      <c r="J1153" t="inlineStr">
        <is>
          <t>Toronto Raptors</t>
        </is>
      </c>
      <c r="K1153" t="inlineStr">
        <is>
          <t>Yes</t>
        </is>
      </c>
      <c r="L1153" t="inlineStr"/>
      <c r="M1153" t="inlineStr">
        <is>
          <t>https://fixturedownload.com/download/nba-2024-UTC.csv</t>
        </is>
      </c>
    </row>
    <row r="1154">
      <c r="A1154" t="n">
        <v>1122</v>
      </c>
      <c r="B1154" t="n">
        <v>22</v>
      </c>
      <c r="C1154" t="inlineStr">
        <is>
          <t>05/04/2025 00:00</t>
        </is>
      </c>
      <c r="D1154" t="inlineStr">
        <is>
          <t>United Center</t>
        </is>
      </c>
      <c r="E1154" t="inlineStr">
        <is>
          <t>Chicago Bulls</t>
        </is>
      </c>
      <c r="F1154" t="inlineStr">
        <is>
          <t>Portland Trail Blazers</t>
        </is>
      </c>
      <c r="G1154" t="n">
        <v>118</v>
      </c>
      <c r="H1154" t="n">
        <v>113</v>
      </c>
      <c r="I1154" t="inlineStr">
        <is>
          <t>Chicago Bulls</t>
        </is>
      </c>
      <c r="J1154" t="inlineStr">
        <is>
          <t>Portland Trail Blazers</t>
        </is>
      </c>
      <c r="K1154" t="inlineStr">
        <is>
          <t>Yes</t>
        </is>
      </c>
      <c r="L1154" t="inlineStr"/>
      <c r="M1154" t="inlineStr">
        <is>
          <t>https://fixturedownload.com/download/nba-2024-UTC.csv</t>
        </is>
      </c>
    </row>
    <row r="1155">
      <c r="A1155" t="n">
        <v>1123</v>
      </c>
      <c r="B1155" t="n">
        <v>22</v>
      </c>
      <c r="C1155" t="inlineStr">
        <is>
          <t>05/04/2025 00:00</t>
        </is>
      </c>
      <c r="D1155" t="inlineStr">
        <is>
          <t>Toyota Center</t>
        </is>
      </c>
      <c r="E1155" t="inlineStr">
        <is>
          <t>Houston Rockets</t>
        </is>
      </c>
      <c r="F1155" t="inlineStr">
        <is>
          <t>Oklahoma City Thunder</t>
        </is>
      </c>
      <c r="G1155" t="n">
        <v>125</v>
      </c>
      <c r="H1155" t="n">
        <v>111</v>
      </c>
      <c r="I1155" t="inlineStr">
        <is>
          <t>Houston Rockets</t>
        </is>
      </c>
      <c r="J1155" t="inlineStr">
        <is>
          <t>Oklahoma City Thunder</t>
        </is>
      </c>
      <c r="K1155" t="inlineStr">
        <is>
          <t>Yes</t>
        </is>
      </c>
      <c r="L1155" t="inlineStr"/>
      <c r="M1155" t="inlineStr">
        <is>
          <t>https://fixturedownload.com/download/nba-2024-UTC.csv</t>
        </is>
      </c>
    </row>
    <row r="1156">
      <c r="A1156" t="n">
        <v>1124</v>
      </c>
      <c r="B1156" t="n">
        <v>22</v>
      </c>
      <c r="C1156" t="inlineStr">
        <is>
          <t>05/04/2025 00:00</t>
        </is>
      </c>
      <c r="D1156" t="inlineStr">
        <is>
          <t>Frost Bank Center</t>
        </is>
      </c>
      <c r="E1156" t="inlineStr">
        <is>
          <t>San Antonio Spurs</t>
        </is>
      </c>
      <c r="F1156" t="inlineStr">
        <is>
          <t>Cleveland Cavaliers</t>
        </is>
      </c>
      <c r="G1156" t="n">
        <v>113</v>
      </c>
      <c r="H1156" t="n">
        <v>114</v>
      </c>
      <c r="I1156" t="inlineStr">
        <is>
          <t>Cleveland Cavaliers</t>
        </is>
      </c>
      <c r="J1156" t="inlineStr">
        <is>
          <t>San Antonio Spurs</t>
        </is>
      </c>
      <c r="K1156" t="inlineStr">
        <is>
          <t>Yes</t>
        </is>
      </c>
      <c r="L1156" t="inlineStr"/>
      <c r="M1156" t="inlineStr">
        <is>
          <t>https://fixturedownload.com/download/nba-2024-UTC.csv</t>
        </is>
      </c>
    </row>
    <row r="1157">
      <c r="A1157" t="n">
        <v>1125</v>
      </c>
      <c r="B1157" t="n">
        <v>22</v>
      </c>
      <c r="C1157" t="inlineStr">
        <is>
          <t>05/04/2025 02:00</t>
        </is>
      </c>
      <c r="D1157" t="inlineStr">
        <is>
          <t>Chase Center</t>
        </is>
      </c>
      <c r="E1157" t="inlineStr">
        <is>
          <t>Golden State Warriors</t>
        </is>
      </c>
      <c r="F1157" t="inlineStr">
        <is>
          <t>Denver Nuggets</t>
        </is>
      </c>
      <c r="G1157" t="n">
        <v>118</v>
      </c>
      <c r="H1157" t="n">
        <v>104</v>
      </c>
      <c r="I1157" t="inlineStr">
        <is>
          <t>Golden State Warriors</t>
        </is>
      </c>
      <c r="J1157" t="inlineStr">
        <is>
          <t>Denver Nuggets</t>
        </is>
      </c>
      <c r="K1157" t="inlineStr">
        <is>
          <t>Yes</t>
        </is>
      </c>
      <c r="L1157" t="inlineStr"/>
      <c r="M1157" t="inlineStr">
        <is>
          <t>https://fixturedownload.com/download/nba-2024-UTC.csv</t>
        </is>
      </c>
    </row>
    <row r="1158">
      <c r="A1158" t="n">
        <v>1126</v>
      </c>
      <c r="B1158" t="n">
        <v>22</v>
      </c>
      <c r="C1158" t="inlineStr">
        <is>
          <t>05/04/2025 02:30</t>
        </is>
      </c>
      <c r="D1158" t="inlineStr">
        <is>
          <t>Crypto.com Arena</t>
        </is>
      </c>
      <c r="E1158" t="inlineStr">
        <is>
          <t>Los Angeles Lakers</t>
        </is>
      </c>
      <c r="F1158" t="inlineStr">
        <is>
          <t>New Orleans Pelicans</t>
        </is>
      </c>
      <c r="G1158" t="n">
        <v>124</v>
      </c>
      <c r="H1158" t="n">
        <v>108</v>
      </c>
      <c r="I1158" t="inlineStr">
        <is>
          <t>Los Angeles Lakers</t>
        </is>
      </c>
      <c r="J1158" t="inlineStr">
        <is>
          <t>New Orleans Pelicans</t>
        </is>
      </c>
      <c r="K1158" t="inlineStr">
        <is>
          <t>Yes</t>
        </is>
      </c>
      <c r="L1158" t="inlineStr"/>
      <c r="M1158" t="inlineStr">
        <is>
          <t>https://fixturedownload.com/download/nba-2024-UTC.csv</t>
        </is>
      </c>
    </row>
    <row r="1159">
      <c r="A1159" t="n">
        <v>1127</v>
      </c>
      <c r="B1159" t="n">
        <v>22</v>
      </c>
      <c r="C1159" t="inlineStr">
        <is>
          <t>05/04/2025 02:30</t>
        </is>
      </c>
      <c r="D1159" t="inlineStr">
        <is>
          <t>Intuit Dome</t>
        </is>
      </c>
      <c r="E1159" t="inlineStr">
        <is>
          <t>LA Clippers</t>
        </is>
      </c>
      <c r="F1159" t="inlineStr">
        <is>
          <t>Dallas Mavericks</t>
        </is>
      </c>
      <c r="G1159" t="n">
        <v>114</v>
      </c>
      <c r="H1159" t="n">
        <v>91</v>
      </c>
      <c r="I1159" t="inlineStr">
        <is>
          <t>LA Clippers</t>
        </is>
      </c>
      <c r="J1159" t="inlineStr">
        <is>
          <t>Dallas Mavericks</t>
        </is>
      </c>
      <c r="K1159" t="inlineStr">
        <is>
          <t>Yes</t>
        </is>
      </c>
      <c r="L1159" t="inlineStr"/>
      <c r="M1159" t="inlineStr">
        <is>
          <t>https://fixturedownload.com/download/nba-2024-UTC.csv</t>
        </is>
      </c>
    </row>
    <row r="1160">
      <c r="A1160" t="n">
        <v>1128</v>
      </c>
      <c r="B1160" t="n">
        <v>22</v>
      </c>
      <c r="C1160" t="inlineStr">
        <is>
          <t>05/04/2025 19:00</t>
        </is>
      </c>
      <c r="D1160" t="inlineStr">
        <is>
          <t>State Farm Arena</t>
        </is>
      </c>
      <c r="E1160" t="inlineStr">
        <is>
          <t>Atlanta Hawks</t>
        </is>
      </c>
      <c r="F1160" t="inlineStr">
        <is>
          <t>New York Knicks</t>
        </is>
      </c>
      <c r="G1160" t="n">
        <v>105</v>
      </c>
      <c r="H1160" t="n">
        <v>121</v>
      </c>
      <c r="I1160" t="inlineStr">
        <is>
          <t>New York Knicks</t>
        </is>
      </c>
      <c r="J1160" t="inlineStr">
        <is>
          <t>Atlanta Hawks</t>
        </is>
      </c>
      <c r="K1160" t="inlineStr">
        <is>
          <t>Yes</t>
        </is>
      </c>
      <c r="L1160" t="inlineStr"/>
      <c r="M1160" t="inlineStr">
        <is>
          <t>https://fixturedownload.com/download/nba-2024-UTC.csv</t>
        </is>
      </c>
    </row>
    <row r="1161">
      <c r="A1161" t="n">
        <v>1129</v>
      </c>
      <c r="B1161" t="n">
        <v>22</v>
      </c>
      <c r="C1161" t="inlineStr">
        <is>
          <t>05/04/2025 23:00</t>
        </is>
      </c>
      <c r="D1161" t="inlineStr">
        <is>
          <t>Little Caesars Arena</t>
        </is>
      </c>
      <c r="E1161" t="inlineStr">
        <is>
          <t>Detroit Pistons</t>
        </is>
      </c>
      <c r="F1161" t="inlineStr">
        <is>
          <t>Memphis Grizzlies</t>
        </is>
      </c>
      <c r="G1161" t="n">
        <v>103</v>
      </c>
      <c r="H1161" t="n">
        <v>109</v>
      </c>
      <c r="I1161" t="inlineStr">
        <is>
          <t>Memphis Grizzlies</t>
        </is>
      </c>
      <c r="J1161" t="inlineStr">
        <is>
          <t>Detroit Pistons</t>
        </is>
      </c>
      <c r="K1161" t="inlineStr">
        <is>
          <t>Yes</t>
        </is>
      </c>
      <c r="L1161" t="inlineStr"/>
      <c r="M1161" t="inlineStr">
        <is>
          <t>https://fixturedownload.com/download/nba-2024-UTC.csv</t>
        </is>
      </c>
    </row>
    <row r="1162">
      <c r="A1162" t="n">
        <v>1130</v>
      </c>
      <c r="B1162" t="n">
        <v>22</v>
      </c>
      <c r="C1162" t="inlineStr">
        <is>
          <t>05/04/2025 23:00</t>
        </is>
      </c>
      <c r="D1162" t="inlineStr">
        <is>
          <t>Wells Fargo Center</t>
        </is>
      </c>
      <c r="E1162" t="inlineStr">
        <is>
          <t>Philadelphia 76ers</t>
        </is>
      </c>
      <c r="F1162" t="inlineStr">
        <is>
          <t>Minnesota Timberwolves</t>
        </is>
      </c>
      <c r="G1162" t="n">
        <v>109</v>
      </c>
      <c r="H1162" t="n">
        <v>114</v>
      </c>
      <c r="I1162" t="inlineStr">
        <is>
          <t>Minnesota Timberwolves</t>
        </is>
      </c>
      <c r="J1162" t="inlineStr">
        <is>
          <t>Philadelphia 76ers</t>
        </is>
      </c>
      <c r="K1162" t="inlineStr">
        <is>
          <t>Yes</t>
        </is>
      </c>
      <c r="L1162" t="inlineStr"/>
      <c r="M1162" t="inlineStr">
        <is>
          <t>https://fixturedownload.com/download/nba-2024-UTC.csv</t>
        </is>
      </c>
    </row>
    <row r="1163">
      <c r="A1163" t="n">
        <v>1131</v>
      </c>
      <c r="B1163" t="n">
        <v>22</v>
      </c>
      <c r="C1163" t="inlineStr">
        <is>
          <t>06/04/2025 00:00</t>
        </is>
      </c>
      <c r="D1163" t="inlineStr">
        <is>
          <t>Kaseya Center</t>
        </is>
      </c>
      <c r="E1163" t="inlineStr">
        <is>
          <t>Miami Heat</t>
        </is>
      </c>
      <c r="F1163" t="inlineStr">
        <is>
          <t>Milwaukee Bucks</t>
        </is>
      </c>
      <c r="G1163" t="n">
        <v>115</v>
      </c>
      <c r="H1163" t="n">
        <v>121</v>
      </c>
      <c r="I1163" t="inlineStr">
        <is>
          <t>Milwaukee Bucks</t>
        </is>
      </c>
      <c r="J1163" t="inlineStr">
        <is>
          <t>Miami Heat</t>
        </is>
      </c>
      <c r="K1163" t="inlineStr">
        <is>
          <t>Yes</t>
        </is>
      </c>
      <c r="L1163" t="inlineStr"/>
      <c r="M1163" t="inlineStr">
        <is>
          <t>https://fixturedownload.com/download/nba-2024-UTC.csv</t>
        </is>
      </c>
    </row>
    <row r="1164">
      <c r="A1164" t="n">
        <v>1132</v>
      </c>
      <c r="B1164" t="n">
        <v>22</v>
      </c>
      <c r="C1164" t="inlineStr">
        <is>
          <t>06/04/2025 02:30</t>
        </is>
      </c>
      <c r="D1164" t="inlineStr">
        <is>
          <t>Intuit Dome</t>
        </is>
      </c>
      <c r="E1164" t="inlineStr">
        <is>
          <t>LA Clippers</t>
        </is>
      </c>
      <c r="F1164" t="inlineStr">
        <is>
          <t>Dallas Mavericks</t>
        </is>
      </c>
      <c r="G1164" t="n">
        <v>135</v>
      </c>
      <c r="H1164" t="n">
        <v>104</v>
      </c>
      <c r="I1164" t="inlineStr">
        <is>
          <t>LA Clippers</t>
        </is>
      </c>
      <c r="J1164" t="inlineStr">
        <is>
          <t>Dallas Mavericks</t>
        </is>
      </c>
      <c r="K1164" t="inlineStr">
        <is>
          <t>Yes</t>
        </is>
      </c>
      <c r="L1164" t="inlineStr"/>
      <c r="M1164" t="inlineStr">
        <is>
          <t>https://fixturedownload.com/download/nba-2024-UTC.csv</t>
        </is>
      </c>
    </row>
    <row r="1165">
      <c r="A1165" t="n">
        <v>1133</v>
      </c>
      <c r="B1165" t="n">
        <v>22</v>
      </c>
      <c r="C1165" t="inlineStr">
        <is>
          <t>06/04/2025 17:00</t>
        </is>
      </c>
      <c r="D1165" t="inlineStr">
        <is>
          <t>Spectrum Center</t>
        </is>
      </c>
      <c r="E1165" t="inlineStr">
        <is>
          <t>Charlotte Hornets</t>
        </is>
      </c>
      <c r="F1165" t="inlineStr">
        <is>
          <t>Chicago Bulls</t>
        </is>
      </c>
      <c r="G1165" t="n">
        <v>117</v>
      </c>
      <c r="H1165" t="n">
        <v>131</v>
      </c>
      <c r="I1165" t="inlineStr">
        <is>
          <t>Chicago Bulls</t>
        </is>
      </c>
      <c r="J1165" t="inlineStr">
        <is>
          <t>Charlotte Hornets</t>
        </is>
      </c>
      <c r="K1165" t="inlineStr">
        <is>
          <t>Yes</t>
        </is>
      </c>
      <c r="L1165" t="inlineStr"/>
      <c r="M1165" t="inlineStr">
        <is>
          <t>https://fixturedownload.com/download/nba-2024-UTC.csv</t>
        </is>
      </c>
    </row>
    <row r="1166">
      <c r="A1166" t="n">
        <v>1134</v>
      </c>
      <c r="B1166" t="n">
        <v>22</v>
      </c>
      <c r="C1166" t="inlineStr">
        <is>
          <t>06/04/2025 19:30</t>
        </is>
      </c>
      <c r="D1166" t="inlineStr">
        <is>
          <t>Barclays Center</t>
        </is>
      </c>
      <c r="E1166" t="inlineStr">
        <is>
          <t>Brooklyn Nets</t>
        </is>
      </c>
      <c r="F1166" t="inlineStr">
        <is>
          <t>Toronto Raptors</t>
        </is>
      </c>
      <c r="G1166" t="n">
        <v>109</v>
      </c>
      <c r="H1166" t="n">
        <v>120</v>
      </c>
      <c r="I1166" t="inlineStr">
        <is>
          <t>Toronto Raptors</t>
        </is>
      </c>
      <c r="J1166" t="inlineStr">
        <is>
          <t>Brooklyn Nets</t>
        </is>
      </c>
      <c r="K1166" t="inlineStr">
        <is>
          <t>Yes</t>
        </is>
      </c>
      <c r="L1166" t="inlineStr"/>
      <c r="M1166" t="inlineStr">
        <is>
          <t>https://fixturedownload.com/download/nba-2024-UTC.csv</t>
        </is>
      </c>
    </row>
    <row r="1167">
      <c r="A1167" t="n">
        <v>1135</v>
      </c>
      <c r="B1167" t="n">
        <v>22</v>
      </c>
      <c r="C1167" t="inlineStr">
        <is>
          <t>06/04/2025 19:30</t>
        </is>
      </c>
      <c r="D1167" t="inlineStr">
        <is>
          <t>Paycom Center</t>
        </is>
      </c>
      <c r="E1167" t="inlineStr">
        <is>
          <t>Oklahoma City Thunder</t>
        </is>
      </c>
      <c r="F1167" t="inlineStr">
        <is>
          <t>Los Angeles Lakers</t>
        </is>
      </c>
      <c r="G1167" t="n">
        <v>99</v>
      </c>
      <c r="H1167" t="n">
        <v>126</v>
      </c>
      <c r="I1167" t="inlineStr">
        <is>
          <t>Los Angeles Lakers</t>
        </is>
      </c>
      <c r="J1167" t="inlineStr">
        <is>
          <t>Oklahoma City Thunder</t>
        </is>
      </c>
      <c r="K1167" t="inlineStr">
        <is>
          <t>Yes</t>
        </is>
      </c>
      <c r="L1167" t="inlineStr"/>
      <c r="M1167" t="inlineStr">
        <is>
          <t>https://fixturedownload.com/download/nba-2024-UTC.csv</t>
        </is>
      </c>
    </row>
    <row r="1168">
      <c r="A1168" t="n">
        <v>1136</v>
      </c>
      <c r="B1168" t="n">
        <v>22</v>
      </c>
      <c r="C1168" t="inlineStr">
        <is>
          <t>06/04/2025 22:00</t>
        </is>
      </c>
      <c r="D1168" t="inlineStr">
        <is>
          <t>State Farm Arena</t>
        </is>
      </c>
      <c r="E1168" t="inlineStr">
        <is>
          <t>Atlanta Hawks</t>
        </is>
      </c>
      <c r="F1168" t="inlineStr">
        <is>
          <t>Utah Jazz</t>
        </is>
      </c>
      <c r="G1168" t="n">
        <v>147</v>
      </c>
      <c r="H1168" t="n">
        <v>134</v>
      </c>
      <c r="I1168" t="inlineStr">
        <is>
          <t>Atlanta Hawks</t>
        </is>
      </c>
      <c r="J1168" t="inlineStr">
        <is>
          <t>Utah Jazz</t>
        </is>
      </c>
      <c r="K1168" t="inlineStr">
        <is>
          <t>Yes</t>
        </is>
      </c>
      <c r="L1168" t="inlineStr"/>
      <c r="M1168" t="inlineStr">
        <is>
          <t>https://fixturedownload.com/download/nba-2024-UTC.csv</t>
        </is>
      </c>
    </row>
    <row r="1169">
      <c r="A1169" t="n">
        <v>1137</v>
      </c>
      <c r="B1169" t="n">
        <v>22</v>
      </c>
      <c r="C1169" t="inlineStr">
        <is>
          <t>06/04/2025 22:00</t>
        </is>
      </c>
      <c r="D1169" t="inlineStr">
        <is>
          <t>TD Garden</t>
        </is>
      </c>
      <c r="E1169" t="inlineStr">
        <is>
          <t>Boston Celtics</t>
        </is>
      </c>
      <c r="F1169" t="inlineStr">
        <is>
          <t>Washington Wizards</t>
        </is>
      </c>
      <c r="G1169" t="n">
        <v>124</v>
      </c>
      <c r="H1169" t="n">
        <v>90</v>
      </c>
      <c r="I1169" t="inlineStr">
        <is>
          <t>Boston Celtics</t>
        </is>
      </c>
      <c r="J1169" t="inlineStr">
        <is>
          <t>Washington Wizards</t>
        </is>
      </c>
      <c r="K1169" t="inlineStr">
        <is>
          <t>Yes</t>
        </is>
      </c>
      <c r="L1169" t="inlineStr"/>
      <c r="M1169" t="inlineStr">
        <is>
          <t>https://fixturedownload.com/download/nba-2024-UTC.csv</t>
        </is>
      </c>
    </row>
    <row r="1170">
      <c r="A1170" t="n">
        <v>1138</v>
      </c>
      <c r="B1170" t="n">
        <v>22</v>
      </c>
      <c r="C1170" t="inlineStr">
        <is>
          <t>06/04/2025 22:00</t>
        </is>
      </c>
      <c r="D1170" t="inlineStr">
        <is>
          <t>Rocket Arena</t>
        </is>
      </c>
      <c r="E1170" t="inlineStr">
        <is>
          <t>Cleveland Cavaliers</t>
        </is>
      </c>
      <c r="F1170" t="inlineStr">
        <is>
          <t>Sacramento Kings</t>
        </is>
      </c>
      <c r="G1170" t="n">
        <v>113</v>
      </c>
      <c r="H1170" t="n">
        <v>120</v>
      </c>
      <c r="I1170" t="inlineStr">
        <is>
          <t>Sacramento Kings</t>
        </is>
      </c>
      <c r="J1170" t="inlineStr">
        <is>
          <t>Cleveland Cavaliers</t>
        </is>
      </c>
      <c r="K1170" t="inlineStr">
        <is>
          <t>Yes</t>
        </is>
      </c>
      <c r="L1170" t="inlineStr"/>
      <c r="M1170" t="inlineStr">
        <is>
          <t>https://fixturedownload.com/download/nba-2024-UTC.csv</t>
        </is>
      </c>
    </row>
    <row r="1171">
      <c r="A1171" t="n">
        <v>1139</v>
      </c>
      <c r="B1171" t="n">
        <v>22</v>
      </c>
      <c r="C1171" t="inlineStr">
        <is>
          <t>06/04/2025 22:00</t>
        </is>
      </c>
      <c r="D1171" t="inlineStr">
        <is>
          <t>Moda Center</t>
        </is>
      </c>
      <c r="E1171" t="inlineStr">
        <is>
          <t>Portland Trail Blazers</t>
        </is>
      </c>
      <c r="F1171" t="inlineStr">
        <is>
          <t>San Antonio Spurs</t>
        </is>
      </c>
      <c r="G1171" t="n">
        <v>120</v>
      </c>
      <c r="H1171" t="n">
        <v>109</v>
      </c>
      <c r="I1171" t="inlineStr">
        <is>
          <t>Portland Trail Blazers</t>
        </is>
      </c>
      <c r="J1171" t="inlineStr">
        <is>
          <t>San Antonio Spurs</t>
        </is>
      </c>
      <c r="K1171" t="inlineStr">
        <is>
          <t>Yes</t>
        </is>
      </c>
      <c r="L1171" t="inlineStr"/>
      <c r="M1171" t="inlineStr">
        <is>
          <t>https://fixturedownload.com/download/nba-2024-UTC.csv</t>
        </is>
      </c>
    </row>
    <row r="1172">
      <c r="A1172" t="n">
        <v>1140</v>
      </c>
      <c r="B1172" t="n">
        <v>22</v>
      </c>
      <c r="C1172" t="inlineStr">
        <is>
          <t>06/04/2025 23:00</t>
        </is>
      </c>
      <c r="D1172" t="inlineStr">
        <is>
          <t>Madison Square Garden</t>
        </is>
      </c>
      <c r="E1172" t="inlineStr">
        <is>
          <t>New York Knicks</t>
        </is>
      </c>
      <c r="F1172" t="inlineStr">
        <is>
          <t>Phoenix Suns</t>
        </is>
      </c>
      <c r="G1172" t="n">
        <v>112</v>
      </c>
      <c r="H1172" t="n">
        <v>98</v>
      </c>
      <c r="I1172" t="inlineStr">
        <is>
          <t>New York Knicks</t>
        </is>
      </c>
      <c r="J1172" t="inlineStr">
        <is>
          <t>Phoenix Suns</t>
        </is>
      </c>
      <c r="K1172" t="inlineStr">
        <is>
          <t>Yes</t>
        </is>
      </c>
      <c r="L1172" t="inlineStr"/>
      <c r="M1172" t="inlineStr">
        <is>
          <t>https://fixturedownload.com/download/nba-2024-UTC.csv</t>
        </is>
      </c>
    </row>
    <row r="1173">
      <c r="A1173" t="n">
        <v>1142</v>
      </c>
      <c r="B1173" t="n">
        <v>22</v>
      </c>
      <c r="C1173" t="inlineStr">
        <is>
          <t>07/04/2025 00:00</t>
        </is>
      </c>
      <c r="D1173" t="inlineStr">
        <is>
          <t>Ball Arena</t>
        </is>
      </c>
      <c r="E1173" t="inlineStr">
        <is>
          <t>Denver Nuggets</t>
        </is>
      </c>
      <c r="F1173" t="inlineStr">
        <is>
          <t>Indiana Pacers</t>
        </is>
      </c>
      <c r="G1173" t="n">
        <v>120</v>
      </c>
      <c r="H1173" t="n">
        <v>125</v>
      </c>
      <c r="I1173" t="inlineStr">
        <is>
          <t>Indiana Pacers</t>
        </is>
      </c>
      <c r="J1173" t="inlineStr">
        <is>
          <t>Denver Nuggets</t>
        </is>
      </c>
      <c r="K1173" t="inlineStr">
        <is>
          <t>Yes</t>
        </is>
      </c>
      <c r="L1173" t="inlineStr"/>
      <c r="M1173" t="inlineStr">
        <is>
          <t>https://fixturedownload.com/download/nba-2024-UTC.csv</t>
        </is>
      </c>
    </row>
    <row r="1174">
      <c r="A1174" t="n">
        <v>617</v>
      </c>
      <c r="B1174" t="n">
        <v>22</v>
      </c>
      <c r="C1174" t="inlineStr">
        <is>
          <t>07/04/2025 00:30</t>
        </is>
      </c>
      <c r="D1174" t="inlineStr">
        <is>
          <t>Smoothie King Center</t>
        </is>
      </c>
      <c r="E1174" t="inlineStr">
        <is>
          <t>New Orleans Pelicans</t>
        </is>
      </c>
      <c r="F1174" t="inlineStr">
        <is>
          <t>Milwaukee Bucks</t>
        </is>
      </c>
      <c r="G1174" t="n">
        <v>107</v>
      </c>
      <c r="H1174" t="n">
        <v>111</v>
      </c>
      <c r="I1174" t="inlineStr">
        <is>
          <t>Milwaukee Bucks</t>
        </is>
      </c>
      <c r="J1174" t="inlineStr">
        <is>
          <t>New Orleans Pelicans</t>
        </is>
      </c>
      <c r="K1174" t="inlineStr">
        <is>
          <t>Yes</t>
        </is>
      </c>
      <c r="L1174" t="inlineStr"/>
      <c r="M1174" t="inlineStr">
        <is>
          <t>https://fixturedownload.com/download/nba-2024-UTC.csv</t>
        </is>
      </c>
    </row>
    <row r="1175">
      <c r="A1175" t="n">
        <v>1143</v>
      </c>
      <c r="B1175" t="n">
        <v>22</v>
      </c>
      <c r="C1175" t="inlineStr">
        <is>
          <t>07/04/2025 00:30</t>
        </is>
      </c>
      <c r="D1175" t="inlineStr">
        <is>
          <t>Chase Center</t>
        </is>
      </c>
      <c r="E1175" t="inlineStr">
        <is>
          <t>Golden State Warriors</t>
        </is>
      </c>
      <c r="F1175" t="inlineStr">
        <is>
          <t>Houston Rockets</t>
        </is>
      </c>
      <c r="G1175" t="n">
        <v>96</v>
      </c>
      <c r="H1175" t="n">
        <v>106</v>
      </c>
      <c r="I1175" t="inlineStr">
        <is>
          <t>Houston Rockets</t>
        </is>
      </c>
      <c r="J1175" t="inlineStr">
        <is>
          <t>Golden State Warriors</t>
        </is>
      </c>
      <c r="K1175" t="inlineStr">
        <is>
          <t>Yes</t>
        </is>
      </c>
      <c r="L1175" t="inlineStr"/>
      <c r="M1175" t="inlineStr">
        <is>
          <t>https://fixturedownload.com/download/nba-2024-UTC.csv</t>
        </is>
      </c>
    </row>
    <row r="1176">
      <c r="A1176" t="n">
        <v>1144</v>
      </c>
      <c r="B1176" t="n">
        <v>22</v>
      </c>
      <c r="C1176" t="inlineStr">
        <is>
          <t>07/04/2025 23:00</t>
        </is>
      </c>
      <c r="D1176" t="inlineStr">
        <is>
          <t>Little Caesars Arena</t>
        </is>
      </c>
      <c r="E1176" t="inlineStr">
        <is>
          <t>Detroit Pistons</t>
        </is>
      </c>
      <c r="F1176" t="inlineStr">
        <is>
          <t>Sacramento Kings</t>
        </is>
      </c>
      <c r="G1176" t="n">
        <v>117</v>
      </c>
      <c r="H1176" t="n">
        <v>127</v>
      </c>
      <c r="I1176" t="inlineStr">
        <is>
          <t>Sacramento Kings</t>
        </is>
      </c>
      <c r="J1176" t="inlineStr">
        <is>
          <t>Detroit Pistons</t>
        </is>
      </c>
      <c r="K1176" t="inlineStr">
        <is>
          <t>Yes</t>
        </is>
      </c>
      <c r="L1176" t="inlineStr"/>
      <c r="M1176" t="inlineStr">
        <is>
          <t>https://fixturedownload.com/download/nba-2024-UTC.csv</t>
        </is>
      </c>
    </row>
    <row r="1177">
      <c r="A1177" t="n">
        <v>1145</v>
      </c>
      <c r="B1177" t="n">
        <v>22</v>
      </c>
      <c r="C1177" t="inlineStr">
        <is>
          <t>07/04/2025 23:30</t>
        </is>
      </c>
      <c r="D1177" t="inlineStr">
        <is>
          <t>Kaseya Center</t>
        </is>
      </c>
      <c r="E1177" t="inlineStr">
        <is>
          <t>Miami Heat</t>
        </is>
      </c>
      <c r="F1177" t="inlineStr">
        <is>
          <t>Philadelphia 76ers</t>
        </is>
      </c>
      <c r="G1177" t="n">
        <v>117</v>
      </c>
      <c r="H1177" t="n">
        <v>105</v>
      </c>
      <c r="I1177" t="inlineStr">
        <is>
          <t>Miami Heat</t>
        </is>
      </c>
      <c r="J1177" t="inlineStr">
        <is>
          <t>Philadelphia 76ers</t>
        </is>
      </c>
      <c r="K1177" t="inlineStr">
        <is>
          <t>Yes</t>
        </is>
      </c>
      <c r="L1177" t="inlineStr"/>
      <c r="M1177" t="inlineStr">
        <is>
          <t>https://fixturedownload.com/download/nba-2024-UTC.csv</t>
        </is>
      </c>
    </row>
    <row r="1178">
      <c r="A1178" t="n">
        <v>1146</v>
      </c>
      <c r="B1178" t="n">
        <v>22</v>
      </c>
      <c r="C1178" t="inlineStr">
        <is>
          <t>08/04/2025 23:00</t>
        </is>
      </c>
      <c r="D1178" t="inlineStr">
        <is>
          <t>Spectrum Center</t>
        </is>
      </c>
      <c r="E1178" t="inlineStr">
        <is>
          <t>Charlotte Hornets</t>
        </is>
      </c>
      <c r="F1178" t="inlineStr">
        <is>
          <t>Memphis Grizzlies</t>
        </is>
      </c>
      <c r="G1178" t="n">
        <v>100</v>
      </c>
      <c r="H1178" t="n">
        <v>124</v>
      </c>
      <c r="I1178" t="inlineStr">
        <is>
          <t>Memphis Grizzlies</t>
        </is>
      </c>
      <c r="J1178" t="inlineStr">
        <is>
          <t>Charlotte Hornets</t>
        </is>
      </c>
      <c r="K1178" t="inlineStr">
        <is>
          <t>Yes</t>
        </is>
      </c>
      <c r="L1178" t="inlineStr"/>
      <c r="M1178" t="inlineStr">
        <is>
          <t>https://fixturedownload.com/download/nba-2024-UTC.csv</t>
        </is>
      </c>
    </row>
    <row r="1179">
      <c r="A1179" t="n">
        <v>1147</v>
      </c>
      <c r="B1179" t="n">
        <v>22</v>
      </c>
      <c r="C1179" t="inlineStr">
        <is>
          <t>08/04/2025 23:00</t>
        </is>
      </c>
      <c r="D1179" t="inlineStr">
        <is>
          <t>Rocket Arena</t>
        </is>
      </c>
      <c r="E1179" t="inlineStr">
        <is>
          <t>Cleveland Cavaliers</t>
        </is>
      </c>
      <c r="F1179" t="inlineStr">
        <is>
          <t>Chicago Bulls</t>
        </is>
      </c>
      <c r="G1179" t="n">
        <v>135</v>
      </c>
      <c r="H1179" t="n">
        <v>113</v>
      </c>
      <c r="I1179" t="inlineStr">
        <is>
          <t>Cleveland Cavaliers</t>
        </is>
      </c>
      <c r="J1179" t="inlineStr">
        <is>
          <t>Chicago Bulls</t>
        </is>
      </c>
      <c r="K1179" t="inlineStr">
        <is>
          <t>Yes</t>
        </is>
      </c>
      <c r="L1179" t="inlineStr"/>
      <c r="M1179" t="inlineStr">
        <is>
          <t>https://fixturedownload.com/download/nba-2024-UTC.csv</t>
        </is>
      </c>
    </row>
    <row r="1180">
      <c r="A1180" t="n">
        <v>1148</v>
      </c>
      <c r="B1180" t="n">
        <v>22</v>
      </c>
      <c r="C1180" t="inlineStr">
        <is>
          <t>08/04/2025 23:00</t>
        </is>
      </c>
      <c r="D1180" t="inlineStr">
        <is>
          <t>Gainbridge Fieldhouse</t>
        </is>
      </c>
      <c r="E1180" t="inlineStr">
        <is>
          <t>Indiana Pacers</t>
        </is>
      </c>
      <c r="F1180" t="inlineStr">
        <is>
          <t>Washington Wizards</t>
        </is>
      </c>
      <c r="G1180" t="n">
        <v>104</v>
      </c>
      <c r="H1180" t="n">
        <v>98</v>
      </c>
      <c r="I1180" t="inlineStr">
        <is>
          <t>Indiana Pacers</t>
        </is>
      </c>
      <c r="J1180" t="inlineStr">
        <is>
          <t>Washington Wizards</t>
        </is>
      </c>
      <c r="K1180" t="inlineStr">
        <is>
          <t>Yes</t>
        </is>
      </c>
      <c r="L1180" t="inlineStr"/>
      <c r="M1180" t="inlineStr">
        <is>
          <t>https://fixturedownload.com/download/nba-2024-UTC.csv</t>
        </is>
      </c>
    </row>
    <row r="1181">
      <c r="A1181" t="n">
        <v>1149</v>
      </c>
      <c r="B1181" t="n">
        <v>22</v>
      </c>
      <c r="C1181" t="inlineStr">
        <is>
          <t>08/04/2025 23:00</t>
        </is>
      </c>
      <c r="D1181" t="inlineStr">
        <is>
          <t>Kia Center</t>
        </is>
      </c>
      <c r="E1181" t="inlineStr">
        <is>
          <t>Orlando Magic</t>
        </is>
      </c>
      <c r="F1181" t="inlineStr">
        <is>
          <t>Atlanta Hawks</t>
        </is>
      </c>
      <c r="G1181" t="n">
        <v>119</v>
      </c>
      <c r="H1181" t="n">
        <v>112</v>
      </c>
      <c r="I1181" t="inlineStr">
        <is>
          <t>Orlando Magic</t>
        </is>
      </c>
      <c r="J1181" t="inlineStr">
        <is>
          <t>Atlanta Hawks</t>
        </is>
      </c>
      <c r="K1181" t="inlineStr">
        <is>
          <t>Yes</t>
        </is>
      </c>
      <c r="L1181" t="inlineStr"/>
      <c r="M1181" t="inlineStr">
        <is>
          <t>https://fixturedownload.com/download/nba-2024-UTC.csv</t>
        </is>
      </c>
    </row>
    <row r="1182">
      <c r="A1182" t="n">
        <v>1150</v>
      </c>
      <c r="B1182" t="n">
        <v>22</v>
      </c>
      <c r="C1182" t="inlineStr">
        <is>
          <t>08/04/2025 23:30</t>
        </is>
      </c>
      <c r="D1182" t="inlineStr">
        <is>
          <t>Barclays Center</t>
        </is>
      </c>
      <c r="E1182" t="inlineStr">
        <is>
          <t>Brooklyn Nets</t>
        </is>
      </c>
      <c r="F1182" t="inlineStr">
        <is>
          <t>New Orleans Pelicans</t>
        </is>
      </c>
      <c r="G1182" t="n">
        <v>119</v>
      </c>
      <c r="H1182" t="n">
        <v>114</v>
      </c>
      <c r="I1182" t="inlineStr">
        <is>
          <t>Brooklyn Nets</t>
        </is>
      </c>
      <c r="J1182" t="inlineStr">
        <is>
          <t>New Orleans Pelicans</t>
        </is>
      </c>
      <c r="K1182" t="inlineStr">
        <is>
          <t>Yes</t>
        </is>
      </c>
      <c r="L1182" t="inlineStr"/>
      <c r="M1182" t="inlineStr">
        <is>
          <t>https://fixturedownload.com/download/nba-2024-UTC.csv</t>
        </is>
      </c>
    </row>
    <row r="1183">
      <c r="A1183" t="n">
        <v>1151</v>
      </c>
      <c r="B1183" t="n">
        <v>22</v>
      </c>
      <c r="C1183" t="inlineStr">
        <is>
          <t>08/04/2025 23:30</t>
        </is>
      </c>
      <c r="D1183" t="inlineStr">
        <is>
          <t>Madison Square Garden</t>
        </is>
      </c>
      <c r="E1183" t="inlineStr">
        <is>
          <t>New York Knicks</t>
        </is>
      </c>
      <c r="F1183" t="inlineStr">
        <is>
          <t>Boston Celtics</t>
        </is>
      </c>
      <c r="G1183" t="n">
        <v>117</v>
      </c>
      <c r="H1183" t="n">
        <v>119</v>
      </c>
      <c r="I1183" t="inlineStr">
        <is>
          <t>Boston Celtics</t>
        </is>
      </c>
      <c r="J1183" t="inlineStr">
        <is>
          <t>New York Knicks</t>
        </is>
      </c>
      <c r="K1183" t="inlineStr">
        <is>
          <t>Yes</t>
        </is>
      </c>
      <c r="L1183" t="inlineStr"/>
      <c r="M1183" t="inlineStr">
        <is>
          <t>https://fixturedownload.com/download/nba-2024-UTC.csv</t>
        </is>
      </c>
    </row>
    <row r="1184">
      <c r="A1184" t="n">
        <v>1152</v>
      </c>
      <c r="B1184" t="n">
        <v>22</v>
      </c>
      <c r="C1184" t="inlineStr">
        <is>
          <t>09/04/2025 00:00</t>
        </is>
      </c>
      <c r="D1184" t="inlineStr">
        <is>
          <t>Fiserv Forum</t>
        </is>
      </c>
      <c r="E1184" t="inlineStr">
        <is>
          <t>Milwaukee Bucks</t>
        </is>
      </c>
      <c r="F1184" t="inlineStr">
        <is>
          <t>Minnesota Timberwolves</t>
        </is>
      </c>
      <c r="G1184" t="n">
        <v>110</v>
      </c>
      <c r="H1184" t="n">
        <v>103</v>
      </c>
      <c r="I1184" t="inlineStr">
        <is>
          <t>Milwaukee Bucks</t>
        </is>
      </c>
      <c r="J1184" t="inlineStr">
        <is>
          <t>Minnesota Timberwolves</t>
        </is>
      </c>
      <c r="K1184" t="inlineStr">
        <is>
          <t>Yes</t>
        </is>
      </c>
      <c r="L1184" t="inlineStr"/>
      <c r="M1184" t="inlineStr">
        <is>
          <t>https://fixturedownload.com/download/nba-2024-UTC.csv</t>
        </is>
      </c>
    </row>
    <row r="1185">
      <c r="A1185" t="n">
        <v>1153</v>
      </c>
      <c r="B1185" t="n">
        <v>22</v>
      </c>
      <c r="C1185" t="inlineStr">
        <is>
          <t>09/04/2025 00:00</t>
        </is>
      </c>
      <c r="D1185" t="inlineStr">
        <is>
          <t>Paycom Center</t>
        </is>
      </c>
      <c r="E1185" t="inlineStr">
        <is>
          <t>Oklahoma City Thunder</t>
        </is>
      </c>
      <c r="F1185" t="inlineStr">
        <is>
          <t>Los Angeles Lakers</t>
        </is>
      </c>
      <c r="G1185" t="n">
        <v>136</v>
      </c>
      <c r="H1185" t="n">
        <v>120</v>
      </c>
      <c r="I1185" t="inlineStr">
        <is>
          <t>Oklahoma City Thunder</t>
        </is>
      </c>
      <c r="J1185" t="inlineStr">
        <is>
          <t>Los Angeles Lakers</t>
        </is>
      </c>
      <c r="K1185" t="inlineStr">
        <is>
          <t>Yes</t>
        </is>
      </c>
      <c r="L1185" t="inlineStr"/>
      <c r="M1185" t="inlineStr">
        <is>
          <t>https://fixturedownload.com/download/nba-2024-UTC.csv</t>
        </is>
      </c>
    </row>
    <row r="1186">
      <c r="A1186" t="n">
        <v>1154</v>
      </c>
      <c r="B1186" t="n">
        <v>22</v>
      </c>
      <c r="C1186" t="inlineStr">
        <is>
          <t>09/04/2025 02:00</t>
        </is>
      </c>
      <c r="D1186" t="inlineStr">
        <is>
          <t>PHX Arena</t>
        </is>
      </c>
      <c r="E1186" t="inlineStr">
        <is>
          <t>Phoenix Suns</t>
        </is>
      </c>
      <c r="F1186" t="inlineStr">
        <is>
          <t>Golden State Warriors</t>
        </is>
      </c>
      <c r="G1186" t="n">
        <v>95</v>
      </c>
      <c r="H1186" t="n">
        <v>133</v>
      </c>
      <c r="I1186" t="inlineStr">
        <is>
          <t>Golden State Warriors</t>
        </is>
      </c>
      <c r="J1186" t="inlineStr">
        <is>
          <t>Phoenix Suns</t>
        </is>
      </c>
      <c r="K1186" t="inlineStr">
        <is>
          <t>Yes</t>
        </is>
      </c>
      <c r="L1186" t="inlineStr"/>
      <c r="M1186" t="inlineStr">
        <is>
          <t>https://fixturedownload.com/download/nba-2024-UTC.csv</t>
        </is>
      </c>
    </row>
    <row r="1187">
      <c r="A1187" t="n">
        <v>1155</v>
      </c>
      <c r="B1187" t="n">
        <v>22</v>
      </c>
      <c r="C1187" t="inlineStr">
        <is>
          <t>09/04/2025 02:30</t>
        </is>
      </c>
      <c r="D1187" t="inlineStr">
        <is>
          <t>Intuit Dome</t>
        </is>
      </c>
      <c r="E1187" t="inlineStr">
        <is>
          <t>LA Clippers</t>
        </is>
      </c>
      <c r="F1187" t="inlineStr">
        <is>
          <t>San Antonio Spurs</t>
        </is>
      </c>
      <c r="G1187" t="n">
        <v>122</v>
      </c>
      <c r="H1187" t="n">
        <v>117</v>
      </c>
      <c r="I1187" t="inlineStr">
        <is>
          <t>LA Clippers</t>
        </is>
      </c>
      <c r="J1187" t="inlineStr">
        <is>
          <t>San Antonio Spurs</t>
        </is>
      </c>
      <c r="K1187" t="inlineStr">
        <is>
          <t>Yes</t>
        </is>
      </c>
      <c r="L1187" t="inlineStr"/>
      <c r="M1187" t="inlineStr">
        <is>
          <t>https://fixturedownload.com/download/nba-2024-UTC.csv</t>
        </is>
      </c>
    </row>
    <row r="1188">
      <c r="A1188" t="n">
        <v>1156</v>
      </c>
      <c r="B1188" t="n">
        <v>23</v>
      </c>
      <c r="C1188" t="inlineStr">
        <is>
          <t>09/04/2025 23:00</t>
        </is>
      </c>
      <c r="D1188" t="inlineStr">
        <is>
          <t>Kia Center</t>
        </is>
      </c>
      <c r="E1188" t="inlineStr">
        <is>
          <t>Orlando Magic</t>
        </is>
      </c>
      <c r="F1188" t="inlineStr">
        <is>
          <t>Boston Celtics</t>
        </is>
      </c>
      <c r="G1188" t="n">
        <v>96</v>
      </c>
      <c r="H1188" t="n">
        <v>76</v>
      </c>
      <c r="I1188" t="inlineStr">
        <is>
          <t>Orlando Magic</t>
        </is>
      </c>
      <c r="J1188" t="inlineStr">
        <is>
          <t>Boston Celtics</t>
        </is>
      </c>
      <c r="K1188" t="inlineStr">
        <is>
          <t>Yes</t>
        </is>
      </c>
      <c r="L1188" t="inlineStr"/>
      <c r="M1188" t="inlineStr">
        <is>
          <t>https://fixturedownload.com/download/nba-2024-UTC.csv</t>
        </is>
      </c>
    </row>
    <row r="1189">
      <c r="A1189" t="n">
        <v>1157</v>
      </c>
      <c r="B1189" t="n">
        <v>23</v>
      </c>
      <c r="C1189" t="inlineStr">
        <is>
          <t>09/04/2025 23:00</t>
        </is>
      </c>
      <c r="D1189" t="inlineStr">
        <is>
          <t>Capital One Arena</t>
        </is>
      </c>
      <c r="E1189" t="inlineStr">
        <is>
          <t>Washington Wizards</t>
        </is>
      </c>
      <c r="F1189" t="inlineStr">
        <is>
          <t>Philadelphia 76ers</t>
        </is>
      </c>
      <c r="G1189" t="n">
        <v>103</v>
      </c>
      <c r="H1189" t="n">
        <v>122</v>
      </c>
      <c r="I1189" t="inlineStr">
        <is>
          <t>Philadelphia 76ers</t>
        </is>
      </c>
      <c r="J1189" t="inlineStr">
        <is>
          <t>Washington Wizards</t>
        </is>
      </c>
      <c r="K1189" t="inlineStr">
        <is>
          <t>Yes</t>
        </is>
      </c>
      <c r="L1189" t="inlineStr"/>
      <c r="M1189" t="inlineStr">
        <is>
          <t>https://fixturedownload.com/download/nba-2024-UTC.csv</t>
        </is>
      </c>
    </row>
    <row r="1190">
      <c r="A1190" t="n">
        <v>1158</v>
      </c>
      <c r="B1190" t="n">
        <v>23</v>
      </c>
      <c r="C1190" t="inlineStr">
        <is>
          <t>09/04/2025 23:30</t>
        </is>
      </c>
      <c r="D1190" t="inlineStr">
        <is>
          <t>Scotiabank Arena</t>
        </is>
      </c>
      <c r="E1190" t="inlineStr">
        <is>
          <t>Toronto Raptors</t>
        </is>
      </c>
      <c r="F1190" t="inlineStr">
        <is>
          <t>Charlotte Hornets</t>
        </is>
      </c>
      <c r="G1190" t="n">
        <v>126</v>
      </c>
      <c r="H1190" t="n">
        <v>96</v>
      </c>
      <c r="I1190" t="inlineStr">
        <is>
          <t>Toronto Raptors</t>
        </is>
      </c>
      <c r="J1190" t="inlineStr">
        <is>
          <t>Charlotte Hornets</t>
        </is>
      </c>
      <c r="K1190" t="inlineStr">
        <is>
          <t>Yes</t>
        </is>
      </c>
      <c r="L1190" t="inlineStr"/>
      <c r="M1190" t="inlineStr">
        <is>
          <t>https://fixturedownload.com/download/nba-2024-UTC.csv</t>
        </is>
      </c>
    </row>
    <row r="1191">
      <c r="A1191" t="n">
        <v>1159</v>
      </c>
      <c r="B1191" t="n">
        <v>23</v>
      </c>
      <c r="C1191" t="inlineStr">
        <is>
          <t>09/04/2025 23:30</t>
        </is>
      </c>
      <c r="D1191" t="inlineStr">
        <is>
          <t>American Airlines Center</t>
        </is>
      </c>
      <c r="E1191" t="inlineStr">
        <is>
          <t>Dallas Mavericks</t>
        </is>
      </c>
      <c r="F1191" t="inlineStr">
        <is>
          <t>Los Angeles Lakers</t>
        </is>
      </c>
      <c r="G1191" t="n">
        <v>97</v>
      </c>
      <c r="H1191" t="n">
        <v>112</v>
      </c>
      <c r="I1191" t="inlineStr">
        <is>
          <t>Los Angeles Lakers</t>
        </is>
      </c>
      <c r="J1191" t="inlineStr">
        <is>
          <t>Dallas Mavericks</t>
        </is>
      </c>
      <c r="K1191" t="inlineStr">
        <is>
          <t>Yes</t>
        </is>
      </c>
      <c r="L1191" t="inlineStr"/>
      <c r="M1191" t="inlineStr">
        <is>
          <t>https://fixturedownload.com/download/nba-2024-UTC.csv</t>
        </is>
      </c>
    </row>
    <row r="1192">
      <c r="A1192" t="n">
        <v>1160</v>
      </c>
      <c r="B1192" t="n">
        <v>23</v>
      </c>
      <c r="C1192" t="inlineStr">
        <is>
          <t>10/04/2025 00:00</t>
        </is>
      </c>
      <c r="D1192" t="inlineStr">
        <is>
          <t>United Center</t>
        </is>
      </c>
      <c r="E1192" t="inlineStr">
        <is>
          <t>Chicago Bulls</t>
        </is>
      </c>
      <c r="F1192" t="inlineStr">
        <is>
          <t>Miami Heat</t>
        </is>
      </c>
      <c r="G1192" t="n">
        <v>119</v>
      </c>
      <c r="H1192" t="n">
        <v>111</v>
      </c>
      <c r="I1192" t="inlineStr">
        <is>
          <t>Chicago Bulls</t>
        </is>
      </c>
      <c r="J1192" t="inlineStr">
        <is>
          <t>Miami Heat</t>
        </is>
      </c>
      <c r="K1192" t="inlineStr">
        <is>
          <t>Yes</t>
        </is>
      </c>
      <c r="L1192" t="inlineStr"/>
      <c r="M1192" t="inlineStr">
        <is>
          <t>https://fixturedownload.com/download/nba-2024-UTC.csv</t>
        </is>
      </c>
    </row>
    <row r="1193">
      <c r="A1193" t="n">
        <v>1162</v>
      </c>
      <c r="B1193" t="n">
        <v>23</v>
      </c>
      <c r="C1193" t="inlineStr">
        <is>
          <t>10/04/2025 01:00</t>
        </is>
      </c>
      <c r="D1193" t="inlineStr">
        <is>
          <t>Delta Center</t>
        </is>
      </c>
      <c r="E1193" t="inlineStr">
        <is>
          <t>Utah Jazz</t>
        </is>
      </c>
      <c r="F1193" t="inlineStr">
        <is>
          <t>Portland Trail Blazers</t>
        </is>
      </c>
      <c r="G1193" t="n">
        <v>133</v>
      </c>
      <c r="H1193" t="n">
        <v>126</v>
      </c>
      <c r="I1193" t="inlineStr">
        <is>
          <t>Utah Jazz</t>
        </is>
      </c>
      <c r="J1193" t="inlineStr">
        <is>
          <t>Portland Trail Blazers</t>
        </is>
      </c>
      <c r="K1193" t="inlineStr">
        <is>
          <t>Yes</t>
        </is>
      </c>
      <c r="L1193" t="inlineStr"/>
      <c r="M1193" t="inlineStr">
        <is>
          <t>https://fixturedownload.com/download/nba-2024-UTC.csv</t>
        </is>
      </c>
    </row>
    <row r="1194">
      <c r="A1194" t="n">
        <v>1163</v>
      </c>
      <c r="B1194" t="n">
        <v>23</v>
      </c>
      <c r="C1194" t="inlineStr">
        <is>
          <t>10/04/2025 02:00</t>
        </is>
      </c>
      <c r="D1194" t="inlineStr">
        <is>
          <t>Chase Center</t>
        </is>
      </c>
      <c r="E1194" t="inlineStr">
        <is>
          <t>Golden State Warriors</t>
        </is>
      </c>
      <c r="F1194" t="inlineStr">
        <is>
          <t>San Antonio Spurs</t>
        </is>
      </c>
      <c r="G1194" t="n">
        <v>111</v>
      </c>
      <c r="H1194" t="n">
        <v>114</v>
      </c>
      <c r="I1194" t="inlineStr">
        <is>
          <t>San Antonio Spurs</t>
        </is>
      </c>
      <c r="J1194" t="inlineStr">
        <is>
          <t>Golden State Warriors</t>
        </is>
      </c>
      <c r="K1194" t="inlineStr">
        <is>
          <t>Yes</t>
        </is>
      </c>
      <c r="L1194" t="inlineStr"/>
      <c r="M1194" t="inlineStr">
        <is>
          <t>https://fixturedownload.com/download/nba-2024-UTC.csv</t>
        </is>
      </c>
    </row>
    <row r="1195">
      <c r="A1195" t="n">
        <v>1164</v>
      </c>
      <c r="B1195" t="n">
        <v>23</v>
      </c>
      <c r="C1195" t="inlineStr">
        <is>
          <t>10/04/2025 02:00</t>
        </is>
      </c>
      <c r="D1195" t="inlineStr">
        <is>
          <t>PHX Arena</t>
        </is>
      </c>
      <c r="E1195" t="inlineStr">
        <is>
          <t>Phoenix Suns</t>
        </is>
      </c>
      <c r="F1195" t="inlineStr">
        <is>
          <t>Oklahoma City Thunder</t>
        </is>
      </c>
      <c r="G1195" t="n">
        <v>112</v>
      </c>
      <c r="H1195" t="n">
        <v>125</v>
      </c>
      <c r="I1195" t="inlineStr">
        <is>
          <t>Oklahoma City Thunder</t>
        </is>
      </c>
      <c r="J1195" t="inlineStr">
        <is>
          <t>Phoenix Suns</t>
        </is>
      </c>
      <c r="K1195" t="inlineStr">
        <is>
          <t>Yes</t>
        </is>
      </c>
      <c r="L1195" t="inlineStr"/>
      <c r="M1195" t="inlineStr">
        <is>
          <t>https://fixturedownload.com/download/nba-2024-UTC.csv</t>
        </is>
      </c>
    </row>
    <row r="1196">
      <c r="A1196" t="n">
        <v>1165</v>
      </c>
      <c r="B1196" t="n">
        <v>23</v>
      </c>
      <c r="C1196" t="inlineStr">
        <is>
          <t>10/04/2025 02:00</t>
        </is>
      </c>
      <c r="D1196" t="inlineStr">
        <is>
          <t>Golden 1 Center</t>
        </is>
      </c>
      <c r="E1196" t="inlineStr">
        <is>
          <t>Sacramento Kings</t>
        </is>
      </c>
      <c r="F1196" t="inlineStr">
        <is>
          <t>Denver Nuggets</t>
        </is>
      </c>
      <c r="G1196" t="n">
        <v>116</v>
      </c>
      <c r="H1196" t="n">
        <v>124</v>
      </c>
      <c r="I1196" t="inlineStr">
        <is>
          <t>Denver Nuggets</t>
        </is>
      </c>
      <c r="J1196" t="inlineStr">
        <is>
          <t>Sacramento Kings</t>
        </is>
      </c>
      <c r="K1196" t="inlineStr">
        <is>
          <t>Yes</t>
        </is>
      </c>
      <c r="L1196" t="inlineStr"/>
      <c r="M1196" t="inlineStr">
        <is>
          <t>https://fixturedownload.com/download/nba-2024-UTC.csv</t>
        </is>
      </c>
    </row>
    <row r="1197">
      <c r="A1197" t="n">
        <v>1166</v>
      </c>
      <c r="B1197" t="n">
        <v>23</v>
      </c>
      <c r="C1197" t="inlineStr">
        <is>
          <t>10/04/2025 02:30</t>
        </is>
      </c>
      <c r="D1197" t="inlineStr">
        <is>
          <t>Intuit Dome</t>
        </is>
      </c>
      <c r="E1197" t="inlineStr">
        <is>
          <t>LA Clippers</t>
        </is>
      </c>
      <c r="F1197" t="inlineStr">
        <is>
          <t>Houston Rockets</t>
        </is>
      </c>
      <c r="G1197" t="n">
        <v>134</v>
      </c>
      <c r="H1197" t="n">
        <v>117</v>
      </c>
      <c r="I1197" t="inlineStr">
        <is>
          <t>LA Clippers</t>
        </is>
      </c>
      <c r="J1197" t="inlineStr">
        <is>
          <t>Houston Rockets</t>
        </is>
      </c>
      <c r="K1197" t="inlineStr">
        <is>
          <t>Yes</t>
        </is>
      </c>
      <c r="L1197" t="inlineStr"/>
      <c r="M1197" t="inlineStr">
        <is>
          <t>https://fixturedownload.com/download/nba-2024-UTC.csv</t>
        </is>
      </c>
    </row>
    <row r="1198">
      <c r="A1198" t="n">
        <v>1167</v>
      </c>
      <c r="B1198" t="n">
        <v>23</v>
      </c>
      <c r="C1198" t="inlineStr">
        <is>
          <t>10/04/2025 23:00</t>
        </is>
      </c>
      <c r="D1198" t="inlineStr">
        <is>
          <t>Little Caesars Arena</t>
        </is>
      </c>
      <c r="E1198" t="inlineStr">
        <is>
          <t>Detroit Pistons</t>
        </is>
      </c>
      <c r="F1198" t="inlineStr">
        <is>
          <t>New York Knicks</t>
        </is>
      </c>
      <c r="G1198" t="n">
        <v>115</v>
      </c>
      <c r="H1198" t="n">
        <v>106</v>
      </c>
      <c r="I1198" t="inlineStr">
        <is>
          <t>Detroit Pistons</t>
        </is>
      </c>
      <c r="J1198" t="inlineStr">
        <is>
          <t>New York Knicks</t>
        </is>
      </c>
      <c r="K1198" t="inlineStr">
        <is>
          <t>Yes</t>
        </is>
      </c>
      <c r="L1198" t="inlineStr"/>
      <c r="M1198" t="inlineStr">
        <is>
          <t>https://fixturedownload.com/download/nba-2024-UTC.csv</t>
        </is>
      </c>
    </row>
    <row r="1199">
      <c r="A1199" t="n">
        <v>1168</v>
      </c>
      <c r="B1199" t="n">
        <v>23</v>
      </c>
      <c r="C1199" t="inlineStr">
        <is>
          <t>10/04/2025 23:00</t>
        </is>
      </c>
      <c r="D1199" t="inlineStr">
        <is>
          <t>Gainbridge Fieldhouse</t>
        </is>
      </c>
      <c r="E1199" t="inlineStr">
        <is>
          <t>Indiana Pacers</t>
        </is>
      </c>
      <c r="F1199" t="inlineStr">
        <is>
          <t>Cleveland Cavaliers</t>
        </is>
      </c>
      <c r="G1199" t="n">
        <v>114</v>
      </c>
      <c r="H1199" t="n">
        <v>112</v>
      </c>
      <c r="I1199" t="inlineStr">
        <is>
          <t>Indiana Pacers</t>
        </is>
      </c>
      <c r="J1199" t="inlineStr">
        <is>
          <t>Cleveland Cavaliers</t>
        </is>
      </c>
      <c r="K1199" t="inlineStr">
        <is>
          <t>Yes</t>
        </is>
      </c>
      <c r="L1199" t="inlineStr"/>
      <c r="M1199" t="inlineStr">
        <is>
          <t>https://fixturedownload.com/download/nba-2024-UTC.csv</t>
        </is>
      </c>
    </row>
    <row r="1200">
      <c r="A1200" t="n">
        <v>1169</v>
      </c>
      <c r="B1200" t="n">
        <v>23</v>
      </c>
      <c r="C1200" t="inlineStr">
        <is>
          <t>10/04/2025 23:30</t>
        </is>
      </c>
      <c r="D1200" t="inlineStr">
        <is>
          <t>Barclays Center</t>
        </is>
      </c>
      <c r="E1200" t="inlineStr">
        <is>
          <t>Brooklyn Nets</t>
        </is>
      </c>
      <c r="F1200" t="inlineStr">
        <is>
          <t>Atlanta Hawks</t>
        </is>
      </c>
      <c r="G1200" t="n">
        <v>109</v>
      </c>
      <c r="H1200" t="n">
        <v>133</v>
      </c>
      <c r="I1200" t="inlineStr">
        <is>
          <t>Atlanta Hawks</t>
        </is>
      </c>
      <c r="J1200" t="inlineStr">
        <is>
          <t>Brooklyn Nets</t>
        </is>
      </c>
      <c r="K1200" t="inlineStr">
        <is>
          <t>Yes</t>
        </is>
      </c>
      <c r="L1200" t="inlineStr"/>
      <c r="M1200" t="inlineStr">
        <is>
          <t>https://fixturedownload.com/download/nba-2024-UTC.csv</t>
        </is>
      </c>
    </row>
    <row r="1201">
      <c r="A1201" t="n">
        <v>1161</v>
      </c>
      <c r="B1201" t="n">
        <v>23</v>
      </c>
      <c r="C1201" t="inlineStr">
        <is>
          <t>11/04/2025 00:00</t>
        </is>
      </c>
      <c r="D1201" t="inlineStr">
        <is>
          <t>Fiserv Forum</t>
        </is>
      </c>
      <c r="E1201" t="inlineStr">
        <is>
          <t>Milwaukee Bucks</t>
        </is>
      </c>
      <c r="F1201" t="inlineStr">
        <is>
          <t>New Orleans Pelicans</t>
        </is>
      </c>
      <c r="G1201" t="n">
        <v>136</v>
      </c>
      <c r="H1201" t="n">
        <v>111</v>
      </c>
      <c r="I1201" t="inlineStr">
        <is>
          <t>Milwaukee Bucks</t>
        </is>
      </c>
      <c r="J1201" t="inlineStr">
        <is>
          <t>New Orleans Pelicans</t>
        </is>
      </c>
      <c r="K1201" t="inlineStr">
        <is>
          <t>Yes</t>
        </is>
      </c>
      <c r="L1201" t="inlineStr"/>
      <c r="M1201" t="inlineStr">
        <is>
          <t>https://fixturedownload.com/download/nba-2024-UTC.csv</t>
        </is>
      </c>
    </row>
    <row r="1202">
      <c r="A1202" t="n">
        <v>1170</v>
      </c>
      <c r="B1202" t="n">
        <v>23</v>
      </c>
      <c r="C1202" t="inlineStr">
        <is>
          <t>11/04/2025 01:30</t>
        </is>
      </c>
      <c r="D1202" t="inlineStr">
        <is>
          <t>FedExForum</t>
        </is>
      </c>
      <c r="E1202" t="inlineStr">
        <is>
          <t>Memphis Grizzlies</t>
        </is>
      </c>
      <c r="F1202" t="inlineStr">
        <is>
          <t>Minnesota Timberwolves</t>
        </is>
      </c>
      <c r="G1202" t="n">
        <v>125</v>
      </c>
      <c r="H1202" t="n">
        <v>141</v>
      </c>
      <c r="I1202" t="inlineStr">
        <is>
          <t>Minnesota Timberwolves</t>
        </is>
      </c>
      <c r="J1202" t="inlineStr">
        <is>
          <t>Memphis Grizzlies</t>
        </is>
      </c>
      <c r="K1202" t="inlineStr">
        <is>
          <t>Yes</t>
        </is>
      </c>
      <c r="L1202" t="inlineStr"/>
      <c r="M1202" t="inlineStr">
        <is>
          <t>https://fixturedownload.com/download/nba-2024-UTC.csv</t>
        </is>
      </c>
    </row>
    <row r="1203">
      <c r="A1203" t="n">
        <v>1171</v>
      </c>
      <c r="B1203" t="n">
        <v>23</v>
      </c>
      <c r="C1203" t="inlineStr">
        <is>
          <t>11/04/2025 23:00</t>
        </is>
      </c>
      <c r="D1203" t="inlineStr">
        <is>
          <t>Little Caesars Arena</t>
        </is>
      </c>
      <c r="E1203" t="inlineStr">
        <is>
          <t>Detroit Pistons</t>
        </is>
      </c>
      <c r="F1203" t="inlineStr">
        <is>
          <t>Milwaukee Bucks</t>
        </is>
      </c>
      <c r="G1203" t="n">
        <v>119</v>
      </c>
      <c r="H1203" t="n">
        <v>125</v>
      </c>
      <c r="I1203" t="inlineStr">
        <is>
          <t>Milwaukee Bucks</t>
        </is>
      </c>
      <c r="J1203" t="inlineStr">
        <is>
          <t>Detroit Pistons</t>
        </is>
      </c>
      <c r="K1203" t="inlineStr">
        <is>
          <t>Yes</t>
        </is>
      </c>
      <c r="L1203" t="inlineStr"/>
      <c r="M1203" t="inlineStr">
        <is>
          <t>https://fixturedownload.com/download/nba-2024-UTC.csv</t>
        </is>
      </c>
    </row>
    <row r="1204">
      <c r="A1204" t="n">
        <v>1172</v>
      </c>
      <c r="B1204" t="n">
        <v>23</v>
      </c>
      <c r="C1204" t="inlineStr">
        <is>
          <t>11/04/2025 23:00</t>
        </is>
      </c>
      <c r="D1204" t="inlineStr">
        <is>
          <t>Gainbridge Fieldhouse</t>
        </is>
      </c>
      <c r="E1204" t="inlineStr">
        <is>
          <t>Indiana Pacers</t>
        </is>
      </c>
      <c r="F1204" t="inlineStr">
        <is>
          <t>Orlando Magic</t>
        </is>
      </c>
      <c r="G1204" t="n">
        <v>115</v>
      </c>
      <c r="H1204" t="n">
        <v>129</v>
      </c>
      <c r="I1204" t="inlineStr">
        <is>
          <t>Orlando Magic</t>
        </is>
      </c>
      <c r="J1204" t="inlineStr">
        <is>
          <t>Indiana Pacers</t>
        </is>
      </c>
      <c r="K1204" t="inlineStr">
        <is>
          <t>Yes</t>
        </is>
      </c>
      <c r="L1204" t="inlineStr"/>
      <c r="M1204" t="inlineStr">
        <is>
          <t>https://fixturedownload.com/download/nba-2024-UTC.csv</t>
        </is>
      </c>
    </row>
    <row r="1205">
      <c r="A1205" t="n">
        <v>1173</v>
      </c>
      <c r="B1205" t="n">
        <v>23</v>
      </c>
      <c r="C1205" t="inlineStr">
        <is>
          <t>11/04/2025 23:00</t>
        </is>
      </c>
      <c r="D1205" t="inlineStr">
        <is>
          <t>Wells Fargo Center</t>
        </is>
      </c>
      <c r="E1205" t="inlineStr">
        <is>
          <t>Philadelphia 76ers</t>
        </is>
      </c>
      <c r="F1205" t="inlineStr">
        <is>
          <t>Atlanta Hawks</t>
        </is>
      </c>
      <c r="G1205" t="n">
        <v>110</v>
      </c>
      <c r="H1205" t="n">
        <v>124</v>
      </c>
      <c r="I1205" t="inlineStr">
        <is>
          <t>Atlanta Hawks</t>
        </is>
      </c>
      <c r="J1205" t="inlineStr">
        <is>
          <t>Philadelphia 76ers</t>
        </is>
      </c>
      <c r="K1205" t="inlineStr">
        <is>
          <t>Yes</t>
        </is>
      </c>
      <c r="L1205" t="inlineStr"/>
      <c r="M1205" t="inlineStr">
        <is>
          <t>https://fixturedownload.com/download/nba-2024-UTC.csv</t>
        </is>
      </c>
    </row>
    <row r="1206">
      <c r="A1206" t="n">
        <v>1174</v>
      </c>
      <c r="B1206" t="n">
        <v>23</v>
      </c>
      <c r="C1206" t="inlineStr">
        <is>
          <t>11/04/2025 23:30</t>
        </is>
      </c>
      <c r="D1206" t="inlineStr">
        <is>
          <t>TD Garden</t>
        </is>
      </c>
      <c r="E1206" t="inlineStr">
        <is>
          <t>Boston Celtics</t>
        </is>
      </c>
      <c r="F1206" t="inlineStr">
        <is>
          <t>Charlotte Hornets</t>
        </is>
      </c>
      <c r="G1206" t="n">
        <v>130</v>
      </c>
      <c r="H1206" t="n">
        <v>94</v>
      </c>
      <c r="I1206" t="inlineStr">
        <is>
          <t>Boston Celtics</t>
        </is>
      </c>
      <c r="J1206" t="inlineStr">
        <is>
          <t>Charlotte Hornets</t>
        </is>
      </c>
      <c r="K1206" t="inlineStr">
        <is>
          <t>Yes</t>
        </is>
      </c>
      <c r="L1206" t="inlineStr"/>
      <c r="M1206" t="inlineStr">
        <is>
          <t>https://fixturedownload.com/download/nba-2024-UTC.csv</t>
        </is>
      </c>
    </row>
    <row r="1207">
      <c r="A1207" t="n">
        <v>1175</v>
      </c>
      <c r="B1207" t="n">
        <v>23</v>
      </c>
      <c r="C1207" t="inlineStr">
        <is>
          <t>11/04/2025 23:30</t>
        </is>
      </c>
      <c r="D1207" t="inlineStr">
        <is>
          <t>Madison Square Garden</t>
        </is>
      </c>
      <c r="E1207" t="inlineStr">
        <is>
          <t>New York Knicks</t>
        </is>
      </c>
      <c r="F1207" t="inlineStr">
        <is>
          <t>Cleveland Cavaliers</t>
        </is>
      </c>
      <c r="G1207" t="n">
        <v>102</v>
      </c>
      <c r="H1207" t="n">
        <v>108</v>
      </c>
      <c r="I1207" t="inlineStr">
        <is>
          <t>Cleveland Cavaliers</t>
        </is>
      </c>
      <c r="J1207" t="inlineStr">
        <is>
          <t>New York Knicks</t>
        </is>
      </c>
      <c r="K1207" t="inlineStr">
        <is>
          <t>Yes</t>
        </is>
      </c>
      <c r="L1207" t="inlineStr"/>
      <c r="M1207" t="inlineStr">
        <is>
          <t>https://fixturedownload.com/download/nba-2024-UTC.csv</t>
        </is>
      </c>
    </row>
    <row r="1208">
      <c r="A1208" t="n">
        <v>1176</v>
      </c>
      <c r="B1208" t="n">
        <v>23</v>
      </c>
      <c r="C1208" t="inlineStr">
        <is>
          <t>12/04/2025 00:00</t>
        </is>
      </c>
      <c r="D1208" t="inlineStr">
        <is>
          <t>United Center</t>
        </is>
      </c>
      <c r="E1208" t="inlineStr">
        <is>
          <t>Chicago Bulls</t>
        </is>
      </c>
      <c r="F1208" t="inlineStr">
        <is>
          <t>Washington Wizards</t>
        </is>
      </c>
      <c r="G1208" t="n">
        <v>119</v>
      </c>
      <c r="H1208" t="n">
        <v>89</v>
      </c>
      <c r="I1208" t="inlineStr">
        <is>
          <t>Chicago Bulls</t>
        </is>
      </c>
      <c r="J1208" t="inlineStr">
        <is>
          <t>Washington Wizards</t>
        </is>
      </c>
      <c r="K1208" t="inlineStr">
        <is>
          <t>Yes</t>
        </is>
      </c>
      <c r="L1208" t="inlineStr"/>
      <c r="M1208" t="inlineStr">
        <is>
          <t>https://fixturedownload.com/download/nba-2024-UTC.csv</t>
        </is>
      </c>
    </row>
    <row r="1209">
      <c r="A1209" t="n">
        <v>1177</v>
      </c>
      <c r="B1209" t="n">
        <v>23</v>
      </c>
      <c r="C1209" t="inlineStr">
        <is>
          <t>12/04/2025 00:00</t>
        </is>
      </c>
      <c r="D1209" t="inlineStr">
        <is>
          <t>Smoothie King Center</t>
        </is>
      </c>
      <c r="E1209" t="inlineStr">
        <is>
          <t>New Orleans Pelicans</t>
        </is>
      </c>
      <c r="F1209" t="inlineStr">
        <is>
          <t>Miami Heat</t>
        </is>
      </c>
      <c r="G1209" t="n">
        <v>104</v>
      </c>
      <c r="H1209" t="n">
        <v>153</v>
      </c>
      <c r="I1209" t="inlineStr">
        <is>
          <t>Miami Heat</t>
        </is>
      </c>
      <c r="J1209" t="inlineStr">
        <is>
          <t>New Orleans Pelicans</t>
        </is>
      </c>
      <c r="K1209" t="inlineStr">
        <is>
          <t>Yes</t>
        </is>
      </c>
      <c r="L1209" t="inlineStr"/>
      <c r="M1209" t="inlineStr">
        <is>
          <t>https://fixturedownload.com/download/nba-2024-UTC.csv</t>
        </is>
      </c>
    </row>
    <row r="1210">
      <c r="A1210" t="n">
        <v>1178</v>
      </c>
      <c r="B1210" t="n">
        <v>23</v>
      </c>
      <c r="C1210" t="inlineStr">
        <is>
          <t>12/04/2025 00:30</t>
        </is>
      </c>
      <c r="D1210" t="inlineStr">
        <is>
          <t>American Airlines Center</t>
        </is>
      </c>
      <c r="E1210" t="inlineStr">
        <is>
          <t>Dallas Mavericks</t>
        </is>
      </c>
      <c r="F1210" t="inlineStr">
        <is>
          <t>Toronto Raptors</t>
        </is>
      </c>
      <c r="G1210" t="n">
        <v>124</v>
      </c>
      <c r="H1210" t="n">
        <v>102</v>
      </c>
      <c r="I1210" t="inlineStr">
        <is>
          <t>Dallas Mavericks</t>
        </is>
      </c>
      <c r="J1210" t="inlineStr">
        <is>
          <t>Toronto Raptors</t>
        </is>
      </c>
      <c r="K1210" t="inlineStr">
        <is>
          <t>Yes</t>
        </is>
      </c>
      <c r="L1210" t="inlineStr"/>
      <c r="M1210" t="inlineStr">
        <is>
          <t>https://fixturedownload.com/download/nba-2024-UTC.csv</t>
        </is>
      </c>
    </row>
    <row r="1211">
      <c r="A1211" t="n">
        <v>1179</v>
      </c>
      <c r="B1211" t="n">
        <v>23</v>
      </c>
      <c r="C1211" t="inlineStr">
        <is>
          <t>12/04/2025 01:00</t>
        </is>
      </c>
      <c r="D1211" t="inlineStr">
        <is>
          <t>Target Center</t>
        </is>
      </c>
      <c r="E1211" t="inlineStr">
        <is>
          <t>Minnesota Timberwolves</t>
        </is>
      </c>
      <c r="F1211" t="inlineStr">
        <is>
          <t>Brooklyn Nets</t>
        </is>
      </c>
      <c r="G1211" t="n">
        <v>117</v>
      </c>
      <c r="H1211" t="n">
        <v>91</v>
      </c>
      <c r="I1211" t="inlineStr">
        <is>
          <t>Minnesota Timberwolves</t>
        </is>
      </c>
      <c r="J1211" t="inlineStr">
        <is>
          <t>Brooklyn Nets</t>
        </is>
      </c>
      <c r="K1211" t="inlineStr">
        <is>
          <t>Yes</t>
        </is>
      </c>
      <c r="L1211" t="inlineStr"/>
      <c r="M1211" t="inlineStr">
        <is>
          <t>https://fixturedownload.com/download/nba-2024-UTC.csv</t>
        </is>
      </c>
    </row>
    <row r="1212">
      <c r="A1212" t="n">
        <v>1180</v>
      </c>
      <c r="B1212" t="n">
        <v>23</v>
      </c>
      <c r="C1212" t="inlineStr">
        <is>
          <t>12/04/2025 01:00</t>
        </is>
      </c>
      <c r="D1212" t="inlineStr">
        <is>
          <t>Ball Arena</t>
        </is>
      </c>
      <c r="E1212" t="inlineStr">
        <is>
          <t>Denver Nuggets</t>
        </is>
      </c>
      <c r="F1212" t="inlineStr">
        <is>
          <t>Memphis Grizzlies</t>
        </is>
      </c>
      <c r="G1212" t="n">
        <v>117</v>
      </c>
      <c r="H1212" t="n">
        <v>109</v>
      </c>
      <c r="I1212" t="inlineStr">
        <is>
          <t>Denver Nuggets</t>
        </is>
      </c>
      <c r="J1212" t="inlineStr">
        <is>
          <t>Memphis Grizzlies</t>
        </is>
      </c>
      <c r="K1212" t="inlineStr">
        <is>
          <t>Yes</t>
        </is>
      </c>
      <c r="L1212" t="inlineStr"/>
      <c r="M1212" t="inlineStr">
        <is>
          <t>https://fixturedownload.com/download/nba-2024-UTC.csv</t>
        </is>
      </c>
    </row>
    <row r="1213">
      <c r="A1213" t="n">
        <v>1181</v>
      </c>
      <c r="B1213" t="n">
        <v>23</v>
      </c>
      <c r="C1213" t="inlineStr">
        <is>
          <t>12/04/2025 01:30</t>
        </is>
      </c>
      <c r="D1213" t="inlineStr">
        <is>
          <t>Delta Center</t>
        </is>
      </c>
      <c r="E1213" t="inlineStr">
        <is>
          <t>Utah Jazz</t>
        </is>
      </c>
      <c r="F1213" t="inlineStr">
        <is>
          <t>Oklahoma City Thunder</t>
        </is>
      </c>
      <c r="G1213" t="n">
        <v>111</v>
      </c>
      <c r="H1213" t="n">
        <v>145</v>
      </c>
      <c r="I1213" t="inlineStr">
        <is>
          <t>Oklahoma City Thunder</t>
        </is>
      </c>
      <c r="J1213" t="inlineStr">
        <is>
          <t>Utah Jazz</t>
        </is>
      </c>
      <c r="K1213" t="inlineStr">
        <is>
          <t>Yes</t>
        </is>
      </c>
      <c r="L1213" t="inlineStr"/>
      <c r="M1213" t="inlineStr">
        <is>
          <t>https://fixturedownload.com/download/nba-2024-UTC.csv</t>
        </is>
      </c>
    </row>
    <row r="1214">
      <c r="A1214" t="n">
        <v>1182</v>
      </c>
      <c r="B1214" t="n">
        <v>23</v>
      </c>
      <c r="C1214" t="inlineStr">
        <is>
          <t>12/04/2025 02:00</t>
        </is>
      </c>
      <c r="D1214" t="inlineStr">
        <is>
          <t>PHX Arena</t>
        </is>
      </c>
      <c r="E1214" t="inlineStr">
        <is>
          <t>Phoenix Suns</t>
        </is>
      </c>
      <c r="F1214" t="inlineStr">
        <is>
          <t>San Antonio Spurs</t>
        </is>
      </c>
      <c r="G1214" t="n">
        <v>117</v>
      </c>
      <c r="H1214" t="n">
        <v>98</v>
      </c>
      <c r="I1214" t="inlineStr">
        <is>
          <t>Phoenix Suns</t>
        </is>
      </c>
      <c r="J1214" t="inlineStr">
        <is>
          <t>San Antonio Spurs</t>
        </is>
      </c>
      <c r="K1214" t="inlineStr">
        <is>
          <t>Yes</t>
        </is>
      </c>
      <c r="L1214" t="inlineStr"/>
      <c r="M1214" t="inlineStr">
        <is>
          <t>https://fixturedownload.com/download/nba-2024-UTC.csv</t>
        </is>
      </c>
    </row>
    <row r="1215">
      <c r="A1215" t="n">
        <v>1183</v>
      </c>
      <c r="B1215" t="n">
        <v>23</v>
      </c>
      <c r="C1215" t="inlineStr">
        <is>
          <t>12/04/2025 02:00</t>
        </is>
      </c>
      <c r="D1215" t="inlineStr">
        <is>
          <t>Moda Center</t>
        </is>
      </c>
      <c r="E1215" t="inlineStr">
        <is>
          <t>Portland Trail Blazers</t>
        </is>
      </c>
      <c r="F1215" t="inlineStr">
        <is>
          <t>Golden State Warriors</t>
        </is>
      </c>
      <c r="G1215" t="n">
        <v>86</v>
      </c>
      <c r="H1215" t="n">
        <v>103</v>
      </c>
      <c r="I1215" t="inlineStr">
        <is>
          <t>Golden State Warriors</t>
        </is>
      </c>
      <c r="J1215" t="inlineStr">
        <is>
          <t>Portland Trail Blazers</t>
        </is>
      </c>
      <c r="K1215" t="inlineStr">
        <is>
          <t>Yes</t>
        </is>
      </c>
      <c r="L1215" t="inlineStr"/>
      <c r="M1215" t="inlineStr">
        <is>
          <t>https://fixturedownload.com/download/nba-2024-UTC.csv</t>
        </is>
      </c>
    </row>
    <row r="1216">
      <c r="A1216" t="n">
        <v>1184</v>
      </c>
      <c r="B1216" t="n">
        <v>23</v>
      </c>
      <c r="C1216" t="inlineStr">
        <is>
          <t>12/04/2025 02:00</t>
        </is>
      </c>
      <c r="D1216" t="inlineStr">
        <is>
          <t>Golden 1 Center</t>
        </is>
      </c>
      <c r="E1216" t="inlineStr">
        <is>
          <t>Sacramento Kings</t>
        </is>
      </c>
      <c r="F1216" t="inlineStr">
        <is>
          <t>LA Clippers</t>
        </is>
      </c>
      <c r="G1216" t="n">
        <v>100</v>
      </c>
      <c r="H1216" t="n">
        <v>101</v>
      </c>
      <c r="I1216" t="inlineStr">
        <is>
          <t>LA Clippers</t>
        </is>
      </c>
      <c r="J1216" t="inlineStr">
        <is>
          <t>Sacramento Kings</t>
        </is>
      </c>
      <c r="K1216" t="inlineStr">
        <is>
          <t>Yes</t>
        </is>
      </c>
      <c r="L1216" t="inlineStr"/>
      <c r="M1216" t="inlineStr">
        <is>
          <t>https://fixturedownload.com/download/nba-2024-UTC.csv</t>
        </is>
      </c>
    </row>
    <row r="1217">
      <c r="A1217" t="n">
        <v>1185</v>
      </c>
      <c r="B1217" t="n">
        <v>23</v>
      </c>
      <c r="C1217" t="inlineStr">
        <is>
          <t>12/04/2025 02:30</t>
        </is>
      </c>
      <c r="D1217" t="inlineStr">
        <is>
          <t>Crypto.com Arena</t>
        </is>
      </c>
      <c r="E1217" t="inlineStr">
        <is>
          <t>Los Angeles Lakers</t>
        </is>
      </c>
      <c r="F1217" t="inlineStr">
        <is>
          <t>Houston Rockets</t>
        </is>
      </c>
      <c r="G1217" t="n">
        <v>140</v>
      </c>
      <c r="H1217" t="n">
        <v>109</v>
      </c>
      <c r="I1217" t="inlineStr">
        <is>
          <t>Los Angeles Lakers</t>
        </is>
      </c>
      <c r="J1217" t="inlineStr">
        <is>
          <t>Houston Rockets</t>
        </is>
      </c>
      <c r="K1217" t="inlineStr">
        <is>
          <t>Yes</t>
        </is>
      </c>
      <c r="L1217" t="inlineStr"/>
      <c r="M1217" t="inlineStr">
        <is>
          <t>https://fixturedownload.com/download/nba-2024-UTC.csv</t>
        </is>
      </c>
    </row>
    <row r="1218">
      <c r="A1218" t="n">
        <v>1186</v>
      </c>
      <c r="B1218" t="n">
        <v>23</v>
      </c>
      <c r="C1218" t="inlineStr">
        <is>
          <t>13/04/2025 17:00</t>
        </is>
      </c>
      <c r="D1218" t="inlineStr">
        <is>
          <t>State Farm Arena</t>
        </is>
      </c>
      <c r="E1218" t="inlineStr">
        <is>
          <t>Atlanta Hawks</t>
        </is>
      </c>
      <c r="F1218" t="inlineStr">
        <is>
          <t>Orlando Magic</t>
        </is>
      </c>
      <c r="G1218" t="n">
        <v>117</v>
      </c>
      <c r="H1218" t="n">
        <v>105</v>
      </c>
      <c r="I1218" t="inlineStr">
        <is>
          <t>Atlanta Hawks</t>
        </is>
      </c>
      <c r="J1218" t="inlineStr">
        <is>
          <t>Orlando Magic</t>
        </is>
      </c>
      <c r="K1218" t="inlineStr">
        <is>
          <t>Yes</t>
        </is>
      </c>
      <c r="L1218" t="inlineStr"/>
      <c r="M1218" t="inlineStr">
        <is>
          <t>https://fixturedownload.com/download/nba-2024-UTC.csv</t>
        </is>
      </c>
    </row>
    <row r="1219">
      <c r="A1219" t="n">
        <v>1187</v>
      </c>
      <c r="B1219" t="n">
        <v>23</v>
      </c>
      <c r="C1219" t="inlineStr">
        <is>
          <t>13/04/2025 17:00</t>
        </is>
      </c>
      <c r="D1219" t="inlineStr">
        <is>
          <t>TD Garden</t>
        </is>
      </c>
      <c r="E1219" t="inlineStr">
        <is>
          <t>Boston Celtics</t>
        </is>
      </c>
      <c r="F1219" t="inlineStr">
        <is>
          <t>Charlotte Hornets</t>
        </is>
      </c>
      <c r="G1219" t="n">
        <v>93</v>
      </c>
      <c r="H1219" t="n">
        <v>86</v>
      </c>
      <c r="I1219" t="inlineStr">
        <is>
          <t>Boston Celtics</t>
        </is>
      </c>
      <c r="J1219" t="inlineStr">
        <is>
          <t>Charlotte Hornets</t>
        </is>
      </c>
      <c r="K1219" t="inlineStr">
        <is>
          <t>Yes</t>
        </is>
      </c>
      <c r="L1219" t="inlineStr"/>
      <c r="M1219" t="inlineStr">
        <is>
          <t>https://fixturedownload.com/download/nba-2024-UTC.csv</t>
        </is>
      </c>
    </row>
    <row r="1220">
      <c r="A1220" t="n">
        <v>1188</v>
      </c>
      <c r="B1220" t="n">
        <v>23</v>
      </c>
      <c r="C1220" t="inlineStr">
        <is>
          <t>13/04/2025 17:00</t>
        </is>
      </c>
      <c r="D1220" t="inlineStr">
        <is>
          <t>Barclays Center</t>
        </is>
      </c>
      <c r="E1220" t="inlineStr">
        <is>
          <t>Brooklyn Nets</t>
        </is>
      </c>
      <c r="F1220" t="inlineStr">
        <is>
          <t>New York Knicks</t>
        </is>
      </c>
      <c r="G1220" t="n">
        <v>105</v>
      </c>
      <c r="H1220" t="n">
        <v>113</v>
      </c>
      <c r="I1220" t="inlineStr">
        <is>
          <t>New York Knicks</t>
        </is>
      </c>
      <c r="J1220" t="inlineStr">
        <is>
          <t>Brooklyn Nets</t>
        </is>
      </c>
      <c r="K1220" t="inlineStr">
        <is>
          <t>Yes</t>
        </is>
      </c>
      <c r="L1220" t="inlineStr"/>
      <c r="M1220" t="inlineStr">
        <is>
          <t>https://fixturedownload.com/download/nba-2024-UTC.csv</t>
        </is>
      </c>
    </row>
    <row r="1221">
      <c r="A1221" t="n">
        <v>1189</v>
      </c>
      <c r="B1221" t="n">
        <v>23</v>
      </c>
      <c r="C1221" t="inlineStr">
        <is>
          <t>13/04/2025 17:00</t>
        </is>
      </c>
      <c r="D1221" t="inlineStr">
        <is>
          <t>Rocket Arena</t>
        </is>
      </c>
      <c r="E1221" t="inlineStr">
        <is>
          <t>Cleveland Cavaliers</t>
        </is>
      </c>
      <c r="F1221" t="inlineStr">
        <is>
          <t>Indiana Pacers</t>
        </is>
      </c>
      <c r="G1221" t="n">
        <v>118</v>
      </c>
      <c r="H1221" t="n">
        <v>126</v>
      </c>
      <c r="I1221" t="inlineStr">
        <is>
          <t>Indiana Pacers</t>
        </is>
      </c>
      <c r="J1221" t="inlineStr">
        <is>
          <t>Cleveland Cavaliers</t>
        </is>
      </c>
      <c r="K1221" t="inlineStr">
        <is>
          <t>Yes</t>
        </is>
      </c>
      <c r="L1221" t="inlineStr"/>
      <c r="M1221" t="inlineStr">
        <is>
          <t>https://fixturedownload.com/download/nba-2024-UTC.csv</t>
        </is>
      </c>
    </row>
    <row r="1222">
      <c r="A1222" t="n">
        <v>1190</v>
      </c>
      <c r="B1222" t="n">
        <v>23</v>
      </c>
      <c r="C1222" t="inlineStr">
        <is>
          <t>13/04/2025 17:00</t>
        </is>
      </c>
      <c r="D1222" t="inlineStr">
        <is>
          <t>Kaseya Center</t>
        </is>
      </c>
      <c r="E1222" t="inlineStr">
        <is>
          <t>Miami Heat</t>
        </is>
      </c>
      <c r="F1222" t="inlineStr">
        <is>
          <t>Washington Wizards</t>
        </is>
      </c>
      <c r="G1222" t="n">
        <v>118</v>
      </c>
      <c r="H1222" t="n">
        <v>119</v>
      </c>
      <c r="I1222" t="inlineStr">
        <is>
          <t>Washington Wizards</t>
        </is>
      </c>
      <c r="J1222" t="inlineStr">
        <is>
          <t>Miami Heat</t>
        </is>
      </c>
      <c r="K1222" t="inlineStr">
        <is>
          <t>Yes</t>
        </is>
      </c>
      <c r="L1222" t="inlineStr"/>
      <c r="M1222" t="inlineStr">
        <is>
          <t>https://fixturedownload.com/download/nba-2024-UTC.csv</t>
        </is>
      </c>
    </row>
    <row r="1223">
      <c r="A1223" t="n">
        <v>1191</v>
      </c>
      <c r="B1223" t="n">
        <v>23</v>
      </c>
      <c r="C1223" t="inlineStr">
        <is>
          <t>13/04/2025 17:00</t>
        </is>
      </c>
      <c r="D1223" t="inlineStr">
        <is>
          <t>Wells Fargo Center</t>
        </is>
      </c>
      <c r="E1223" t="inlineStr">
        <is>
          <t>Philadelphia 76ers</t>
        </is>
      </c>
      <c r="F1223" t="inlineStr">
        <is>
          <t>Chicago Bulls</t>
        </is>
      </c>
      <c r="G1223" t="n">
        <v>102</v>
      </c>
      <c r="H1223" t="n">
        <v>122</v>
      </c>
      <c r="I1223" t="inlineStr">
        <is>
          <t>Chicago Bulls</t>
        </is>
      </c>
      <c r="J1223" t="inlineStr">
        <is>
          <t>Philadelphia 76ers</t>
        </is>
      </c>
      <c r="K1223" t="inlineStr">
        <is>
          <t>Yes</t>
        </is>
      </c>
      <c r="L1223" t="inlineStr"/>
      <c r="M1223" t="inlineStr">
        <is>
          <t>https://fixturedownload.com/download/nba-2024-UTC.csv</t>
        </is>
      </c>
    </row>
    <row r="1224">
      <c r="A1224" t="n">
        <v>1192</v>
      </c>
      <c r="B1224" t="n">
        <v>23</v>
      </c>
      <c r="C1224" t="inlineStr">
        <is>
          <t>13/04/2025 17:00</t>
        </is>
      </c>
      <c r="D1224" t="inlineStr">
        <is>
          <t>Fiserv Forum</t>
        </is>
      </c>
      <c r="E1224" t="inlineStr">
        <is>
          <t>Milwaukee Bucks</t>
        </is>
      </c>
      <c r="F1224" t="inlineStr">
        <is>
          <t>Detroit Pistons</t>
        </is>
      </c>
      <c r="G1224" t="n">
        <v>140</v>
      </c>
      <c r="H1224" t="n">
        <v>133</v>
      </c>
      <c r="I1224" t="inlineStr">
        <is>
          <t>Milwaukee Bucks</t>
        </is>
      </c>
      <c r="J1224" t="inlineStr">
        <is>
          <t>Detroit Pistons</t>
        </is>
      </c>
      <c r="K1224" t="inlineStr">
        <is>
          <t>Yes</t>
        </is>
      </c>
      <c r="L1224" t="inlineStr"/>
      <c r="M1224" t="inlineStr">
        <is>
          <t>https://fixturedownload.com/download/nba-2024-UTC.csv</t>
        </is>
      </c>
    </row>
    <row r="1225">
      <c r="A1225" t="n">
        <v>1193</v>
      </c>
      <c r="B1225" t="n">
        <v>23</v>
      </c>
      <c r="C1225" t="inlineStr">
        <is>
          <t>13/04/2025 19:30</t>
        </is>
      </c>
      <c r="D1225" t="inlineStr">
        <is>
          <t>Toyota Center</t>
        </is>
      </c>
      <c r="E1225" t="inlineStr">
        <is>
          <t>Houston Rockets</t>
        </is>
      </c>
      <c r="F1225" t="inlineStr">
        <is>
          <t>Denver Nuggets</t>
        </is>
      </c>
      <c r="G1225" t="n">
        <v>111</v>
      </c>
      <c r="H1225" t="n">
        <v>126</v>
      </c>
      <c r="I1225" t="inlineStr">
        <is>
          <t>Denver Nuggets</t>
        </is>
      </c>
      <c r="J1225" t="inlineStr">
        <is>
          <t>Houston Rockets</t>
        </is>
      </c>
      <c r="K1225" t="inlineStr">
        <is>
          <t>Yes</t>
        </is>
      </c>
      <c r="L1225" t="inlineStr"/>
      <c r="M1225" t="inlineStr">
        <is>
          <t>https://fixturedownload.com/download/nba-2024-UTC.csv</t>
        </is>
      </c>
    </row>
    <row r="1226">
      <c r="A1226" t="n">
        <v>1194</v>
      </c>
      <c r="B1226" t="n">
        <v>23</v>
      </c>
      <c r="C1226" t="inlineStr">
        <is>
          <t>13/04/2025 19:30</t>
        </is>
      </c>
      <c r="D1226" t="inlineStr">
        <is>
          <t>FedExForum</t>
        </is>
      </c>
      <c r="E1226" t="inlineStr">
        <is>
          <t>Memphis Grizzlies</t>
        </is>
      </c>
      <c r="F1226" t="inlineStr">
        <is>
          <t>Dallas Mavericks</t>
        </is>
      </c>
      <c r="G1226" t="n">
        <v>132</v>
      </c>
      <c r="H1226" t="n">
        <v>97</v>
      </c>
      <c r="I1226" t="inlineStr">
        <is>
          <t>Memphis Grizzlies</t>
        </is>
      </c>
      <c r="J1226" t="inlineStr">
        <is>
          <t>Dallas Mavericks</t>
        </is>
      </c>
      <c r="K1226" t="inlineStr">
        <is>
          <t>Yes</t>
        </is>
      </c>
      <c r="L1226" t="inlineStr"/>
      <c r="M1226" t="inlineStr">
        <is>
          <t>https://fixturedownload.com/download/nba-2024-UTC.csv</t>
        </is>
      </c>
    </row>
    <row r="1227">
      <c r="A1227" t="n">
        <v>1195</v>
      </c>
      <c r="B1227" t="n">
        <v>23</v>
      </c>
      <c r="C1227" t="inlineStr">
        <is>
          <t>13/04/2025 19:30</t>
        </is>
      </c>
      <c r="D1227" t="inlineStr">
        <is>
          <t>Target Center</t>
        </is>
      </c>
      <c r="E1227" t="inlineStr">
        <is>
          <t>Minnesota Timberwolves</t>
        </is>
      </c>
      <c r="F1227" t="inlineStr">
        <is>
          <t>Utah Jazz</t>
        </is>
      </c>
      <c r="G1227" t="n">
        <v>116</v>
      </c>
      <c r="H1227" t="n">
        <v>105</v>
      </c>
      <c r="I1227" t="inlineStr">
        <is>
          <t>Minnesota Timberwolves</t>
        </is>
      </c>
      <c r="J1227" t="inlineStr">
        <is>
          <t>Utah Jazz</t>
        </is>
      </c>
      <c r="K1227" t="inlineStr">
        <is>
          <t>Yes</t>
        </is>
      </c>
      <c r="L1227" t="inlineStr"/>
      <c r="M1227" t="inlineStr">
        <is>
          <t>https://fixturedownload.com/download/nba-2024-UTC.csv</t>
        </is>
      </c>
    </row>
    <row r="1228">
      <c r="A1228" t="n">
        <v>1196</v>
      </c>
      <c r="B1228" t="n">
        <v>23</v>
      </c>
      <c r="C1228" t="inlineStr">
        <is>
          <t>13/04/2025 19:30</t>
        </is>
      </c>
      <c r="D1228" t="inlineStr">
        <is>
          <t>Smoothie King Center</t>
        </is>
      </c>
      <c r="E1228" t="inlineStr">
        <is>
          <t>New Orleans Pelicans</t>
        </is>
      </c>
      <c r="F1228" t="inlineStr">
        <is>
          <t>Oklahoma City Thunder</t>
        </is>
      </c>
      <c r="G1228" t="n">
        <v>100</v>
      </c>
      <c r="H1228" t="n">
        <v>115</v>
      </c>
      <c r="I1228" t="inlineStr">
        <is>
          <t>Oklahoma City Thunder</t>
        </is>
      </c>
      <c r="J1228" t="inlineStr">
        <is>
          <t>New Orleans Pelicans</t>
        </is>
      </c>
      <c r="K1228" t="inlineStr">
        <is>
          <t>Yes</t>
        </is>
      </c>
      <c r="L1228" t="inlineStr"/>
      <c r="M1228" t="inlineStr">
        <is>
          <t>https://fixturedownload.com/download/nba-2024-UTC.csv</t>
        </is>
      </c>
    </row>
    <row r="1229">
      <c r="A1229" t="n">
        <v>1197</v>
      </c>
      <c r="B1229" t="n">
        <v>23</v>
      </c>
      <c r="C1229" t="inlineStr">
        <is>
          <t>13/04/2025 19:30</t>
        </is>
      </c>
      <c r="D1229" t="inlineStr">
        <is>
          <t>Frost Bank Center</t>
        </is>
      </c>
      <c r="E1229" t="inlineStr">
        <is>
          <t>San Antonio Spurs</t>
        </is>
      </c>
      <c r="F1229" t="inlineStr">
        <is>
          <t>Toronto Raptors</t>
        </is>
      </c>
      <c r="G1229" t="n">
        <v>125</v>
      </c>
      <c r="H1229" t="n">
        <v>118</v>
      </c>
      <c r="I1229" t="inlineStr">
        <is>
          <t>San Antonio Spurs</t>
        </is>
      </c>
      <c r="J1229" t="inlineStr">
        <is>
          <t>Toronto Raptors</t>
        </is>
      </c>
      <c r="K1229" t="inlineStr">
        <is>
          <t>Yes</t>
        </is>
      </c>
      <c r="L1229" t="inlineStr"/>
      <c r="M1229" t="inlineStr">
        <is>
          <t>https://fixturedownload.com/download/nba-2024-UTC.csv</t>
        </is>
      </c>
    </row>
    <row r="1230">
      <c r="A1230" t="n">
        <v>1198</v>
      </c>
      <c r="B1230" t="n">
        <v>23</v>
      </c>
      <c r="C1230" t="inlineStr">
        <is>
          <t>13/04/2025 19:30</t>
        </is>
      </c>
      <c r="D1230" t="inlineStr">
        <is>
          <t>Chase Center</t>
        </is>
      </c>
      <c r="E1230" t="inlineStr">
        <is>
          <t>Golden State Warriors</t>
        </is>
      </c>
      <c r="F1230" t="inlineStr">
        <is>
          <t>LA Clippers</t>
        </is>
      </c>
      <c r="G1230" t="n">
        <v>119</v>
      </c>
      <c r="H1230" t="n">
        <v>124</v>
      </c>
      <c r="I1230" t="inlineStr">
        <is>
          <t>LA Clippers</t>
        </is>
      </c>
      <c r="J1230" t="inlineStr">
        <is>
          <t>Golden State Warriors</t>
        </is>
      </c>
      <c r="K1230" t="inlineStr">
        <is>
          <t>Yes</t>
        </is>
      </c>
      <c r="L1230" t="inlineStr"/>
      <c r="M1230" t="inlineStr">
        <is>
          <t>https://fixturedownload.com/download/nba-2024-UTC.csv</t>
        </is>
      </c>
    </row>
    <row r="1231">
      <c r="A1231" t="n">
        <v>1199</v>
      </c>
      <c r="B1231" t="n">
        <v>23</v>
      </c>
      <c r="C1231" t="inlineStr">
        <is>
          <t>13/04/2025 19:30</t>
        </is>
      </c>
      <c r="D1231" t="inlineStr">
        <is>
          <t>Moda Center</t>
        </is>
      </c>
      <c r="E1231" t="inlineStr">
        <is>
          <t>Portland Trail Blazers</t>
        </is>
      </c>
      <c r="F1231" t="inlineStr">
        <is>
          <t>Los Angeles Lakers</t>
        </is>
      </c>
      <c r="G1231" t="n">
        <v>109</v>
      </c>
      <c r="H1231" t="n">
        <v>81</v>
      </c>
      <c r="I1231" t="inlineStr">
        <is>
          <t>Portland Trail Blazers</t>
        </is>
      </c>
      <c r="J1231" t="inlineStr">
        <is>
          <t>Los Angeles Lakers</t>
        </is>
      </c>
      <c r="K1231" t="inlineStr">
        <is>
          <t>Yes</t>
        </is>
      </c>
      <c r="L1231" t="inlineStr"/>
      <c r="M1231" t="inlineStr">
        <is>
          <t>https://fixturedownload.com/download/nba-2024-UTC.csv</t>
        </is>
      </c>
    </row>
    <row r="1232">
      <c r="A1232" t="n">
        <v>1200</v>
      </c>
      <c r="B1232" t="n">
        <v>23</v>
      </c>
      <c r="C1232" t="inlineStr">
        <is>
          <t>13/04/2025 19:30</t>
        </is>
      </c>
      <c r="D1232" t="inlineStr">
        <is>
          <t>Golden 1 Center</t>
        </is>
      </c>
      <c r="E1232" t="inlineStr">
        <is>
          <t>Sacramento Kings</t>
        </is>
      </c>
      <c r="F1232" t="inlineStr">
        <is>
          <t>Phoenix Suns</t>
        </is>
      </c>
      <c r="G1232" t="n">
        <v>109</v>
      </c>
      <c r="H1232" t="n">
        <v>98</v>
      </c>
      <c r="I1232" t="inlineStr">
        <is>
          <t>Sacramento Kings</t>
        </is>
      </c>
      <c r="J1232" t="inlineStr">
        <is>
          <t>Phoenix Suns</t>
        </is>
      </c>
      <c r="K1232" t="inlineStr">
        <is>
          <t>Yes</t>
        </is>
      </c>
      <c r="L1232" t="inlineStr"/>
      <c r="M1232" t="inlineStr">
        <is>
          <t>https://fixturedownload.com/download/nba-2024-UTC.csv</t>
        </is>
      </c>
    </row>
  </sheetData>
  <autoFilter ref="A1:M1232"/>
  <pageMargins left="0.75" right="0.75" top="1" bottom="1" header="0.5" footer="0.5"/>
</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1:F31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4" customWidth="1" min="1" max="1"/>
    <ns0:col width="20" customWidth="1" min="2" max="2"/>
    <ns0:col width="10" customWidth="1" min="3" max="3"/>
    <ns0:col width="10" customWidth="1" min="4" max="4"/>
    <ns0:col width="15" customWidth="1" min="5" max="5"/>
    <ns0:col width="10" customWidth="1" min="6" max="6"/>
  </ns0:cols>
  <ns0:sheetData>
    <ns0:row r="1">
      <ns0:c r="A1" s="4" t="inlineStr">
        <ns0:is>
          <ns0:t>Team</ns0:t>
        </ns0:is>
      </ns0:c>
      <ns0:c r="B1" s="4" t="inlineStr">
        <ns0:is>
          <ns0:t>Regular-Season Games</ns0:t>
        </ns0:is>
      </ns0:c>
      <ns0:c r="C1" s="4" t="inlineStr">
        <ns0:is>
          <ns0:t>Wins</ns0:t>
        </ns0:is>
      </ns0:c>
      <ns0:c r="D1" s="4" t="inlineStr">
        <ns0:is>
          <ns0:t>Losses</ns0:t>
        </ns0:is>
      </ns0:c>
      <ns0:c r="E1" s="4" t="inlineStr">
        <ns0:is>
          <ns0:t>Wins + Losses</ns0:t>
        </ns0:is>
      </ns0:c>
      <ns0:c r="F1" s="4" t="inlineStr">
        <ns0:is>
          <ns0:t>Check</ns0:t>
        </ns0:is>
      </ns0:c>
    </ns0:row>
    <ns0:row r="2">
      <ns0:c r="A2" t="inlineStr">
        <ns0:is>
          <ns0:t>Atlanta Hawks</ns0:t>
        </ns0:is>
      </ns0:c>
      <ns0:c r="B2">
        <ns0:f>COUNTIFS(Games_Raw!$K$2:$K$1232,"Yes",Games_Raw!$E$2:$E$1232,"Atlanta Hawks")+COUNTIFS(Games_Raw!$K$2:$K$1232,"Yes",Games_Raw!$F$2:$F$1232,"Atlanta Hawks")</ns0:f>
        <ns0:v>82</ns0:v>
      </ns0:c>
      <ns0:c r="C2">
        <ns0:f>COUNTIFS(Games_Raw!$K$2:$K$1232,"Yes",Games_Raw!$I$2:$I$1232,"Atlanta Hawks")</ns0:f>
        <ns0:v>40</ns0:v>
      </ns0:c>
      <ns0:c r="D2">
        <ns0:f>COUNTIFS(Games_Raw!$K$2:$K$1232,"Yes",Games_Raw!$J$2:$J$1232,"Atlanta Hawks")</ns0:f>
        <ns0:v>42</ns0:v>
      </ns0:c>
      <ns0:c r="E2">
        <ns0:f>C2+D2</ns0:f>
        <ns0:v>82</ns0:v>
      </ns0:c>
      <ns0:c r="F2" t="str">
        <ns0:f>IF(AND(B2=82,E2=82),"OK","CHECK")</ns0:f>
        <ns0:v>OK</ns0:v>
      </ns0:c>
    </ns0:row>
    <ns0:row r="3">
      <ns0:c r="A3" t="inlineStr">
        <ns0:is>
          <ns0:t>Boston Celtics</ns0:t>
        </ns0:is>
      </ns0:c>
      <ns0:c r="B3">
        <ns0:f>COUNTIFS(Games_Raw!$K$2:$K$1232,"Yes",Games_Raw!$E$2:$E$1232,"Boston Celtics")+COUNTIFS(Games_Raw!$K$2:$K$1232,"Yes",Games_Raw!$F$2:$F$1232,"Boston Celtics")</ns0:f>
        <ns0:v>82</ns0:v>
      </ns0:c>
      <ns0:c r="C3">
        <ns0:f>COUNTIFS(Games_Raw!$K$2:$K$1232,"Yes",Games_Raw!$I$2:$I$1232,"Boston Celtics")</ns0:f>
        <ns0:v>61</ns0:v>
      </ns0:c>
      <ns0:c r="D3">
        <ns0:f>COUNTIFS(Games_Raw!$K$2:$K$1232,"Yes",Games_Raw!$J$2:$J$1232,"Boston Celtics")</ns0:f>
        <ns0:v>21</ns0:v>
      </ns0:c>
      <ns0:c r="E3">
        <ns0:f>C3+D3</ns0:f>
        <ns0:v>82</ns0:v>
      </ns0:c>
      <ns0:c r="F3" t="str">
        <ns0:f>IF(AND(B3=82,E3=82),"OK","CHECK")</ns0:f>
        <ns0:v>OK</ns0:v>
      </ns0:c>
    </ns0:row>
    <ns0:row r="4">
      <ns0:c r="A4" t="inlineStr">
        <ns0:is>
          <ns0:t>Brooklyn Nets</ns0:t>
        </ns0:is>
      </ns0:c>
      <ns0:c r="B4">
        <ns0:f>COUNTIFS(Games_Raw!$K$2:$K$1232,"Yes",Games_Raw!$E$2:$E$1232,"Brooklyn Nets")+COUNTIFS(Games_Raw!$K$2:$K$1232,"Yes",Games_Raw!$F$2:$F$1232,"Brooklyn Nets")</ns0:f>
        <ns0:v>82</ns0:v>
      </ns0:c>
      <ns0:c r="C4">
        <ns0:f>COUNTIFS(Games_Raw!$K$2:$K$1232,"Yes",Games_Raw!$I$2:$I$1232,"Brooklyn Nets")</ns0:f>
        <ns0:v>26</ns0:v>
      </ns0:c>
      <ns0:c r="D4">
        <ns0:f>COUNTIFS(Games_Raw!$K$2:$K$1232,"Yes",Games_Raw!$J$2:$J$1232,"Brooklyn Nets")</ns0:f>
        <ns0:v>56</ns0:v>
      </ns0:c>
      <ns0:c r="E4">
        <ns0:f>C4+D4</ns0:f>
        <ns0:v>82</ns0:v>
      </ns0:c>
      <ns0:c r="F4" t="str">
        <ns0:f>IF(AND(B4=82,E4=82),"OK","CHECK")</ns0:f>
        <ns0:v>OK</ns0:v>
      </ns0:c>
    </ns0:row>
    <ns0:row r="5">
      <ns0:c r="A5" t="inlineStr">
        <ns0:is>
          <ns0:t>Charlotte Hornets</ns0:t>
        </ns0:is>
      </ns0:c>
      <ns0:c r="B5">
        <ns0:f>COUNTIFS(Games_Raw!$K$2:$K$1232,"Yes",Games_Raw!$E$2:$E$1232,"Charlotte Hornets")+COUNTIFS(Games_Raw!$K$2:$K$1232,"Yes",Games_Raw!$F$2:$F$1232,"Charlotte Hornets")</ns0:f>
        <ns0:v>82</ns0:v>
      </ns0:c>
      <ns0:c r="C5">
        <ns0:f>COUNTIFS(Games_Raw!$K$2:$K$1232,"Yes",Games_Raw!$I$2:$I$1232,"Charlotte Hornets")</ns0:f>
        <ns0:v>19</ns0:v>
      </ns0:c>
      <ns0:c r="D5">
        <ns0:f>COUNTIFS(Games_Raw!$K$2:$K$1232,"Yes",Games_Raw!$J$2:$J$1232,"Charlotte Hornets")</ns0:f>
        <ns0:v>63</ns0:v>
      </ns0:c>
      <ns0:c r="E5">
        <ns0:f>C5+D5</ns0:f>
        <ns0:v>82</ns0:v>
      </ns0:c>
      <ns0:c r="F5" t="str">
        <ns0:f>IF(AND(B5=82,E5=82),"OK","CHECK")</ns0:f>
        <ns0:v>OK</ns0:v>
      </ns0:c>
    </ns0:row>
    <ns0:row r="6">
      <ns0:c r="A6" t="inlineStr">
        <ns0:is>
          <ns0:t>Chicago Bulls</ns0:t>
        </ns0:is>
      </ns0:c>
      <ns0:c r="B6">
        <ns0:f>COUNTIFS(Games_Raw!$K$2:$K$1232,"Yes",Games_Raw!$E$2:$E$1232,"Chicago Bulls")+COUNTIFS(Games_Raw!$K$2:$K$1232,"Yes",Games_Raw!$F$2:$F$1232,"Chicago Bulls")</ns0:f>
        <ns0:v>82</ns0:v>
      </ns0:c>
      <ns0:c r="C6">
        <ns0:f>COUNTIFS(Games_Raw!$K$2:$K$1232,"Yes",Games_Raw!$I$2:$I$1232,"Chicago Bulls")</ns0:f>
        <ns0:v>39</ns0:v>
      </ns0:c>
      <ns0:c r="D6">
        <ns0:f>COUNTIFS(Games_Raw!$K$2:$K$1232,"Yes",Games_Raw!$J$2:$J$1232,"Chicago Bulls")</ns0:f>
        <ns0:v>43</ns0:v>
      </ns0:c>
      <ns0:c r="E6">
        <ns0:f>C6+D6</ns0:f>
        <ns0:v>82</ns0:v>
      </ns0:c>
      <ns0:c r="F6" t="str">
        <ns0:f>IF(AND(B6=82,E6=82),"OK","CHECK")</ns0:f>
        <ns0:v>OK</ns0:v>
      </ns0:c>
    </ns0:row>
    <ns0:row r="7">
      <ns0:c r="A7" t="inlineStr">
        <ns0:is>
          <ns0:t>Cleveland Cavaliers</ns0:t>
        </ns0:is>
      </ns0:c>
      <ns0:c r="B7">
        <ns0:f>COUNTIFS(Games_Raw!$K$2:$K$1232,"Yes",Games_Raw!$E$2:$E$1232,"Cleveland Cavaliers")+COUNTIFS(Games_Raw!$K$2:$K$1232,"Yes",Games_Raw!$F$2:$F$1232,"Cleveland Cavaliers")</ns0:f>
        <ns0:v>82</ns0:v>
      </ns0:c>
      <ns0:c r="C7">
        <ns0:f>COUNTIFS(Games_Raw!$K$2:$K$1232,"Yes",Games_Raw!$I$2:$I$1232,"Cleveland Cavaliers")</ns0:f>
        <ns0:v>64</ns0:v>
      </ns0:c>
      <ns0:c r="D7">
        <ns0:f>COUNTIFS(Games_Raw!$K$2:$K$1232,"Yes",Games_Raw!$J$2:$J$1232,"Cleveland Cavaliers")</ns0:f>
        <ns0:v>18</ns0:v>
      </ns0:c>
      <ns0:c r="E7">
        <ns0:f>C7+D7</ns0:f>
        <ns0:v>82</ns0:v>
      </ns0:c>
      <ns0:c r="F7" t="str">
        <ns0:f>IF(AND(B7=82,E7=82),"OK","CHECK")</ns0:f>
        <ns0:v>OK</ns0:v>
      </ns0:c>
    </ns0:row>
    <ns0:row r="8">
      <ns0:c r="A8" t="inlineStr">
        <ns0:is>
          <ns0:t>Dallas Mavericks</ns0:t>
        </ns0:is>
      </ns0:c>
      <ns0:c r="B8">
        <ns0:f>COUNTIFS(Games_Raw!$K$2:$K$1232,"Yes",Games_Raw!$E$2:$E$1232,"Dallas Mavericks")+COUNTIFS(Games_Raw!$K$2:$K$1232,"Yes",Games_Raw!$F$2:$F$1232,"Dallas Mavericks")</ns0:f>
        <ns0:v>82</ns0:v>
      </ns0:c>
      <ns0:c r="C8">
        <ns0:f>COUNTIFS(Games_Raw!$K$2:$K$1232,"Yes",Games_Raw!$I$2:$I$1232,"Dallas Mavericks")</ns0:f>
        <ns0:v>39</ns0:v>
      </ns0:c>
      <ns0:c r="D8">
        <ns0:f>COUNTIFS(Games_Raw!$K$2:$K$1232,"Yes",Games_Raw!$J$2:$J$1232,"Dallas Mavericks")</ns0:f>
        <ns0:v>43</ns0:v>
      </ns0:c>
      <ns0:c r="E8">
        <ns0:f>C8+D8</ns0:f>
        <ns0:v>82</ns0:v>
      </ns0:c>
      <ns0:c r="F8" t="str">
        <ns0:f>IF(AND(B8=82,E8=82),"OK","CHECK")</ns0:f>
        <ns0:v>OK</ns0:v>
      </ns0:c>
    </ns0:row>
    <ns0:row r="9">
      <ns0:c r="A9" t="inlineStr">
        <ns0:is>
          <ns0:t>Denver Nuggets</ns0:t>
        </ns0:is>
      </ns0:c>
      <ns0:c r="B9">
        <ns0:f>COUNTIFS(Games_Raw!$K$2:$K$1232,"Yes",Games_Raw!$E$2:$E$1232,"Denver Nuggets")+COUNTIFS(Games_Raw!$K$2:$K$1232,"Yes",Games_Raw!$F$2:$F$1232,"Denver Nuggets")</ns0:f>
        <ns0:v>82</ns0:v>
      </ns0:c>
      <ns0:c r="C9">
        <ns0:f>COUNTIFS(Games_Raw!$K$2:$K$1232,"Yes",Games_Raw!$I$2:$I$1232,"Denver Nuggets")</ns0:f>
        <ns0:v>50</ns0:v>
      </ns0:c>
      <ns0:c r="D9">
        <ns0:f>COUNTIFS(Games_Raw!$K$2:$K$1232,"Yes",Games_Raw!$J$2:$J$1232,"Denver Nuggets")</ns0:f>
        <ns0:v>32</ns0:v>
      </ns0:c>
      <ns0:c r="E9">
        <ns0:f>C9+D9</ns0:f>
        <ns0:v>82</ns0:v>
      </ns0:c>
      <ns0:c r="F9" t="str">
        <ns0:f>IF(AND(B9=82,E9=82),"OK","CHECK")</ns0:f>
        <ns0:v>OK</ns0:v>
      </ns0:c>
    </ns0:row>
    <ns0:row r="10">
      <ns0:c r="A10" t="inlineStr">
        <ns0:is>
          <ns0:t>Detroit Pistons</ns0:t>
        </ns0:is>
      </ns0:c>
      <ns0:c r="B10">
        <ns0:f>COUNTIFS(Games_Raw!$K$2:$K$1232,"Yes",Games_Raw!$E$2:$E$1232,"Detroit Pistons")+COUNTIFS(Games_Raw!$K$2:$K$1232,"Yes",Games_Raw!$F$2:$F$1232,"Detroit Pistons")</ns0:f>
        <ns0:v>82</ns0:v>
      </ns0:c>
      <ns0:c r="C10">
        <ns0:f>COUNTIFS(Games_Raw!$K$2:$K$1232,"Yes",Games_Raw!$I$2:$I$1232,"Detroit Pistons")</ns0:f>
        <ns0:v>44</ns0:v>
      </ns0:c>
      <ns0:c r="D10">
        <ns0:f>COUNTIFS(Games_Raw!$K$2:$K$1232,"Yes",Games_Raw!$J$2:$J$1232,"Detroit Pistons")</ns0:f>
        <ns0:v>38</ns0:v>
      </ns0:c>
      <ns0:c r="E10">
        <ns0:f>C10+D10</ns0:f>
        <ns0:v>82</ns0:v>
      </ns0:c>
      <ns0:c r="F10" t="str">
        <ns0:f>IF(AND(B10=82,E10=82),"OK","CHECK")</ns0:f>
        <ns0:v>OK</ns0:v>
      </ns0:c>
    </ns0:row>
    <ns0:row r="11">
      <ns0:c r="A11" t="inlineStr">
        <ns0:is>
          <ns0:t>Golden State Warriors</ns0:t>
        </ns0:is>
      </ns0:c>
      <ns0:c r="B11">
        <ns0:f>COUNTIFS(Games_Raw!$K$2:$K$1232,"Yes",Games_Raw!$E$2:$E$1232,"Golden State Warriors")+COUNTIFS(Games_Raw!$K$2:$K$1232,"Yes",Games_Raw!$F$2:$F$1232,"Golden State Warriors")</ns0:f>
        <ns0:v>82</ns0:v>
      </ns0:c>
      <ns0:c r="C11">
        <ns0:f>COUNTIFS(Games_Raw!$K$2:$K$1232,"Yes",Games_Raw!$I$2:$I$1232,"Golden State Warriors")</ns0:f>
        <ns0:v>48</ns0:v>
      </ns0:c>
      <ns0:c r="D11">
        <ns0:f>COUNTIFS(Games_Raw!$K$2:$K$1232,"Yes",Games_Raw!$J$2:$J$1232,"Golden State Warriors")</ns0:f>
        <ns0:v>34</ns0:v>
      </ns0:c>
      <ns0:c r="E11">
        <ns0:f>C11+D11</ns0:f>
        <ns0:v>82</ns0:v>
      </ns0:c>
      <ns0:c r="F11" t="str">
        <ns0:f>IF(AND(B11=82,E11=82),"OK","CHECK")</ns0:f>
        <ns0:v>OK</ns0:v>
      </ns0:c>
    </ns0:row>
    <ns0:row r="12">
      <ns0:c r="A12" t="inlineStr">
        <ns0:is>
          <ns0:t>Houston Rockets</ns0:t>
        </ns0:is>
      </ns0:c>
      <ns0:c r="B12">
        <ns0:f>COUNTIFS(Games_Raw!$K$2:$K$1232,"Yes",Games_Raw!$E$2:$E$1232,"Houston Rockets")+COUNTIFS(Games_Raw!$K$2:$K$1232,"Yes",Games_Raw!$F$2:$F$1232,"Houston Rockets")</ns0:f>
        <ns0:v>82</ns0:v>
      </ns0:c>
      <ns0:c r="C12">
        <ns0:f>COUNTIFS(Games_Raw!$K$2:$K$1232,"Yes",Games_Raw!$I$2:$I$1232,"Houston Rockets")</ns0:f>
        <ns0:v>52</ns0:v>
      </ns0:c>
      <ns0:c r="D12">
        <ns0:f>COUNTIFS(Games_Raw!$K$2:$K$1232,"Yes",Games_Raw!$J$2:$J$1232,"Houston Rockets")</ns0:f>
        <ns0:v>30</ns0:v>
      </ns0:c>
      <ns0:c r="E12">
        <ns0:f>C12+D12</ns0:f>
        <ns0:v>82</ns0:v>
      </ns0:c>
      <ns0:c r="F12" t="str">
        <ns0:f>IF(AND(B12=82,E12=82),"OK","CHECK")</ns0:f>
        <ns0:v>OK</ns0:v>
      </ns0:c>
    </ns0:row>
    <ns0:row r="13">
      <ns0:c r="A13" t="inlineStr">
        <ns0:is>
          <ns0:t>Indiana Pacers</ns0:t>
        </ns0:is>
      </ns0:c>
      <ns0:c r="B13">
        <ns0:f>COUNTIFS(Games_Raw!$K$2:$K$1232,"Yes",Games_Raw!$E$2:$E$1232,"Indiana Pacers")+COUNTIFS(Games_Raw!$K$2:$K$1232,"Yes",Games_Raw!$F$2:$F$1232,"Indiana Pacers")</ns0:f>
        <ns0:v>82</ns0:v>
      </ns0:c>
      <ns0:c r="C13">
        <ns0:f>COUNTIFS(Games_Raw!$K$2:$K$1232,"Yes",Games_Raw!$I$2:$I$1232,"Indiana Pacers")</ns0:f>
        <ns0:v>50</ns0:v>
      </ns0:c>
      <ns0:c r="D13">
        <ns0:f>COUNTIFS(Games_Raw!$K$2:$K$1232,"Yes",Games_Raw!$J$2:$J$1232,"Indiana Pacers")</ns0:f>
        <ns0:v>32</ns0:v>
      </ns0:c>
      <ns0:c r="E13">
        <ns0:f>C13+D13</ns0:f>
        <ns0:v>82</ns0:v>
      </ns0:c>
      <ns0:c r="F13" t="str">
        <ns0:f>IF(AND(B13=82,E13=82),"OK","CHECK")</ns0:f>
        <ns0:v>OK</ns0:v>
      </ns0:c>
    </ns0:row>
    <ns0:row r="14">
      <ns0:c r="A14" t="inlineStr">
        <ns0:is>
          <ns0:t>LA Clippers</ns0:t>
        </ns0:is>
      </ns0:c>
      <ns0:c r="B14">
        <ns0:f>COUNTIFS(Games_Raw!$K$2:$K$1232,"Yes",Games_Raw!$E$2:$E$1232,"LA Clippers")+COUNTIFS(Games_Raw!$K$2:$K$1232,"Yes",Games_Raw!$F$2:$F$1232,"LA Clippers")</ns0:f>
        <ns0:v>82</ns0:v>
      </ns0:c>
      <ns0:c r="C14">
        <ns0:f>COUNTIFS(Games_Raw!$K$2:$K$1232,"Yes",Games_Raw!$I$2:$I$1232,"LA Clippers")</ns0:f>
        <ns0:v>50</ns0:v>
      </ns0:c>
      <ns0:c r="D14">
        <ns0:f>COUNTIFS(Games_Raw!$K$2:$K$1232,"Yes",Games_Raw!$J$2:$J$1232,"LA Clippers")</ns0:f>
        <ns0:v>32</ns0:v>
      </ns0:c>
      <ns0:c r="E14">
        <ns0:f>C14+D14</ns0:f>
        <ns0:v>82</ns0:v>
      </ns0:c>
      <ns0:c r="F14" t="str">
        <ns0:f>IF(AND(B14=82,E14=82),"OK","CHECK")</ns0:f>
        <ns0:v>OK</ns0:v>
      </ns0:c>
    </ns0:row>
    <ns0:row r="15">
      <ns0:c r="A15" t="inlineStr">
        <ns0:is>
          <ns0:t>Los Angeles Lakers</ns0:t>
        </ns0:is>
      </ns0:c>
      <ns0:c r="B15">
        <ns0:f>COUNTIFS(Games_Raw!$K$2:$K$1232,"Yes",Games_Raw!$E$2:$E$1232,"Los Angeles Lakers")+COUNTIFS(Games_Raw!$K$2:$K$1232,"Yes",Games_Raw!$F$2:$F$1232,"Los Angeles Lakers")</ns0:f>
        <ns0:v>82</ns0:v>
      </ns0:c>
      <ns0:c r="C15">
        <ns0:f>COUNTIFS(Games_Raw!$K$2:$K$1232,"Yes",Games_Raw!$I$2:$I$1232,"Los Angeles Lakers")</ns0:f>
        <ns0:v>50</ns0:v>
      </ns0:c>
      <ns0:c r="D15">
        <ns0:f>COUNTIFS(Games_Raw!$K$2:$K$1232,"Yes",Games_Raw!$J$2:$J$1232,"Los Angeles Lakers")</ns0:f>
        <ns0:v>32</ns0:v>
      </ns0:c>
      <ns0:c r="E15">
        <ns0:f>C15+D15</ns0:f>
        <ns0:v>82</ns0:v>
      </ns0:c>
      <ns0:c r="F15" t="str">
        <ns0:f>IF(AND(B15=82,E15=82),"OK","CHECK")</ns0:f>
        <ns0:v>OK</ns0:v>
      </ns0:c>
    </ns0:row>
    <ns0:row r="16">
      <ns0:c r="A16" t="inlineStr">
        <ns0:is>
          <ns0:t>Memphis Grizzlies</ns0:t>
        </ns0:is>
      </ns0:c>
      <ns0:c r="B16">
        <ns0:f>COUNTIFS(Games_Raw!$K$2:$K$1232,"Yes",Games_Raw!$E$2:$E$1232,"Memphis Grizzlies")+COUNTIFS(Games_Raw!$K$2:$K$1232,"Yes",Games_Raw!$F$2:$F$1232,"Memphis Grizzlies")</ns0:f>
        <ns0:v>82</ns0:v>
      </ns0:c>
      <ns0:c r="C16">
        <ns0:f>COUNTIFS(Games_Raw!$K$2:$K$1232,"Yes",Games_Raw!$I$2:$I$1232,"Memphis Grizzlies")</ns0:f>
        <ns0:v>48</ns0:v>
      </ns0:c>
      <ns0:c r="D16">
        <ns0:f>COUNTIFS(Games_Raw!$K$2:$K$1232,"Yes",Games_Raw!$J$2:$J$1232,"Memphis Grizzlies")</ns0:f>
        <ns0:v>34</ns0:v>
      </ns0:c>
      <ns0:c r="E16">
        <ns0:f>C16+D16</ns0:f>
        <ns0:v>82</ns0:v>
      </ns0:c>
      <ns0:c r="F16" t="str">
        <ns0:f>IF(AND(B16=82,E16=82),"OK","CHECK")</ns0:f>
        <ns0:v>OK</ns0:v>
      </ns0:c>
    </ns0:row>
    <ns0:row r="17">
      <ns0:c r="A17" t="inlineStr">
        <ns0:is>
          <ns0:t>Miami Heat</ns0:t>
        </ns0:is>
      </ns0:c>
      <ns0:c r="B17">
        <ns0:f>COUNTIFS(Games_Raw!$K$2:$K$1232,"Yes",Games_Raw!$E$2:$E$1232,"Miami Heat")+COUNTIFS(Games_Raw!$K$2:$K$1232,"Yes",Games_Raw!$F$2:$F$1232,"Miami Heat")</ns0:f>
        <ns0:v>82</ns0:v>
      </ns0:c>
      <ns0:c r="C17">
        <ns0:f>COUNTIFS(Games_Raw!$K$2:$K$1232,"Yes",Games_Raw!$I$2:$I$1232,"Miami Heat")</ns0:f>
        <ns0:v>37</ns0:v>
      </ns0:c>
      <ns0:c r="D17">
        <ns0:f>COUNTIFS(Games_Raw!$K$2:$K$1232,"Yes",Games_Raw!$J$2:$J$1232,"Miami Heat")</ns0:f>
        <ns0:v>45</ns0:v>
      </ns0:c>
      <ns0:c r="E17">
        <ns0:f>C17+D17</ns0:f>
        <ns0:v>82</ns0:v>
      </ns0:c>
      <ns0:c r="F17" t="str">
        <ns0:f>IF(AND(B17=82,E17=82),"OK","CHECK")</ns0:f>
        <ns0:v>OK</ns0:v>
      </ns0:c>
    </ns0:row>
    <ns0:row r="18">
      <ns0:c r="A18" t="inlineStr">
        <ns0:is>
          <ns0:t>Milwaukee Bucks</ns0:t>
        </ns0:is>
      </ns0:c>
      <ns0:c r="B18">
        <ns0:f>COUNTIFS(Games_Raw!$K$2:$K$1232,"Yes",Games_Raw!$E$2:$E$1232,"Milwaukee Bucks")+COUNTIFS(Games_Raw!$K$2:$K$1232,"Yes",Games_Raw!$F$2:$F$1232,"Milwaukee Bucks")</ns0:f>
        <ns0:v>82</ns0:v>
      </ns0:c>
      <ns0:c r="C18">
        <ns0:f>COUNTIFS(Games_Raw!$K$2:$K$1232,"Yes",Games_Raw!$I$2:$I$1232,"Milwaukee Bucks")</ns0:f>
        <ns0:v>48</ns0:v>
      </ns0:c>
      <ns0:c r="D18">
        <ns0:f>COUNTIFS(Games_Raw!$K$2:$K$1232,"Yes",Games_Raw!$J$2:$J$1232,"Milwaukee Bucks")</ns0:f>
        <ns0:v>34</ns0:v>
      </ns0:c>
      <ns0:c r="E18">
        <ns0:f>C18+D18</ns0:f>
        <ns0:v>82</ns0:v>
      </ns0:c>
      <ns0:c r="F18" t="str">
        <ns0:f>IF(AND(B18=82,E18=82),"OK","CHECK")</ns0:f>
        <ns0:v>OK</ns0:v>
      </ns0:c>
    </ns0:row>
    <ns0:row r="19">
      <ns0:c r="A19" t="inlineStr">
        <ns0:is>
          <ns0:t>Minnesota Timberwolves</ns0:t>
        </ns0:is>
      </ns0:c>
      <ns0:c r="B19">
        <ns0:f>COUNTIFS(Games_Raw!$K$2:$K$1232,"Yes",Games_Raw!$E$2:$E$1232,"Minnesota Timberwolves")+COUNTIFS(Games_Raw!$K$2:$K$1232,"Yes",Games_Raw!$F$2:$F$1232,"Minnesota Timberwolves")</ns0:f>
        <ns0:v>82</ns0:v>
      </ns0:c>
      <ns0:c r="C19">
        <ns0:f>COUNTIFS(Games_Raw!$K$2:$K$1232,"Yes",Games_Raw!$I$2:$I$1232,"Minnesota Timberwolves")</ns0:f>
        <ns0:v>49</ns0:v>
      </ns0:c>
      <ns0:c r="D19">
        <ns0:f>COUNTIFS(Games_Raw!$K$2:$K$1232,"Yes",Games_Raw!$J$2:$J$1232,"Minnesota Timberwolves")</ns0:f>
        <ns0:v>33</ns0:v>
      </ns0:c>
      <ns0:c r="E19">
        <ns0:f>C19+D19</ns0:f>
        <ns0:v>82</ns0:v>
      </ns0:c>
      <ns0:c r="F19" t="str">
        <ns0:f>IF(AND(B19=82,E19=82),"OK","CHECK")</ns0:f>
        <ns0:v>OK</ns0:v>
      </ns0:c>
    </ns0:row>
    <ns0:row r="20">
      <ns0:c r="A20" t="inlineStr">
        <ns0:is>
          <ns0:t>New Orleans Pelicans</ns0:t>
        </ns0:is>
      </ns0:c>
      <ns0:c r="B20">
        <ns0:f>COUNTIFS(Games_Raw!$K$2:$K$1232,"Yes",Games_Raw!$E$2:$E$1232,"New Orleans Pelicans")+COUNTIFS(Games_Raw!$K$2:$K$1232,"Yes",Games_Raw!$F$2:$F$1232,"New Orleans Pelicans")</ns0:f>
        <ns0:v>82</ns0:v>
      </ns0:c>
      <ns0:c r="C20">
        <ns0:f>COUNTIFS(Games_Raw!$K$2:$K$1232,"Yes",Games_Raw!$I$2:$I$1232,"New Orleans Pelicans")</ns0:f>
        <ns0:v>21</ns0:v>
      </ns0:c>
      <ns0:c r="D20">
        <ns0:f>COUNTIFS(Games_Raw!$K$2:$K$1232,"Yes",Games_Raw!$J$2:$J$1232,"New Orleans Pelicans")</ns0:f>
        <ns0:v>61</ns0:v>
      </ns0:c>
      <ns0:c r="E20">
        <ns0:f>C20+D20</ns0:f>
        <ns0:v>82</ns0:v>
      </ns0:c>
      <ns0:c r="F20" t="str">
        <ns0:f>IF(AND(B20=82,E20=82),"OK","CHECK")</ns0:f>
        <ns0:v>OK</ns0:v>
      </ns0:c>
    </ns0:row>
    <ns0:row r="21">
      <ns0:c r="A21" t="inlineStr">
        <ns0:is>
          <ns0:t>New York Knicks</ns0:t>
        </ns0:is>
      </ns0:c>
      <ns0:c r="B21">
        <ns0:f>COUNTIFS(Games_Raw!$K$2:$K$1232,"Yes",Games_Raw!$E$2:$E$1232,"New York Knicks")+COUNTIFS(Games_Raw!$K$2:$K$1232,"Yes",Games_Raw!$F$2:$F$1232,"New York Knicks")</ns0:f>
        <ns0:v>82</ns0:v>
      </ns0:c>
      <ns0:c r="C21">
        <ns0:f>COUNTIFS(Games_Raw!$K$2:$K$1232,"Yes",Games_Raw!$I$2:$I$1232,"New York Knicks")</ns0:f>
        <ns0:v>51</ns0:v>
      </ns0:c>
      <ns0:c r="D21">
        <ns0:f>COUNTIFS(Games_Raw!$K$2:$K$1232,"Yes",Games_Raw!$J$2:$J$1232,"New York Knicks")</ns0:f>
        <ns0:v>31</ns0:v>
      </ns0:c>
      <ns0:c r="E21">
        <ns0:f>C21+D21</ns0:f>
        <ns0:v>82</ns0:v>
      </ns0:c>
      <ns0:c r="F21" t="str">
        <ns0:f>IF(AND(B21=82,E21=82),"OK","CHECK")</ns0:f>
        <ns0:v>OK</ns0:v>
      </ns0:c>
    </ns0:row>
    <ns0:row r="22">
      <ns0:c r="A22" t="inlineStr">
        <ns0:is>
          <ns0:t>Oklahoma City Thunder</ns0:t>
        </ns0:is>
      </ns0:c>
      <ns0:c r="B22">
        <ns0:f>COUNTIFS(Games_Raw!$K$2:$K$1232,"Yes",Games_Raw!$E$2:$E$1232,"Oklahoma City Thunder")+COUNTIFS(Games_Raw!$K$2:$K$1232,"Yes",Games_Raw!$F$2:$F$1232,"Oklahoma City Thunder")</ns0:f>
        <ns0:v>82</ns0:v>
      </ns0:c>
      <ns0:c r="C22">
        <ns0:f>COUNTIFS(Games_Raw!$K$2:$K$1232,"Yes",Games_Raw!$I$2:$I$1232,"Oklahoma City Thunder")</ns0:f>
        <ns0:v>68</ns0:v>
      </ns0:c>
      <ns0:c r="D22">
        <ns0:f>COUNTIFS(Games_Raw!$K$2:$K$1232,"Yes",Games_Raw!$J$2:$J$1232,"Oklahoma City Thunder")</ns0:f>
        <ns0:v>14</ns0:v>
      </ns0:c>
      <ns0:c r="E22">
        <ns0:f>C22+D22</ns0:f>
        <ns0:v>82</ns0:v>
      </ns0:c>
      <ns0:c r="F22" t="str">
        <ns0:f>IF(AND(B22=82,E22=82),"OK","CHECK")</ns0:f>
        <ns0:v>OK</ns0:v>
      </ns0:c>
    </ns0:row>
    <ns0:row r="23">
      <ns0:c r="A23" t="inlineStr">
        <ns0:is>
          <ns0:t>Orlando Magic</ns0:t>
        </ns0:is>
      </ns0:c>
      <ns0:c r="B23">
        <ns0:f>COUNTIFS(Games_Raw!$K$2:$K$1232,"Yes",Games_Raw!$E$2:$E$1232,"Orlando Magic")+COUNTIFS(Games_Raw!$K$2:$K$1232,"Yes",Games_Raw!$F$2:$F$1232,"Orlando Magic")</ns0:f>
        <ns0:v>82</ns0:v>
      </ns0:c>
      <ns0:c r="C23">
        <ns0:f>COUNTIFS(Games_Raw!$K$2:$K$1232,"Yes",Games_Raw!$I$2:$I$1232,"Orlando Magic")</ns0:f>
        <ns0:v>41</ns0:v>
      </ns0:c>
      <ns0:c r="D23">
        <ns0:f>COUNTIFS(Games_Raw!$K$2:$K$1232,"Yes",Games_Raw!$J$2:$J$1232,"Orlando Magic")</ns0:f>
        <ns0:v>41</ns0:v>
      </ns0:c>
      <ns0:c r="E23">
        <ns0:f>C23+D23</ns0:f>
        <ns0:v>82</ns0:v>
      </ns0:c>
      <ns0:c r="F23" t="str">
        <ns0:f>IF(AND(B23=82,E23=82),"OK","CHECK")</ns0:f>
        <ns0:v>OK</ns0:v>
      </ns0:c>
    </ns0:row>
    <ns0:row r="24">
      <ns0:c r="A24" t="inlineStr">
        <ns0:is>
          <ns0:t>Philadelphia 76ers</ns0:t>
        </ns0:is>
      </ns0:c>
      <ns0:c r="B24">
        <ns0:f>COUNTIFS(Games_Raw!$K$2:$K$1232,"Yes",Games_Raw!$E$2:$E$1232,"Philadelphia 76ers")+COUNTIFS(Games_Raw!$K$2:$K$1232,"Yes",Games_Raw!$F$2:$F$1232,"Philadelphia 76ers")</ns0:f>
        <ns0:v>82</ns0:v>
      </ns0:c>
      <ns0:c r="C24">
        <ns0:f>COUNTIFS(Games_Raw!$K$2:$K$1232,"Yes",Games_Raw!$I$2:$I$1232,"Philadelphia 76ers")</ns0:f>
        <ns0:v>24</ns0:v>
      </ns0:c>
      <ns0:c r="D24">
        <ns0:f>COUNTIFS(Games_Raw!$K$2:$K$1232,"Yes",Games_Raw!$J$2:$J$1232,"Philadelphia 76ers")</ns0:f>
        <ns0:v>58</ns0:v>
      </ns0:c>
      <ns0:c r="E24">
        <ns0:f>C24+D24</ns0:f>
        <ns0:v>82</ns0:v>
      </ns0:c>
      <ns0:c r="F24" t="str">
        <ns0:f>IF(AND(B24=82,E24=82),"OK","CHECK")</ns0:f>
        <ns0:v>OK</ns0:v>
      </ns0:c>
    </ns0:row>
    <ns0:row r="25">
      <ns0:c r="A25" t="inlineStr">
        <ns0:is>
          <ns0:t>Phoenix Suns</ns0:t>
        </ns0:is>
      </ns0:c>
      <ns0:c r="B25">
        <ns0:f>COUNTIFS(Games_Raw!$K$2:$K$1232,"Yes",Games_Raw!$E$2:$E$1232,"Phoenix Suns")+COUNTIFS(Games_Raw!$K$2:$K$1232,"Yes",Games_Raw!$F$2:$F$1232,"Phoenix Suns")</ns0:f>
        <ns0:v>82</ns0:v>
      </ns0:c>
      <ns0:c r="C25">
        <ns0:f>COUNTIFS(Games_Raw!$K$2:$K$1232,"Yes",Games_Raw!$I$2:$I$1232,"Phoenix Suns")</ns0:f>
        <ns0:v>36</ns0:v>
      </ns0:c>
      <ns0:c r="D25">
        <ns0:f>COUNTIFS(Games_Raw!$K$2:$K$1232,"Yes",Games_Raw!$J$2:$J$1232,"Phoenix Suns")</ns0:f>
        <ns0:v>46</ns0:v>
      </ns0:c>
      <ns0:c r="E25">
        <ns0:f>C25+D25</ns0:f>
        <ns0:v>82</ns0:v>
      </ns0:c>
      <ns0:c r="F25" t="str">
        <ns0:f>IF(AND(B25=82,E25=82),"OK","CHECK")</ns0:f>
        <ns0:v>OK</ns0:v>
      </ns0:c>
    </ns0:row>
    <ns0:row r="26">
      <ns0:c r="A26" t="inlineStr">
        <ns0:is>
          <ns0:t>Portland Trail Blazers</ns0:t>
        </ns0:is>
      </ns0:c>
      <ns0:c r="B26">
        <ns0:f>COUNTIFS(Games_Raw!$K$2:$K$1232,"Yes",Games_Raw!$E$2:$E$1232,"Portland Trail Blazers")+COUNTIFS(Games_Raw!$K$2:$K$1232,"Yes",Games_Raw!$F$2:$F$1232,"Portland Trail Blazers")</ns0:f>
        <ns0:v>82</ns0:v>
      </ns0:c>
      <ns0:c r="C26">
        <ns0:f>COUNTIFS(Games_Raw!$K$2:$K$1232,"Yes",Games_Raw!$I$2:$I$1232,"Portland Trail Blazers")</ns0:f>
        <ns0:v>36</ns0:v>
      </ns0:c>
      <ns0:c r="D26">
        <ns0:f>COUNTIFS(Games_Raw!$K$2:$K$1232,"Yes",Games_Raw!$J$2:$J$1232,"Portland Trail Blazers")</ns0:f>
        <ns0:v>46</ns0:v>
      </ns0:c>
      <ns0:c r="E26">
        <ns0:f>C26+D26</ns0:f>
        <ns0:v>82</ns0:v>
      </ns0:c>
      <ns0:c r="F26" t="str">
        <ns0:f>IF(AND(B26=82,E26=82),"OK","CHECK")</ns0:f>
        <ns0:v>OK</ns0:v>
      </ns0:c>
    </ns0:row>
    <ns0:row r="27">
      <ns0:c r="A27" t="inlineStr">
        <ns0:is>
          <ns0:t>Sacramento Kings</ns0:t>
        </ns0:is>
      </ns0:c>
      <ns0:c r="B27">
        <ns0:f>COUNTIFS(Games_Raw!$K$2:$K$1232,"Yes",Games_Raw!$E$2:$E$1232,"Sacramento Kings")+COUNTIFS(Games_Raw!$K$2:$K$1232,"Yes",Games_Raw!$F$2:$F$1232,"Sacramento Kings")</ns0:f>
        <ns0:v>82</ns0:v>
      </ns0:c>
      <ns0:c r="C27">
        <ns0:f>COUNTIFS(Games_Raw!$K$2:$K$1232,"Yes",Games_Raw!$I$2:$I$1232,"Sacramento Kings")</ns0:f>
        <ns0:v>40</ns0:v>
      </ns0:c>
      <ns0:c r="D27">
        <ns0:f>COUNTIFS(Games_Raw!$K$2:$K$1232,"Yes",Games_Raw!$J$2:$J$1232,"Sacramento Kings")</ns0:f>
        <ns0:v>42</ns0:v>
      </ns0:c>
      <ns0:c r="E27">
        <ns0:f>C27+D27</ns0:f>
        <ns0:v>82</ns0:v>
      </ns0:c>
      <ns0:c r="F27" t="str">
        <ns0:f>IF(AND(B27=82,E27=82),"OK","CHECK")</ns0:f>
        <ns0:v>OK</ns0:v>
      </ns0:c>
    </ns0:row>
    <ns0:row r="28">
      <ns0:c r="A28" t="inlineStr">
        <ns0:is>
          <ns0:t>San Antonio Spurs</ns0:t>
        </ns0:is>
      </ns0:c>
      <ns0:c r="B28">
        <ns0:f>COUNTIFS(Games_Raw!$K$2:$K$1232,"Yes",Games_Raw!$E$2:$E$1232,"San Antonio Spurs")+COUNTIFS(Games_Raw!$K$2:$K$1232,"Yes",Games_Raw!$F$2:$F$1232,"San Antonio Spurs")</ns0:f>
        <ns0:v>82</ns0:v>
      </ns0:c>
      <ns0:c r="C28">
        <ns0:f>COUNTIFS(Games_Raw!$K$2:$K$1232,"Yes",Games_Raw!$I$2:$I$1232,"San Antonio Spurs")</ns0:f>
        <ns0:v>34</ns0:v>
      </ns0:c>
      <ns0:c r="D28">
        <ns0:f>COUNTIFS(Games_Raw!$K$2:$K$1232,"Yes",Games_Raw!$J$2:$J$1232,"San Antonio Spurs")</ns0:f>
        <ns0:v>48</ns0:v>
      </ns0:c>
      <ns0:c r="E28">
        <ns0:f>C28+D28</ns0:f>
        <ns0:v>82</ns0:v>
      </ns0:c>
      <ns0:c r="F28" t="str">
        <ns0:f>IF(AND(B28=82,E28=82),"OK","CHECK")</ns0:f>
        <ns0:v>OK</ns0:v>
      </ns0:c>
    </ns0:row>
    <ns0:row r="29">
      <ns0:c r="A29" t="inlineStr">
        <ns0:is>
          <ns0:t>Toronto Raptors</ns0:t>
        </ns0:is>
      </ns0:c>
      <ns0:c r="B29">
        <ns0:f>COUNTIFS(Games_Raw!$K$2:$K$1232,"Yes",Games_Raw!$E$2:$E$1232,"Toronto Raptors")+COUNTIFS(Games_Raw!$K$2:$K$1232,"Yes",Games_Raw!$F$2:$F$1232,"Toronto Raptors")</ns0:f>
        <ns0:v>82</ns0:v>
      </ns0:c>
      <ns0:c r="C29">
        <ns0:f>COUNTIFS(Games_Raw!$K$2:$K$1232,"Yes",Games_Raw!$I$2:$I$1232,"Toronto Raptors")</ns0:f>
        <ns0:v>30</ns0:v>
      </ns0:c>
      <ns0:c r="D29">
        <ns0:f>COUNTIFS(Games_Raw!$K$2:$K$1232,"Yes",Games_Raw!$J$2:$J$1232,"Toronto Raptors")</ns0:f>
        <ns0:v>52</ns0:v>
      </ns0:c>
      <ns0:c r="E29">
        <ns0:f>C29+D29</ns0:f>
        <ns0:v>82</ns0:v>
      </ns0:c>
      <ns0:c r="F29" t="str">
        <ns0:f>IF(AND(B29=82,E29=82),"OK","CHECK")</ns0:f>
        <ns0:v>OK</ns0:v>
      </ns0:c>
    </ns0:row>
    <ns0:row r="30">
      <ns0:c r="A30" t="inlineStr">
        <ns0:is>
          <ns0:t>Utah Jazz</ns0:t>
        </ns0:is>
      </ns0:c>
      <ns0:c r="B30">
        <ns0:f>COUNTIFS(Games_Raw!$K$2:$K$1232,"Yes",Games_Raw!$E$2:$E$1232,"Utah Jazz")+COUNTIFS(Games_Raw!$K$2:$K$1232,"Yes",Games_Raw!$F$2:$F$1232,"Utah Jazz")</ns0:f>
        <ns0:v>82</ns0:v>
      </ns0:c>
      <ns0:c r="C30">
        <ns0:f>COUNTIFS(Games_Raw!$K$2:$K$1232,"Yes",Games_Raw!$I$2:$I$1232,"Utah Jazz")</ns0:f>
        <ns0:v>17</ns0:v>
      </ns0:c>
      <ns0:c r="D30">
        <ns0:f>COUNTIFS(Games_Raw!$K$2:$K$1232,"Yes",Games_Raw!$J$2:$J$1232,"Utah Jazz")</ns0:f>
        <ns0:v>65</ns0:v>
      </ns0:c>
      <ns0:c r="E30">
        <ns0:f>C30+D30</ns0:f>
        <ns0:v>82</ns0:v>
      </ns0:c>
      <ns0:c r="F30" t="str">
        <ns0:f>IF(AND(B30=82,E30=82),"OK","CHECK")</ns0:f>
        <ns0:v>OK</ns0:v>
      </ns0:c>
    </ns0:row>
    <ns0:row r="31">
      <ns0:c r="A31" t="inlineStr">
        <ns0:is>
          <ns0:t>Washington Wizards</ns0:t>
        </ns0:is>
      </ns0:c>
      <ns0:c r="B31">
        <ns0:f>COUNTIFS(Games_Raw!$K$2:$K$1232,"Yes",Games_Raw!$E$2:$E$1232,"Washington Wizards")+COUNTIFS(Games_Raw!$K$2:$K$1232,"Yes",Games_Raw!$F$2:$F$1232,"Washington Wizards")</ns0:f>
        <ns0:v>82</ns0:v>
      </ns0:c>
      <ns0:c r="C31">
        <ns0:f>COUNTIFS(Games_Raw!$K$2:$K$1232,"Yes",Games_Raw!$I$2:$I$1232,"Washington Wizards")</ns0:f>
        <ns0:v>18</ns0:v>
      </ns0:c>
      <ns0:c r="D31">
        <ns0:f>COUNTIFS(Games_Raw!$K$2:$K$1232,"Yes",Games_Raw!$J$2:$J$1232,"Washington Wizards")</ns0:f>
        <ns0:v>64</ns0:v>
      </ns0:c>
      <ns0:c r="E31">
        <ns0:f>C31+D31</ns0:f>
        <ns0:v>82</ns0:v>
      </ns0:c>
      <ns0:c r="F31" t="str">
        <ns0:f>IF(AND(B31=82,E31=82),"OK","CHECK")</ns0:f>
        <ns0:v>OK</ns0:v>
      </ns0:c>
    </ns0:row>
  </ns0:sheetData>
  <ns0:autoFilter ref="A1:F31"/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1:G871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24" customWidth="1" min="1" max="1"/>
    <ns0:col width="24" customWidth="1" min="2" max="2"/>
    <ns0:col width="10" customWidth="1" min="3" max="3"/>
    <ns0:col width="10" customWidth="1" min="4" max="4"/>
    <ns0:col width="10" customWidth="1" min="5" max="5"/>
    <ns0:col width="14" customWidth="1" min="6" max="6"/>
    <ns0:col width="15" customWidth="1" min="7" max="7"/>
  </ns0:cols>
  <ns0:sheetData>
    <ns0:row r="1">
      <ns0:c r="A1" s="4" t="inlineStr">
        <ns0:is>
          <ns0:t>Team</ns0:t>
        </ns0:is>
      </ns0:c>
      <ns0:c r="B1" s="4" t="inlineStr">
        <ns0:is>
          <ns0:t>Opponent</ns0:t>
        </ns0:is>
      </ns0:c>
      <ns0:c r="C1" s="4" t="inlineStr">
        <ns0:is>
          <ns0:t>Wins</ns0:t>
        </ns0:is>
      </ns0:c>
      <ns0:c r="D1" s="4" t="inlineStr">
        <ns0:is>
          <ns0:t>Losses</ns0:t>
        </ns0:is>
      </ns0:c>
      <ns0:c r="E1" s="4" t="inlineStr">
        <ns0:is>
          <ns0:t>Series</ns0:t>
        </ns0:is>
      </ns0:c>
      <ns0:c r="F1" s="4" t="inlineStr">
        <ns0:is>
          <ns0:t>Total Team Wins</ns0:t>
        </ns0:is>
      </ns0:c>
      <ns0:c r="G1" s="4" t="inlineStr">
        <ns0:is>
          <ns0:t>Total Team Losses</ns0:t>
        </ns0:is>
      </ns0:c>
    </ns0:row>
    <ns0:row r="2">
      <ns0:c r="A2" t="inlineStr">
        <ns0:is>
          <ns0:t>Atlanta Hawks</ns0:t>
        </ns0:is>
      </ns0:c>
      <ns0:c r="B2" t="inlineStr">
        <ns0:is>
          <ns0:t>Boston Celtics</ns0:t>
        </ns0:is>
      </ns0:c>
      <ns0:c r="C2">
        <ns0:f>COUNTIFS(Games_Raw!$K$2:$K$1232,"Yes",Games_Raw!$I$2:$I$1232,A2,Games_Raw!$J$2:$J$1232,B2)</ns0:f>
        <ns0:v>2</ns0:v>
      </ns0:c>
      <ns0:c r="D2">
        <ns0:f>COUNTIFS(Games_Raw!$K$2:$K$1232,"Yes",Games_Raw!$I$2:$I$1232,B2,Games_Raw!$J$2:$J$1232,A2)</ns0:f>
        <ns0:v>1</ns0:v>
      </ns0:c>
      <ns0:c r="E2" t="str">
        <ns0:f>C2&amp;"-"&amp;D2</ns0:f>
        <ns0:v>2-1</ns0:v>
      </ns0:c>
      <ns0:c r="F2">
        <ns0:f>COUNTIFS(Games_Raw!$K$2:$K$1232,"Yes",Games_Raw!$I$2:$I$1232,A2)</ns0:f>
        <ns0:v>40</ns0:v>
      </ns0:c>
      <ns0:c r="G2">
        <ns0:f>COUNTIFS(Games_Raw!$K$2:$K$1232,"Yes",Games_Raw!$J$2:$J$1232,A2)</ns0:f>
        <ns0:v>42</ns0:v>
      </ns0:c>
    </ns0:row>
    <ns0:row r="3">
      <ns0:c r="A3" t="inlineStr">
        <ns0:is>
          <ns0:t>Atlanta Hawks</ns0:t>
        </ns0:is>
      </ns0:c>
      <ns0:c r="B3" t="inlineStr">
        <ns0:is>
          <ns0:t>Brooklyn Nets</ns0:t>
        </ns0:is>
      </ns0:c>
      <ns0:c r="C3">
        <ns0:f>COUNTIFS(Games_Raw!$K$2:$K$1232,"Yes",Games_Raw!$I$2:$I$1232,A3,Games_Raw!$J$2:$J$1232,B3)</ns0:f>
        <ns0:v>2</ns0:v>
      </ns0:c>
      <ns0:c r="D3">
        <ns0:f>COUNTIFS(Games_Raw!$K$2:$K$1232,"Yes",Games_Raw!$I$2:$I$1232,B3,Games_Raw!$J$2:$J$1232,A3)</ns0:f>
        <ns0:v>1</ns0:v>
      </ns0:c>
      <ns0:c r="E3" t="str">
        <ns0:f>C3&amp;"-"&amp;D3</ns0:f>
        <ns0:v>2-1</ns0:v>
      </ns0:c>
      <ns0:c r="F3">
        <ns0:f>COUNTIFS(Games_Raw!$K$2:$K$1232,"Yes",Games_Raw!$I$2:$I$1232,A3)</ns0:f>
        <ns0:v>40</ns0:v>
      </ns0:c>
      <ns0:c r="G3">
        <ns0:f>COUNTIFS(Games_Raw!$K$2:$K$1232,"Yes",Games_Raw!$J$2:$J$1232,A3)</ns0:f>
        <ns0:v>42</ns0:v>
      </ns0:c>
    </ns0:row>
    <ns0:row r="4">
      <ns0:c r="A4" t="inlineStr">
        <ns0:is>
          <ns0:t>Atlanta Hawks</ns0:t>
        </ns0:is>
      </ns0:c>
      <ns0:c r="B4" t="inlineStr">
        <ns0:is>
          <ns0:t>Charlotte Hornets</ns0:t>
        </ns0:is>
      </ns0:c>
      <ns0:c r="C4">
        <ns0:f>COUNTIFS(Games_Raw!$K$2:$K$1232,"Yes",Games_Raw!$I$2:$I$1232,A4,Games_Raw!$J$2:$J$1232,B4)</ns0:f>
        <ns0:v>4</ns0:v>
      </ns0:c>
      <ns0:c r="D4">
        <ns0:f>COUNTIFS(Games_Raw!$K$2:$K$1232,"Yes",Games_Raw!$I$2:$I$1232,B4,Games_Raw!$J$2:$J$1232,A4)</ns0:f>
        <ns0:v>0</ns0:v>
      </ns0:c>
      <ns0:c r="E4" t="str">
        <ns0:f>C4&amp;"-"&amp;D4</ns0:f>
        <ns0:v>4-0</ns0:v>
      </ns0:c>
      <ns0:c r="F4">
        <ns0:f>COUNTIFS(Games_Raw!$K$2:$K$1232,"Yes",Games_Raw!$I$2:$I$1232,A4)</ns0:f>
        <ns0:v>40</ns0:v>
      </ns0:c>
      <ns0:c r="G4">
        <ns0:f>COUNTIFS(Games_Raw!$K$2:$K$1232,"Yes",Games_Raw!$J$2:$J$1232,A4)</ns0:f>
        <ns0:v>42</ns0:v>
      </ns0:c>
    </ns0:row>
    <ns0:row r="5">
      <ns0:c r="A5" t="inlineStr">
        <ns0:is>
          <ns0:t>Atlanta Hawks</ns0:t>
        </ns0:is>
      </ns0:c>
      <ns0:c r="B5" t="inlineStr">
        <ns0:is>
          <ns0:t>Chicago Bulls</ns0:t>
        </ns0:is>
      </ns0:c>
      <ns0:c r="C5">
        <ns0:f>COUNTIFS(Games_Raw!$K$2:$K$1232,"Yes",Games_Raw!$I$2:$I$1232,A5,Games_Raw!$J$2:$J$1232,B5)</ns0:f>
        <ns0:v>2</ns0:v>
      </ns0:c>
      <ns0:c r="D5">
        <ns0:f>COUNTIFS(Games_Raw!$K$2:$K$1232,"Yes",Games_Raw!$I$2:$I$1232,B5,Games_Raw!$J$2:$J$1232,A5)</ns0:f>
        <ns0:v>2</ns0:v>
      </ns0:c>
      <ns0:c r="E5" t="str">
        <ns0:f>C5&amp;"-"&amp;D5</ns0:f>
        <ns0:v>2-2</ns0:v>
      </ns0:c>
      <ns0:c r="F5">
        <ns0:f>COUNTIFS(Games_Raw!$K$2:$K$1232,"Yes",Games_Raw!$I$2:$I$1232,A5)</ns0:f>
        <ns0:v>40</ns0:v>
      </ns0:c>
      <ns0:c r="G5">
        <ns0:f>COUNTIFS(Games_Raw!$K$2:$K$1232,"Yes",Games_Raw!$J$2:$J$1232,A5)</ns0:f>
        <ns0:v>42</ns0:v>
      </ns0:c>
    </ns0:row>
    <ns0:row r="6">
      <ns0:c r="A6" t="inlineStr">
        <ns0:is>
          <ns0:t>Atlanta Hawks</ns0:t>
        </ns0:is>
      </ns0:c>
      <ns0:c r="B6" t="inlineStr">
        <ns0:is>
          <ns0:t>Cleveland Cavaliers</ns0:t>
        </ns0:is>
      </ns0:c>
      <ns0:c r="C6">
        <ns0:f>COUNTIFS(Games_Raw!$K$2:$K$1232,"Yes",Games_Raw!$I$2:$I$1232,A6,Games_Raw!$J$2:$J$1232,B6)</ns0:f>
        <ns0:v>2</ns0:v>
      </ns0:c>
      <ns0:c r="D6">
        <ns0:f>COUNTIFS(Games_Raw!$K$2:$K$1232,"Yes",Games_Raw!$I$2:$I$1232,B6,Games_Raw!$J$2:$J$1232,A6)</ns0:f>
        <ns0:v>1</ns0:v>
      </ns0:c>
      <ns0:c r="E6" t="str">
        <ns0:f>C6&amp;"-"&amp;D6</ns0:f>
        <ns0:v>2-1</ns0:v>
      </ns0:c>
      <ns0:c r="F6">
        <ns0:f>COUNTIFS(Games_Raw!$K$2:$K$1232,"Yes",Games_Raw!$I$2:$I$1232,A6)</ns0:f>
        <ns0:v>40</ns0:v>
      </ns0:c>
      <ns0:c r="G6">
        <ns0:f>COUNTIFS(Games_Raw!$K$2:$K$1232,"Yes",Games_Raw!$J$2:$J$1232,A6)</ns0:f>
        <ns0:v>42</ns0:v>
      </ns0:c>
    </ns0:row>
    <ns0:row r="7">
      <ns0:c r="A7" t="inlineStr">
        <ns0:is>
          <ns0:t>Atlanta Hawks</ns0:t>
        </ns0:is>
      </ns0:c>
      <ns0:c r="B7" t="inlineStr">
        <ns0:is>
          <ns0:t>Dallas Mavericks</ns0:t>
        </ns0:is>
      </ns0:c>
      <ns0:c r="C7">
        <ns0:f>COUNTIFS(Games_Raw!$K$2:$K$1232,"Yes",Games_Raw!$I$2:$I$1232,A7,Games_Raw!$J$2:$J$1232,B7)</ns0:f>
        <ns0:v>0</ns0:v>
      </ns0:c>
      <ns0:c r="D7">
        <ns0:f>COUNTIFS(Games_Raw!$K$2:$K$1232,"Yes",Games_Raw!$I$2:$I$1232,B7,Games_Raw!$J$2:$J$1232,A7)</ns0:f>
        <ns0:v>2</ns0:v>
      </ns0:c>
      <ns0:c r="E7" t="str">
        <ns0:f>C7&amp;"-"&amp;D7</ns0:f>
        <ns0:v>0-2</ns0:v>
      </ns0:c>
      <ns0:c r="F7">
        <ns0:f>COUNTIFS(Games_Raw!$K$2:$K$1232,"Yes",Games_Raw!$I$2:$I$1232,A7)</ns0:f>
        <ns0:v>40</ns0:v>
      </ns0:c>
      <ns0:c r="G7">
        <ns0:f>COUNTIFS(Games_Raw!$K$2:$K$1232,"Yes",Games_Raw!$J$2:$J$1232,A7)</ns0:f>
        <ns0:v>42</ns0:v>
      </ns0:c>
    </ns0:row>
    <ns0:row r="8">
      <ns0:c r="A8" t="inlineStr">
        <ns0:is>
          <ns0:t>Atlanta Hawks</ns0:t>
        </ns0:is>
      </ns0:c>
      <ns0:c r="B8" t="inlineStr">
        <ns0:is>
          <ns0:t>Denver Nuggets</ns0:t>
        </ns0:is>
      </ns0:c>
      <ns0:c r="C8">
        <ns0:f>COUNTIFS(Games_Raw!$K$2:$K$1232,"Yes",Games_Raw!$I$2:$I$1232,A8,Games_Raw!$J$2:$J$1232,B8)</ns0:f>
        <ns0:v>0</ns0:v>
      </ns0:c>
      <ns0:c r="D8">
        <ns0:f>COUNTIFS(Games_Raw!$K$2:$K$1232,"Yes",Games_Raw!$I$2:$I$1232,B8,Games_Raw!$J$2:$J$1232,A8)</ns0:f>
        <ns0:v>2</ns0:v>
      </ns0:c>
      <ns0:c r="E8" t="str">
        <ns0:f>C8&amp;"-"&amp;D8</ns0:f>
        <ns0:v>0-2</ns0:v>
      </ns0:c>
      <ns0:c r="F8">
        <ns0:f>COUNTIFS(Games_Raw!$K$2:$K$1232,"Yes",Games_Raw!$I$2:$I$1232,A8)</ns0:f>
        <ns0:v>40</ns0:v>
      </ns0:c>
      <ns0:c r="G8">
        <ns0:f>COUNTIFS(Games_Raw!$K$2:$K$1232,"Yes",Games_Raw!$J$2:$J$1232,A8)</ns0:f>
        <ns0:v>42</ns0:v>
      </ns0:c>
    </ns0:row>
    <ns0:row r="9">
      <ns0:c r="A9" t="inlineStr">
        <ns0:is>
          <ns0:t>Atlanta Hawks</ns0:t>
        </ns0:is>
      </ns0:c>
      <ns0:c r="B9" t="inlineStr">
        <ns0:is>
          <ns0:t>Detroit Pistons</ns0:t>
        </ns0:is>
      </ns0:c>
      <ns0:c r="C9">
        <ns0:f>COUNTIFS(Games_Raw!$K$2:$K$1232,"Yes",Games_Raw!$I$2:$I$1232,A9,Games_Raw!$J$2:$J$1232,B9)</ns0:f>
        <ns0:v>1</ns0:v>
      </ns0:c>
      <ns0:c r="D9">
        <ns0:f>COUNTIFS(Games_Raw!$K$2:$K$1232,"Yes",Games_Raw!$I$2:$I$1232,B9,Games_Raw!$J$2:$J$1232,A9)</ns0:f>
        <ns0:v>3</ns0:v>
      </ns0:c>
      <ns0:c r="E9" t="str">
        <ns0:f>C9&amp;"-"&amp;D9</ns0:f>
        <ns0:v>1-3</ns0:v>
      </ns0:c>
      <ns0:c r="F9">
        <ns0:f>COUNTIFS(Games_Raw!$K$2:$K$1232,"Yes",Games_Raw!$I$2:$I$1232,A9)</ns0:f>
        <ns0:v>40</ns0:v>
      </ns0:c>
      <ns0:c r="G9">
        <ns0:f>COUNTIFS(Games_Raw!$K$2:$K$1232,"Yes",Games_Raw!$J$2:$J$1232,A9)</ns0:f>
        <ns0:v>42</ns0:v>
      </ns0:c>
    </ns0:row>
    <ns0:row r="10">
      <ns0:c r="A10" t="inlineStr">
        <ns0:is>
          <ns0:t>Atlanta Hawks</ns0:t>
        </ns0:is>
      </ns0:c>
      <ns0:c r="B10" t="inlineStr">
        <ns0:is>
          <ns0:t>Golden State Warriors</ns0:t>
        </ns0:is>
      </ns0:c>
      <ns0:c r="C10">
        <ns0:f>COUNTIFS(Games_Raw!$K$2:$K$1232,"Yes",Games_Raw!$I$2:$I$1232,A10,Games_Raw!$J$2:$J$1232,B10)</ns0:f>
        <ns0:v>1</ns0:v>
      </ns0:c>
      <ns0:c r="D10">
        <ns0:f>COUNTIFS(Games_Raw!$K$2:$K$1232,"Yes",Games_Raw!$I$2:$I$1232,B10,Games_Raw!$J$2:$J$1232,A10)</ns0:f>
        <ns0:v>1</ns0:v>
      </ns0:c>
      <ns0:c r="E10" t="str">
        <ns0:f>C10&amp;"-"&amp;D10</ns0:f>
        <ns0:v>1-1</ns0:v>
      </ns0:c>
      <ns0:c r="F10">
        <ns0:f>COUNTIFS(Games_Raw!$K$2:$K$1232,"Yes",Games_Raw!$I$2:$I$1232,A10)</ns0:f>
        <ns0:v>40</ns0:v>
      </ns0:c>
      <ns0:c r="G10">
        <ns0:f>COUNTIFS(Games_Raw!$K$2:$K$1232,"Yes",Games_Raw!$J$2:$J$1232,A10)</ns0:f>
        <ns0:v>42</ns0:v>
      </ns0:c>
    </ns0:row>
    <ns0:row r="11">
      <ns0:c r="A11" t="inlineStr">
        <ns0:is>
          <ns0:t>Atlanta Hawks</ns0:t>
        </ns0:is>
      </ns0:c>
      <ns0:c r="B11" t="inlineStr">
        <ns0:is>
          <ns0:t>Houston Rockets</ns0:t>
        </ns0:is>
      </ns0:c>
      <ns0:c r="C11">
        <ns0:f>COUNTIFS(Games_Raw!$K$2:$K$1232,"Yes",Games_Raw!$I$2:$I$1232,A11,Games_Raw!$J$2:$J$1232,B11)</ns0:f>
        <ns0:v>0</ns0:v>
      </ns0:c>
      <ns0:c r="D11">
        <ns0:f>COUNTIFS(Games_Raw!$K$2:$K$1232,"Yes",Games_Raw!$I$2:$I$1232,B11,Games_Raw!$J$2:$J$1232,A11)</ns0:f>
        <ns0:v>2</ns0:v>
      </ns0:c>
      <ns0:c r="E11" t="str">
        <ns0:f>C11&amp;"-"&amp;D11</ns0:f>
        <ns0:v>0-2</ns0:v>
      </ns0:c>
      <ns0:c r="F11">
        <ns0:f>COUNTIFS(Games_Raw!$K$2:$K$1232,"Yes",Games_Raw!$I$2:$I$1232,A11)</ns0:f>
        <ns0:v>40</ns0:v>
      </ns0:c>
      <ns0:c r="G11">
        <ns0:f>COUNTIFS(Games_Raw!$K$2:$K$1232,"Yes",Games_Raw!$J$2:$J$1232,A11)</ns0:f>
        <ns0:v>42</ns0:v>
      </ns0:c>
    </ns0:row>
    <ns0:row r="12">
      <ns0:c r="A12" t="inlineStr">
        <ns0:is>
          <ns0:t>Atlanta Hawks</ns0:t>
        </ns0:is>
      </ns0:c>
      <ns0:c r="B12" t="inlineStr">
        <ns0:is>
          <ns0:t>Indiana Pacers</ns0:t>
        </ns0:is>
      </ns0:c>
      <ns0:c r="C12">
        <ns0:f>COUNTIFS(Games_Raw!$K$2:$K$1232,"Yes",Games_Raw!$I$2:$I$1232,A12,Games_Raw!$J$2:$J$1232,B12)</ns0:f>
        <ns0:v>2</ns0:v>
      </ns0:c>
      <ns0:c r="D12">
        <ns0:f>COUNTIFS(Games_Raw!$K$2:$K$1232,"Yes",Games_Raw!$I$2:$I$1232,B12,Games_Raw!$J$2:$J$1232,A12)</ns0:f>
        <ns0:v>1</ns0:v>
      </ns0:c>
      <ns0:c r="E12" t="str">
        <ns0:f>C12&amp;"-"&amp;D12</ns0:f>
        <ns0:v>2-1</ns0:v>
      </ns0:c>
      <ns0:c r="F12">
        <ns0:f>COUNTIFS(Games_Raw!$K$2:$K$1232,"Yes",Games_Raw!$I$2:$I$1232,A12)</ns0:f>
        <ns0:v>40</ns0:v>
      </ns0:c>
      <ns0:c r="G12">
        <ns0:f>COUNTIFS(Games_Raw!$K$2:$K$1232,"Yes",Games_Raw!$J$2:$J$1232,A12)</ns0:f>
        <ns0:v>42</ns0:v>
      </ns0:c>
    </ns0:row>
    <ns0:row r="13">
      <ns0:c r="A13" t="inlineStr">
        <ns0:is>
          <ns0:t>Atlanta Hawks</ns0:t>
        </ns0:is>
      </ns0:c>
      <ns0:c r="B13" t="inlineStr">
        <ns0:is>
          <ns0:t>LA Clippers</ns0:t>
        </ns0:is>
      </ns0:c>
      <ns0:c r="C13">
        <ns0:f>COUNTIFS(Games_Raw!$K$2:$K$1232,"Yes",Games_Raw!$I$2:$I$1232,A13,Games_Raw!$J$2:$J$1232,B13)</ns0:f>
        <ns0:v>0</ns0:v>
      </ns0:c>
      <ns0:c r="D13">
        <ns0:f>COUNTIFS(Games_Raw!$K$2:$K$1232,"Yes",Games_Raw!$I$2:$I$1232,B13,Games_Raw!$J$2:$J$1232,A13)</ns0:f>
        <ns0:v>2</ns0:v>
      </ns0:c>
      <ns0:c r="E13" t="str">
        <ns0:f>C13&amp;"-"&amp;D13</ns0:f>
        <ns0:v>0-2</ns0:v>
      </ns0:c>
      <ns0:c r="F13">
        <ns0:f>COUNTIFS(Games_Raw!$K$2:$K$1232,"Yes",Games_Raw!$I$2:$I$1232,A13)</ns0:f>
        <ns0:v>40</ns0:v>
      </ns0:c>
      <ns0:c r="G13">
        <ns0:f>COUNTIFS(Games_Raw!$K$2:$K$1232,"Yes",Games_Raw!$J$2:$J$1232,A13)</ns0:f>
        <ns0:v>42</ns0:v>
      </ns0:c>
    </ns0:row>
    <ns0:row r="14">
      <ns0:c r="A14" t="inlineStr">
        <ns0:is>
          <ns0:t>Atlanta Hawks</ns0:t>
        </ns0:is>
      </ns0:c>
      <ns0:c r="B14" t="inlineStr">
        <ns0:is>
          <ns0:t>Los Angeles Lakers</ns0:t>
        </ns0:is>
      </ns0:c>
      <ns0:c r="C14">
        <ns0:f>COUNTIFS(Games_Raw!$K$2:$K$1232,"Yes",Games_Raw!$I$2:$I$1232,A14,Games_Raw!$J$2:$J$1232,B14)</ns0:f>
        <ns0:v>1</ns0:v>
      </ns0:c>
      <ns0:c r="D14">
        <ns0:f>COUNTIFS(Games_Raw!$K$2:$K$1232,"Yes",Games_Raw!$I$2:$I$1232,B14,Games_Raw!$J$2:$J$1232,A14)</ns0:f>
        <ns0:v>1</ns0:v>
      </ns0:c>
      <ns0:c r="E14" t="str">
        <ns0:f>C14&amp;"-"&amp;D14</ns0:f>
        <ns0:v>1-1</ns0:v>
      </ns0:c>
      <ns0:c r="F14">
        <ns0:f>COUNTIFS(Games_Raw!$K$2:$K$1232,"Yes",Games_Raw!$I$2:$I$1232,A14)</ns0:f>
        <ns0:v>40</ns0:v>
      </ns0:c>
      <ns0:c r="G14">
        <ns0:f>COUNTIFS(Games_Raw!$K$2:$K$1232,"Yes",Games_Raw!$J$2:$J$1232,A14)</ns0:f>
        <ns0:v>42</ns0:v>
      </ns0:c>
    </ns0:row>
    <ns0:row r="15">
      <ns0:c r="A15" t="inlineStr">
        <ns0:is>
          <ns0:t>Atlanta Hawks</ns0:t>
        </ns0:is>
      </ns0:c>
      <ns0:c r="B15" t="inlineStr">
        <ns0:is>
          <ns0:t>Memphis Grizzlies</ns0:t>
        </ns0:is>
      </ns0:c>
      <ns0:c r="C15">
        <ns0:f>COUNTIFS(Games_Raw!$K$2:$K$1232,"Yes",Games_Raw!$I$2:$I$1232,A15,Games_Raw!$J$2:$J$1232,B15)</ns0:f>
        <ns0:v>1</ns0:v>
      </ns0:c>
      <ns0:c r="D15">
        <ns0:f>COUNTIFS(Games_Raw!$K$2:$K$1232,"Yes",Games_Raw!$I$2:$I$1232,B15,Games_Raw!$J$2:$J$1232,A15)</ns0:f>
        <ns0:v>1</ns0:v>
      </ns0:c>
      <ns0:c r="E15" t="str">
        <ns0:f>C15&amp;"-"&amp;D15</ns0:f>
        <ns0:v>1-1</ns0:v>
      </ns0:c>
      <ns0:c r="F15">
        <ns0:f>COUNTIFS(Games_Raw!$K$2:$K$1232,"Yes",Games_Raw!$I$2:$I$1232,A15)</ns0:f>
        <ns0:v>40</ns0:v>
      </ns0:c>
      <ns0:c r="G15">
        <ns0:f>COUNTIFS(Games_Raw!$K$2:$K$1232,"Yes",Games_Raw!$J$2:$J$1232,A15)</ns0:f>
        <ns0:v>42</ns0:v>
      </ns0:c>
    </ns0:row>
    <ns0:row r="16">
      <ns0:c r="A16" t="inlineStr">
        <ns0:is>
          <ns0:t>Atlanta Hawks</ns0:t>
        </ns0:is>
      </ns0:c>
      <ns0:c r="B16" t="inlineStr">
        <ns0:is>
          <ns0:t>Miami Heat</ns0:t>
        </ns0:is>
      </ns0:c>
      <ns0:c r="C16">
        <ns0:f>COUNTIFS(Games_Raw!$K$2:$K$1232,"Yes",Games_Raw!$I$2:$I$1232,A16,Games_Raw!$J$2:$J$1232,B16)</ns0:f>
        <ns0:v>2</ns0:v>
      </ns0:c>
      <ns0:c r="D16">
        <ns0:f>COUNTIFS(Games_Raw!$K$2:$K$1232,"Yes",Games_Raw!$I$2:$I$1232,B16,Games_Raw!$J$2:$J$1232,A16)</ns0:f>
        <ns0:v>2</ns0:v>
      </ns0:c>
      <ns0:c r="E16" t="str">
        <ns0:f>C16&amp;"-"&amp;D16</ns0:f>
        <ns0:v>2-2</ns0:v>
      </ns0:c>
      <ns0:c r="F16">
        <ns0:f>COUNTIFS(Games_Raw!$K$2:$K$1232,"Yes",Games_Raw!$I$2:$I$1232,A16)</ns0:f>
        <ns0:v>40</ns0:v>
      </ns0:c>
      <ns0:c r="G16">
        <ns0:f>COUNTIFS(Games_Raw!$K$2:$K$1232,"Yes",Games_Raw!$J$2:$J$1232,A16)</ns0:f>
        <ns0:v>42</ns0:v>
      </ns0:c>
    </ns0:row>
    <ns0:row r="17">
      <ns0:c r="A17" t="inlineStr">
        <ns0:is>
          <ns0:t>Atlanta Hawks</ns0:t>
        </ns0:is>
      </ns0:c>
      <ns0:c r="B17" t="inlineStr">
        <ns0:is>
          <ns0:t>Milwaukee Bucks</ns0:t>
        </ns0:is>
      </ns0:c>
      <ns0:c r="C17">
        <ns0:f>COUNTIFS(Games_Raw!$K$2:$K$1232,"Yes",Games_Raw!$I$2:$I$1232,A17,Games_Raw!$J$2:$J$1232,B17)</ns0:f>
        <ns0:v>3</ns0:v>
      </ns0:c>
      <ns0:c r="D17">
        <ns0:f>COUNTIFS(Games_Raw!$K$2:$K$1232,"Yes",Games_Raw!$I$2:$I$1232,B17,Games_Raw!$J$2:$J$1232,A17)</ns0:f>
        <ns0:v>2</ns0:v>
      </ns0:c>
      <ns0:c r="E17" t="str">
        <ns0:f>C17&amp;"-"&amp;D17</ns0:f>
        <ns0:v>3-2</ns0:v>
      </ns0:c>
      <ns0:c r="F17">
        <ns0:f>COUNTIFS(Games_Raw!$K$2:$K$1232,"Yes",Games_Raw!$I$2:$I$1232,A17)</ns0:f>
        <ns0:v>40</ns0:v>
      </ns0:c>
      <ns0:c r="G17">
        <ns0:f>COUNTIFS(Games_Raw!$K$2:$K$1232,"Yes",Games_Raw!$J$2:$J$1232,A17)</ns0:f>
        <ns0:v>42</ns0:v>
      </ns0:c>
    </ns0:row>
    <ns0:row r="18">
      <ns0:c r="A18" t="inlineStr">
        <ns0:is>
          <ns0:t>Atlanta Hawks</ns0:t>
        </ns0:is>
      </ns0:c>
      <ns0:c r="B18" t="inlineStr">
        <ns0:is>
          <ns0:t>Minnesota Timberwolves</ns0:t>
        </ns0:is>
      </ns0:c>
      <ns0:c r="C18">
        <ns0:f>COUNTIFS(Games_Raw!$K$2:$K$1232,"Yes",Games_Raw!$I$2:$I$1232,A18,Games_Raw!$J$2:$J$1232,B18)</ns0:f>
        <ns0:v>1</ns0:v>
      </ns0:c>
      <ns0:c r="D18">
        <ns0:f>COUNTIFS(Games_Raw!$K$2:$K$1232,"Yes",Games_Raw!$I$2:$I$1232,B18,Games_Raw!$J$2:$J$1232,A18)</ns0:f>
        <ns0:v>1</ns0:v>
      </ns0:c>
      <ns0:c r="E18" t="str">
        <ns0:f>C18&amp;"-"&amp;D18</ns0:f>
        <ns0:v>1-1</ns0:v>
      </ns0:c>
      <ns0:c r="F18">
        <ns0:f>COUNTIFS(Games_Raw!$K$2:$K$1232,"Yes",Games_Raw!$I$2:$I$1232,A18)</ns0:f>
        <ns0:v>40</ns0:v>
      </ns0:c>
      <ns0:c r="G18">
        <ns0:f>COUNTIFS(Games_Raw!$K$2:$K$1232,"Yes",Games_Raw!$J$2:$J$1232,A18)</ns0:f>
        <ns0:v>42</ns0:v>
      </ns0:c>
    </ns0:row>
    <ns0:row r="19">
      <ns0:c r="A19" t="inlineStr">
        <ns0:is>
          <ns0:t>Atlanta Hawks</ns0:t>
        </ns0:is>
      </ns0:c>
      <ns0:c r="B19" t="inlineStr">
        <ns0:is>
          <ns0:t>New Orleans Pelicans</ns0:t>
        </ns0:is>
      </ns0:c>
      <ns0:c r="C19">
        <ns0:f>COUNTIFS(Games_Raw!$K$2:$K$1232,"Yes",Games_Raw!$I$2:$I$1232,A19,Games_Raw!$J$2:$J$1232,B19)</ns0:f>
        <ns0:v>2</ns0:v>
      </ns0:c>
      <ns0:c r="D19">
        <ns0:f>COUNTIFS(Games_Raw!$K$2:$K$1232,"Yes",Games_Raw!$I$2:$I$1232,B19,Games_Raw!$J$2:$J$1232,A19)</ns0:f>
        <ns0:v>0</ns0:v>
      </ns0:c>
      <ns0:c r="E19" t="str">
        <ns0:f>C19&amp;"-"&amp;D19</ns0:f>
        <ns0:v>2-0</ns0:v>
      </ns0:c>
      <ns0:c r="F19">
        <ns0:f>COUNTIFS(Games_Raw!$K$2:$K$1232,"Yes",Games_Raw!$I$2:$I$1232,A19)</ns0:f>
        <ns0:v>40</ns0:v>
      </ns0:c>
      <ns0:c r="G19">
        <ns0:f>COUNTIFS(Games_Raw!$K$2:$K$1232,"Yes",Games_Raw!$J$2:$J$1232,A19)</ns0:f>
        <ns0:v>42</ns0:v>
      </ns0:c>
    </ns0:row>
    <ns0:row r="20">
      <ns0:c r="A20" t="inlineStr">
        <ns0:is>
          <ns0:t>Atlanta Hawks</ns0:t>
        </ns0:is>
      </ns0:c>
      <ns0:c r="B20" t="inlineStr">
        <ns0:is>
          <ns0:t>New York Knicks</ns0:t>
        </ns0:is>
      </ns0:c>
      <ns0:c r="C20">
        <ns0:f>COUNTIFS(Games_Raw!$K$2:$K$1232,"Yes",Games_Raw!$I$2:$I$1232,A20,Games_Raw!$J$2:$J$1232,B20)</ns0:f>
        <ns0:v>2</ns0:v>
      </ns0:c>
      <ns0:c r="D20">
        <ns0:f>COUNTIFS(Games_Raw!$K$2:$K$1232,"Yes",Games_Raw!$I$2:$I$1232,B20,Games_Raw!$J$2:$J$1232,A20)</ns0:f>
        <ns0:v>3</ns0:v>
      </ns0:c>
      <ns0:c r="E20" t="str">
        <ns0:f>C20&amp;"-"&amp;D20</ns0:f>
        <ns0:v>2-3</ns0:v>
      </ns0:c>
      <ns0:c r="F20">
        <ns0:f>COUNTIFS(Games_Raw!$K$2:$K$1232,"Yes",Games_Raw!$I$2:$I$1232,A20)</ns0:f>
        <ns0:v>40</ns0:v>
      </ns0:c>
      <ns0:c r="G20">
        <ns0:f>COUNTIFS(Games_Raw!$K$2:$K$1232,"Yes",Games_Raw!$J$2:$J$1232,A20)</ns0:f>
        <ns0:v>42</ns0:v>
      </ns0:c>
    </ns0:row>
    <ns0:row r="21">
      <ns0:c r="A21" t="inlineStr">
        <ns0:is>
          <ns0:t>Atlanta Hawks</ns0:t>
        </ns0:is>
      </ns0:c>
      <ns0:c r="B21" t="inlineStr">
        <ns0:is>
          <ns0:t>Oklahoma City Thunder</ns0:t>
        </ns0:is>
      </ns0:c>
      <ns0:c r="C21">
        <ns0:f>COUNTIFS(Games_Raw!$K$2:$K$1232,"Yes",Games_Raw!$I$2:$I$1232,A21,Games_Raw!$J$2:$J$1232,B21)</ns0:f>
        <ns0:v>0</ns0:v>
      </ns0:c>
      <ns0:c r="D21">
        <ns0:f>COUNTIFS(Games_Raw!$K$2:$K$1232,"Yes",Games_Raw!$I$2:$I$1232,B21,Games_Raw!$J$2:$J$1232,A21)</ns0:f>
        <ns0:v>2</ns0:v>
      </ns0:c>
      <ns0:c r="E21" t="str">
        <ns0:f>C21&amp;"-"&amp;D21</ns0:f>
        <ns0:v>0-2</ns0:v>
      </ns0:c>
      <ns0:c r="F21">
        <ns0:f>COUNTIFS(Games_Raw!$K$2:$K$1232,"Yes",Games_Raw!$I$2:$I$1232,A21)</ns0:f>
        <ns0:v>40</ns0:v>
      </ns0:c>
      <ns0:c r="G21">
        <ns0:f>COUNTIFS(Games_Raw!$K$2:$K$1232,"Yes",Games_Raw!$J$2:$J$1232,A21)</ns0:f>
        <ns0:v>42</ns0:v>
      </ns0:c>
    </ns0:row>
    <ns0:row r="22">
      <ns0:c r="A22" t="inlineStr">
        <ns0:is>
          <ns0:t>Atlanta Hawks</ns0:t>
        </ns0:is>
      </ns0:c>
      <ns0:c r="B22" t="inlineStr">
        <ns0:is>
          <ns0:t>Orlando Magic</ns0:t>
        </ns0:is>
      </ns0:c>
      <ns0:c r="C22">
        <ns0:f>COUNTIFS(Games_Raw!$K$2:$K$1232,"Yes",Games_Raw!$I$2:$I$1232,A22,Games_Raw!$J$2:$J$1232,B22)</ns0:f>
        <ns0:v>2</ns0:v>
      </ns0:c>
      <ns0:c r="D22">
        <ns0:f>COUNTIFS(Games_Raw!$K$2:$K$1232,"Yes",Games_Raw!$I$2:$I$1232,B22,Games_Raw!$J$2:$J$1232,A22)</ns0:f>
        <ns0:v>2</ns0:v>
      </ns0:c>
      <ns0:c r="E22" t="str">
        <ns0:f>C22&amp;"-"&amp;D22</ns0:f>
        <ns0:v>2-2</ns0:v>
      </ns0:c>
      <ns0:c r="F22">
        <ns0:f>COUNTIFS(Games_Raw!$K$2:$K$1232,"Yes",Games_Raw!$I$2:$I$1232,A22)</ns0:f>
        <ns0:v>40</ns0:v>
      </ns0:c>
      <ns0:c r="G22">
        <ns0:f>COUNTIFS(Games_Raw!$K$2:$K$1232,"Yes",Games_Raw!$J$2:$J$1232,A22)</ns0:f>
        <ns0:v>42</ns0:v>
      </ns0:c>
    </ns0:row>
    <ns0:row r="23">
      <ns0:c r="A23" t="inlineStr">
        <ns0:is>
          <ns0:t>Atlanta Hawks</ns0:t>
        </ns0:is>
      </ns0:c>
      <ns0:c r="B23" t="inlineStr">
        <ns0:is>
          <ns0:t>Philadelphia 76ers</ns0:t>
        </ns0:is>
      </ns0:c>
      <ns0:c r="C23">
        <ns0:f>COUNTIFS(Games_Raw!$K$2:$K$1232,"Yes",Games_Raw!$I$2:$I$1232,A23,Games_Raw!$J$2:$J$1232,B23)</ns0:f>
        <ns0:v>3</ns0:v>
      </ns0:c>
      <ns0:c r="D23">
        <ns0:f>COUNTIFS(Games_Raw!$K$2:$K$1232,"Yes",Games_Raw!$I$2:$I$1232,B23,Games_Raw!$J$2:$J$1232,A23)</ns0:f>
        <ns0:v>0</ns0:v>
      </ns0:c>
      <ns0:c r="E23" t="str">
        <ns0:f>C23&amp;"-"&amp;D23</ns0:f>
        <ns0:v>3-0</ns0:v>
      </ns0:c>
      <ns0:c r="F23">
        <ns0:f>COUNTIFS(Games_Raw!$K$2:$K$1232,"Yes",Games_Raw!$I$2:$I$1232,A23)</ns0:f>
        <ns0:v>40</ns0:v>
      </ns0:c>
      <ns0:c r="G23">
        <ns0:f>COUNTIFS(Games_Raw!$K$2:$K$1232,"Yes",Games_Raw!$J$2:$J$1232,A23)</ns0:f>
        <ns0:v>42</ns0:v>
      </ns0:c>
    </ns0:row>
    <ns0:row r="24">
      <ns0:c r="A24" t="inlineStr">
        <ns0:is>
          <ns0:t>Atlanta Hawks</ns0:t>
        </ns0:is>
      </ns0:c>
      <ns0:c r="B24" t="inlineStr">
        <ns0:is>
          <ns0:t>Phoenix Suns</ns0:t>
        </ns0:is>
      </ns0:c>
      <ns0:c r="C24">
        <ns0:f>COUNTIFS(Games_Raw!$K$2:$K$1232,"Yes",Games_Raw!$I$2:$I$1232,A24,Games_Raw!$J$2:$J$1232,B24)</ns0:f>
        <ns0:v>1</ns0:v>
      </ns0:c>
      <ns0:c r="D24">
        <ns0:f>COUNTIFS(Games_Raw!$K$2:$K$1232,"Yes",Games_Raw!$I$2:$I$1232,B24,Games_Raw!$J$2:$J$1232,A24)</ns0:f>
        <ns0:v>1</ns0:v>
      </ns0:c>
      <ns0:c r="E24" t="str">
        <ns0:f>C24&amp;"-"&amp;D24</ns0:f>
        <ns0:v>1-1</ns0:v>
      </ns0:c>
      <ns0:c r="F24">
        <ns0:f>COUNTIFS(Games_Raw!$K$2:$K$1232,"Yes",Games_Raw!$I$2:$I$1232,A24)</ns0:f>
        <ns0:v>40</ns0:v>
      </ns0:c>
      <ns0:c r="G24">
        <ns0:f>COUNTIFS(Games_Raw!$K$2:$K$1232,"Yes",Games_Raw!$J$2:$J$1232,A24)</ns0:f>
        <ns0:v>42</ns0:v>
      </ns0:c>
    </ns0:row>
    <ns0:row r="25">
      <ns0:c r="A25" t="inlineStr">
        <ns0:is>
          <ns0:t>Atlanta Hawks</ns0:t>
        </ns0:is>
      </ns0:c>
      <ns0:c r="B25" t="inlineStr">
        <ns0:is>
          <ns0:t>Portland Trail Blazers</ns0:t>
        </ns0:is>
      </ns0:c>
      <ns0:c r="C25">
        <ns0:f>COUNTIFS(Games_Raw!$K$2:$K$1232,"Yes",Games_Raw!$I$2:$I$1232,A25,Games_Raw!$J$2:$J$1232,B25)</ns0:f>
        <ns0:v>0</ns0:v>
      </ns0:c>
      <ns0:c r="D25">
        <ns0:f>COUNTIFS(Games_Raw!$K$2:$K$1232,"Yes",Games_Raw!$I$2:$I$1232,B25,Games_Raw!$J$2:$J$1232,A25)</ns0:f>
        <ns0:v>2</ns0:v>
      </ns0:c>
      <ns0:c r="E25" t="str">
        <ns0:f>C25&amp;"-"&amp;D25</ns0:f>
        <ns0:v>0-2</ns0:v>
      </ns0:c>
      <ns0:c r="F25">
        <ns0:f>COUNTIFS(Games_Raw!$K$2:$K$1232,"Yes",Games_Raw!$I$2:$I$1232,A25)</ns0:f>
        <ns0:v>40</ns0:v>
      </ns0:c>
      <ns0:c r="G25">
        <ns0:f>COUNTIFS(Games_Raw!$K$2:$K$1232,"Yes",Games_Raw!$J$2:$J$1232,A25)</ns0:f>
        <ns0:v>42</ns0:v>
      </ns0:c>
    </ns0:row>
    <ns0:row r="26">
      <ns0:c r="A26" t="inlineStr">
        <ns0:is>
          <ns0:t>Atlanta Hawks</ns0:t>
        </ns0:is>
      </ns0:c>
      <ns0:c r="B26" t="inlineStr">
        <ns0:is>
          <ns0:t>Sacramento Kings</ns0:t>
        </ns0:is>
      </ns0:c>
      <ns0:c r="C26">
        <ns0:f>COUNTIFS(Games_Raw!$K$2:$K$1232,"Yes",Games_Raw!$I$2:$I$1232,A26,Games_Raw!$J$2:$J$1232,B26)</ns0:f>
        <ns0:v>1</ns0:v>
      </ns0:c>
      <ns0:c r="D26">
        <ns0:f>COUNTIFS(Games_Raw!$K$2:$K$1232,"Yes",Games_Raw!$I$2:$I$1232,B26,Games_Raw!$J$2:$J$1232,A26)</ns0:f>
        <ns0:v>1</ns0:v>
      </ns0:c>
      <ns0:c r="E26" t="str">
        <ns0:f>C26&amp;"-"&amp;D26</ns0:f>
        <ns0:v>1-1</ns0:v>
      </ns0:c>
      <ns0:c r="F26">
        <ns0:f>COUNTIFS(Games_Raw!$K$2:$K$1232,"Yes",Games_Raw!$I$2:$I$1232,A26)</ns0:f>
        <ns0:v>40</ns0:v>
      </ns0:c>
      <ns0:c r="G26">
        <ns0:f>COUNTIFS(Games_Raw!$K$2:$K$1232,"Yes",Games_Raw!$J$2:$J$1232,A26)</ns0:f>
        <ns0:v>42</ns0:v>
      </ns0:c>
    </ns0:row>
    <ns0:row r="27">
      <ns0:c r="A27" t="inlineStr">
        <ns0:is>
          <ns0:t>Atlanta Hawks</ns0:t>
        </ns0:is>
      </ns0:c>
      <ns0:c r="B27" t="inlineStr">
        <ns0:is>
          <ns0:t>San Antonio Spurs</ns0:t>
        </ns0:is>
      </ns0:c>
      <ns0:c r="C27">
        <ns0:f>COUNTIFS(Games_Raw!$K$2:$K$1232,"Yes",Games_Raw!$I$2:$I$1232,A27,Games_Raw!$J$2:$J$1232,B27)</ns0:f>
        <ns0:v>0</ns0:v>
      </ns0:c>
      <ns0:c r="D27">
        <ns0:f>COUNTIFS(Games_Raw!$K$2:$K$1232,"Yes",Games_Raw!$I$2:$I$1232,B27,Games_Raw!$J$2:$J$1232,A27)</ns0:f>
        <ns0:v>2</ns0:v>
      </ns0:c>
      <ns0:c r="E27" t="str">
        <ns0:f>C27&amp;"-"&amp;D27</ns0:f>
        <ns0:v>0-2</ns0:v>
      </ns0:c>
      <ns0:c r="F27">
        <ns0:f>COUNTIFS(Games_Raw!$K$2:$K$1232,"Yes",Games_Raw!$I$2:$I$1232,A27)</ns0:f>
        <ns0:v>40</ns0:v>
      </ns0:c>
      <ns0:c r="G27">
        <ns0:f>COUNTIFS(Games_Raw!$K$2:$K$1232,"Yes",Games_Raw!$J$2:$J$1232,A27)</ns0:f>
        <ns0:v>42</ns0:v>
      </ns0:c>
    </ns0:row>
    <ns0:row r="28">
      <ns0:c r="A28" t="inlineStr">
        <ns0:is>
          <ns0:t>Atlanta Hawks</ns0:t>
        </ns0:is>
      </ns0:c>
      <ns0:c r="B28" t="inlineStr">
        <ns0:is>
          <ns0:t>Toronto Raptors</ns0:t>
        </ns0:is>
      </ns0:c>
      <ns0:c r="C28">
        <ns0:f>COUNTIFS(Games_Raw!$K$2:$K$1232,"Yes",Games_Raw!$I$2:$I$1232,A28,Games_Raw!$J$2:$J$1232,B28)</ns0:f>
        <ns0:v>1</ns0:v>
      </ns0:c>
      <ns0:c r="D28">
        <ns0:f>COUNTIFS(Games_Raw!$K$2:$K$1232,"Yes",Games_Raw!$I$2:$I$1232,B28,Games_Raw!$J$2:$J$1232,A28)</ns0:f>
        <ns0:v>2</ns0:v>
      </ns0:c>
      <ns0:c r="E28" t="str">
        <ns0:f>C28&amp;"-"&amp;D28</ns0:f>
        <ns0:v>1-2</ns0:v>
      </ns0:c>
      <ns0:c r="F28">
        <ns0:f>COUNTIFS(Games_Raw!$K$2:$K$1232,"Yes",Games_Raw!$I$2:$I$1232,A28)</ns0:f>
        <ns0:v>40</ns0:v>
      </ns0:c>
      <ns0:c r="G28">
        <ns0:f>COUNTIFS(Games_Raw!$K$2:$K$1232,"Yes",Games_Raw!$J$2:$J$1232,A28)</ns0:f>
        <ns0:v>42</ns0:v>
      </ns0:c>
    </ns0:row>
    <ns0:row r="29">
      <ns0:c r="A29" t="inlineStr">
        <ns0:is>
          <ns0:t>Atlanta Hawks</ns0:t>
        </ns0:is>
      </ns0:c>
      <ns0:c r="B29" t="inlineStr">
        <ns0:is>
          <ns0:t>Utah Jazz</ns0:t>
        </ns0:is>
      </ns0:c>
      <ns0:c r="C29">
        <ns0:f>COUNTIFS(Games_Raw!$K$2:$K$1232,"Yes",Games_Raw!$I$2:$I$1232,A29,Games_Raw!$J$2:$J$1232,B29)</ns0:f>
        <ns0:v>2</ns0:v>
      </ns0:c>
      <ns0:c r="D29">
        <ns0:f>COUNTIFS(Games_Raw!$K$2:$K$1232,"Yes",Games_Raw!$I$2:$I$1232,B29,Games_Raw!$J$2:$J$1232,A29)</ns0:f>
        <ns0:v>0</ns0:v>
      </ns0:c>
      <ns0:c r="E29" t="str">
        <ns0:f>C29&amp;"-"&amp;D29</ns0:f>
        <ns0:v>2-0</ns0:v>
      </ns0:c>
      <ns0:c r="F29">
        <ns0:f>COUNTIFS(Games_Raw!$K$2:$K$1232,"Yes",Games_Raw!$I$2:$I$1232,A29)</ns0:f>
        <ns0:v>40</ns0:v>
      </ns0:c>
      <ns0:c r="G29">
        <ns0:f>COUNTIFS(Games_Raw!$K$2:$K$1232,"Yes",Games_Raw!$J$2:$J$1232,A29)</ns0:f>
        <ns0:v>42</ns0:v>
      </ns0:c>
    </ns0:row>
    <ns0:row r="30">
      <ns0:c r="A30" t="inlineStr">
        <ns0:is>
          <ns0:t>Atlanta Hawks</ns0:t>
        </ns0:is>
      </ns0:c>
      <ns0:c r="B30" t="inlineStr">
        <ns0:is>
          <ns0:t>Washington Wizards</ns0:t>
        </ns0:is>
      </ns0:c>
      <ns0:c r="C30">
        <ns0:f>COUNTIFS(Games_Raw!$K$2:$K$1232,"Yes",Games_Raw!$I$2:$I$1232,A30,Games_Raw!$J$2:$J$1232,B30)</ns0:f>
        <ns0:v>2</ns0:v>
      </ns0:c>
      <ns0:c r="D30">
        <ns0:f>COUNTIFS(Games_Raw!$K$2:$K$1232,"Yes",Games_Raw!$I$2:$I$1232,B30,Games_Raw!$J$2:$J$1232,A30)</ns0:f>
        <ns0:v>2</ns0:v>
      </ns0:c>
      <ns0:c r="E30" t="str">
        <ns0:f>C30&amp;"-"&amp;D30</ns0:f>
        <ns0:v>2-2</ns0:v>
      </ns0:c>
      <ns0:c r="F30">
        <ns0:f>COUNTIFS(Games_Raw!$K$2:$K$1232,"Yes",Games_Raw!$I$2:$I$1232,A30)</ns0:f>
        <ns0:v>40</ns0:v>
      </ns0:c>
      <ns0:c r="G30">
        <ns0:f>COUNTIFS(Games_Raw!$K$2:$K$1232,"Yes",Games_Raw!$J$2:$J$1232,A30)</ns0:f>
        <ns0:v>42</ns0:v>
      </ns0:c>
    </ns0:row>
    <ns0:row r="31">
      <ns0:c r="A31" t="inlineStr">
        <ns0:is>
          <ns0:t>Boston Celtics</ns0:t>
        </ns0:is>
      </ns0:c>
      <ns0:c r="B31" t="inlineStr">
        <ns0:is>
          <ns0:t>Atlanta Hawks</ns0:t>
        </ns0:is>
      </ns0:c>
      <ns0:c r="C31">
        <ns0:f>COUNTIFS(Games_Raw!$K$2:$K$1232,"Yes",Games_Raw!$I$2:$I$1232,A31,Games_Raw!$J$2:$J$1232,B31)</ns0:f>
        <ns0:v>1</ns0:v>
      </ns0:c>
      <ns0:c r="D31">
        <ns0:f>COUNTIFS(Games_Raw!$K$2:$K$1232,"Yes",Games_Raw!$I$2:$I$1232,B31,Games_Raw!$J$2:$J$1232,A31)</ns0:f>
        <ns0:v>2</ns0:v>
      </ns0:c>
      <ns0:c r="E31" t="str">
        <ns0:f>C31&amp;"-"&amp;D31</ns0:f>
        <ns0:v>1-2</ns0:v>
      </ns0:c>
      <ns0:c r="F31">
        <ns0:f>COUNTIFS(Games_Raw!$K$2:$K$1232,"Yes",Games_Raw!$I$2:$I$1232,A31)</ns0:f>
        <ns0:v>61</ns0:v>
      </ns0:c>
      <ns0:c r="G31">
        <ns0:f>COUNTIFS(Games_Raw!$K$2:$K$1232,"Yes",Games_Raw!$J$2:$J$1232,A31)</ns0:f>
        <ns0:v>21</ns0:v>
      </ns0:c>
    </ns0:row>
    <ns0:row r="32">
      <ns0:c r="A32" t="inlineStr">
        <ns0:is>
          <ns0:t>Boston Celtics</ns0:t>
        </ns0:is>
      </ns0:c>
      <ns0:c r="B32" t="inlineStr">
        <ns0:is>
          <ns0:t>Brooklyn Nets</ns0:t>
        </ns0:is>
      </ns0:c>
      <ns0:c r="C32">
        <ns0:f>COUNTIFS(Games_Raw!$K$2:$K$1232,"Yes",Games_Raw!$I$2:$I$1232,A32,Games_Raw!$J$2:$J$1232,B32)</ns0:f>
        <ns0:v>4</ns0:v>
      </ns0:c>
      <ns0:c r="D32">
        <ns0:f>COUNTIFS(Games_Raw!$K$2:$K$1232,"Yes",Games_Raw!$I$2:$I$1232,B32,Games_Raw!$J$2:$J$1232,A32)</ns0:f>
        <ns0:v>0</ns0:v>
      </ns0:c>
      <ns0:c r="E32" t="str">
        <ns0:f>C32&amp;"-"&amp;D32</ns0:f>
        <ns0:v>4-0</ns0:v>
      </ns0:c>
      <ns0:c r="F32">
        <ns0:f>COUNTIFS(Games_Raw!$K$2:$K$1232,"Yes",Games_Raw!$I$2:$I$1232,A32)</ns0:f>
        <ns0:v>61</ns0:v>
      </ns0:c>
      <ns0:c r="G32">
        <ns0:f>COUNTIFS(Games_Raw!$K$2:$K$1232,"Yes",Games_Raw!$J$2:$J$1232,A32)</ns0:f>
        <ns0:v>21</ns0:v>
      </ns0:c>
    </ns0:row>
    <ns0:row r="33">
      <ns0:c r="A33" t="inlineStr">
        <ns0:is>
          <ns0:t>Boston Celtics</ns0:t>
        </ns0:is>
      </ns0:c>
      <ns0:c r="B33" t="inlineStr">
        <ns0:is>
          <ns0:t>Charlotte Hornets</ns0:t>
        </ns0:is>
      </ns0:c>
      <ns0:c r="C33">
        <ns0:f>COUNTIFS(Games_Raw!$K$2:$K$1232,"Yes",Games_Raw!$I$2:$I$1232,A33,Games_Raw!$J$2:$J$1232,B33)</ns0:f>
        <ns0:v>4</ns0:v>
      </ns0:c>
      <ns0:c r="D33">
        <ns0:f>COUNTIFS(Games_Raw!$K$2:$K$1232,"Yes",Games_Raw!$I$2:$I$1232,B33,Games_Raw!$J$2:$J$1232,A33)</ns0:f>
        <ns0:v>0</ns0:v>
      </ns0:c>
      <ns0:c r="E33" t="str">
        <ns0:f>C33&amp;"-"&amp;D33</ns0:f>
        <ns0:v>4-0</ns0:v>
      </ns0:c>
      <ns0:c r="F33">
        <ns0:f>COUNTIFS(Games_Raw!$K$2:$K$1232,"Yes",Games_Raw!$I$2:$I$1232,A33)</ns0:f>
        <ns0:v>61</ns0:v>
      </ns0:c>
      <ns0:c r="G33">
        <ns0:f>COUNTIFS(Games_Raw!$K$2:$K$1232,"Yes",Games_Raw!$J$2:$J$1232,A33)</ns0:f>
        <ns0:v>21</ns0:v>
      </ns0:c>
    </ns0:row>
    <ns0:row r="34">
      <ns0:c r="A34" t="inlineStr">
        <ns0:is>
          <ns0:t>Boston Celtics</ns0:t>
        </ns0:is>
      </ns0:c>
      <ns0:c r="B34" t="inlineStr">
        <ns0:is>
          <ns0:t>Chicago Bulls</ns0:t>
        </ns0:is>
      </ns0:c>
      <ns0:c r="C34">
        <ns0:f>COUNTIFS(Games_Raw!$K$2:$K$1232,"Yes",Games_Raw!$I$2:$I$1232,A34,Games_Raw!$J$2:$J$1232,B34)</ns0:f>
        <ns0:v>3</ns0:v>
      </ns0:c>
      <ns0:c r="D34">
        <ns0:f>COUNTIFS(Games_Raw!$K$2:$K$1232,"Yes",Games_Raw!$I$2:$I$1232,B34,Games_Raw!$J$2:$J$1232,A34)</ns0:f>
        <ns0:v>1</ns0:v>
      </ns0:c>
      <ns0:c r="E34" t="str">
        <ns0:f>C34&amp;"-"&amp;D34</ns0:f>
        <ns0:v>3-1</ns0:v>
      </ns0:c>
      <ns0:c r="F34">
        <ns0:f>COUNTIFS(Games_Raw!$K$2:$K$1232,"Yes",Games_Raw!$I$2:$I$1232,A34)</ns0:f>
        <ns0:v>61</ns0:v>
      </ns0:c>
      <ns0:c r="G34">
        <ns0:f>COUNTIFS(Games_Raw!$K$2:$K$1232,"Yes",Games_Raw!$J$2:$J$1232,A34)</ns0:f>
        <ns0:v>21</ns0:v>
      </ns0:c>
    </ns0:row>
    <ns0:row r="35">
      <ns0:c r="A35" t="inlineStr">
        <ns0:is>
          <ns0:t>Boston Celtics</ns0:t>
        </ns0:is>
      </ns0:c>
      <ns0:c r="B35" t="inlineStr">
        <ns0:is>
          <ns0:t>Cleveland Cavaliers</ns0:t>
        </ns0:is>
      </ns0:c>
      <ns0:c r="C35">
        <ns0:f>COUNTIFS(Games_Raw!$K$2:$K$1232,"Yes",Games_Raw!$I$2:$I$1232,A35,Games_Raw!$J$2:$J$1232,B35)</ns0:f>
        <ns0:v>2</ns0:v>
      </ns0:c>
      <ns0:c r="D35">
        <ns0:f>COUNTIFS(Games_Raw!$K$2:$K$1232,"Yes",Games_Raw!$I$2:$I$1232,B35,Games_Raw!$J$2:$J$1232,A35)</ns0:f>
        <ns0:v>2</ns0:v>
      </ns0:c>
      <ns0:c r="E35" t="str">
        <ns0:f>C35&amp;"-"&amp;D35</ns0:f>
        <ns0:v>2-2</ns0:v>
      </ns0:c>
      <ns0:c r="F35">
        <ns0:f>COUNTIFS(Games_Raw!$K$2:$K$1232,"Yes",Games_Raw!$I$2:$I$1232,A35)</ns0:f>
        <ns0:v>61</ns0:v>
      </ns0:c>
      <ns0:c r="G35">
        <ns0:f>COUNTIFS(Games_Raw!$K$2:$K$1232,"Yes",Games_Raw!$J$2:$J$1232,A35)</ns0:f>
        <ns0:v>21</ns0:v>
      </ns0:c>
    </ns0:row>
    <ns0:row r="36">
      <ns0:c r="A36" t="inlineStr">
        <ns0:is>
          <ns0:t>Boston Celtics</ns0:t>
        </ns0:is>
      </ns0:c>
      <ns0:c r="B36" t="inlineStr">
        <ns0:is>
          <ns0:t>Dallas Mavericks</ns0:t>
        </ns0:is>
      </ns0:c>
      <ns0:c r="C36">
        <ns0:f>COUNTIFS(Games_Raw!$K$2:$K$1232,"Yes",Games_Raw!$I$2:$I$1232,A36,Games_Raw!$J$2:$J$1232,B36)</ns0:f>
        <ns0:v>1</ns0:v>
      </ns0:c>
      <ns0:c r="D36">
        <ns0:f>COUNTIFS(Games_Raw!$K$2:$K$1232,"Yes",Games_Raw!$I$2:$I$1232,B36,Games_Raw!$J$2:$J$1232,A36)</ns0:f>
        <ns0:v>1</ns0:v>
      </ns0:c>
      <ns0:c r="E36" t="str">
        <ns0:f>C36&amp;"-"&amp;D36</ns0:f>
        <ns0:v>1-1</ns0:v>
      </ns0:c>
      <ns0:c r="F36">
        <ns0:f>COUNTIFS(Games_Raw!$K$2:$K$1232,"Yes",Games_Raw!$I$2:$I$1232,A36)</ns0:f>
        <ns0:v>61</ns0:v>
      </ns0:c>
      <ns0:c r="G36">
        <ns0:f>COUNTIFS(Games_Raw!$K$2:$K$1232,"Yes",Games_Raw!$J$2:$J$1232,A36)</ns0:f>
        <ns0:v>21</ns0:v>
      </ns0:c>
    </ns0:row>
    <ns0:row r="37">
      <ns0:c r="A37" t="inlineStr">
        <ns0:is>
          <ns0:t>Boston Celtics</ns0:t>
        </ns0:is>
      </ns0:c>
      <ns0:c r="B37" t="inlineStr">
        <ns0:is>
          <ns0:t>Denver Nuggets</ns0:t>
        </ns0:is>
      </ns0:c>
      <ns0:c r="C37">
        <ns0:f>COUNTIFS(Games_Raw!$K$2:$K$1232,"Yes",Games_Raw!$I$2:$I$1232,A37,Games_Raw!$J$2:$J$1232,B37)</ns0:f>
        <ns0:v>2</ns0:v>
      </ns0:c>
      <ns0:c r="D37">
        <ns0:f>COUNTIFS(Games_Raw!$K$2:$K$1232,"Yes",Games_Raw!$I$2:$I$1232,B37,Games_Raw!$J$2:$J$1232,A37)</ns0:f>
        <ns0:v>0</ns0:v>
      </ns0:c>
      <ns0:c r="E37" t="str">
        <ns0:f>C37&amp;"-"&amp;D37</ns0:f>
        <ns0:v>2-0</ns0:v>
      </ns0:c>
      <ns0:c r="F37">
        <ns0:f>COUNTIFS(Games_Raw!$K$2:$K$1232,"Yes",Games_Raw!$I$2:$I$1232,A37)</ns0:f>
        <ns0:v>61</ns0:v>
      </ns0:c>
      <ns0:c r="G37">
        <ns0:f>COUNTIFS(Games_Raw!$K$2:$K$1232,"Yes",Games_Raw!$J$2:$J$1232,A37)</ns0:f>
        <ns0:v>21</ns0:v>
      </ns0:c>
    </ns0:row>
    <ns0:row r="38">
      <ns0:c r="A38" t="inlineStr">
        <ns0:is>
          <ns0:t>Boston Celtics</ns0:t>
        </ns0:is>
      </ns0:c>
      <ns0:c r="B38" t="inlineStr">
        <ns0:is>
          <ns0:t>Detroit Pistons</ns0:t>
        </ns0:is>
      </ns0:c>
      <ns0:c r="C38">
        <ns0:f>COUNTIFS(Games_Raw!$K$2:$K$1232,"Yes",Games_Raw!$I$2:$I$1232,A38,Games_Raw!$J$2:$J$1232,B38)</ns0:f>
        <ns0:v>3</ns0:v>
      </ns0:c>
      <ns0:c r="D38">
        <ns0:f>COUNTIFS(Games_Raw!$K$2:$K$1232,"Yes",Games_Raw!$I$2:$I$1232,B38,Games_Raw!$J$2:$J$1232,A38)</ns0:f>
        <ns0:v>1</ns0:v>
      </ns0:c>
      <ns0:c r="E38" t="str">
        <ns0:f>C38&amp;"-"&amp;D38</ns0:f>
        <ns0:v>3-1</ns0:v>
      </ns0:c>
      <ns0:c r="F38">
        <ns0:f>COUNTIFS(Games_Raw!$K$2:$K$1232,"Yes",Games_Raw!$I$2:$I$1232,A38)</ns0:f>
        <ns0:v>61</ns0:v>
      </ns0:c>
      <ns0:c r="G38">
        <ns0:f>COUNTIFS(Games_Raw!$K$2:$K$1232,"Yes",Games_Raw!$J$2:$J$1232,A38)</ns0:f>
        <ns0:v>21</ns0:v>
      </ns0:c>
    </ns0:row>
    <ns0:row r="39">
      <ns0:c r="A39" t="inlineStr">
        <ns0:is>
          <ns0:t>Boston Celtics</ns0:t>
        </ns0:is>
      </ns0:c>
      <ns0:c r="B39" t="inlineStr">
        <ns0:is>
          <ns0:t>Golden State Warriors</ns0:t>
        </ns0:is>
      </ns0:c>
      <ns0:c r="C39">
        <ns0:f>COUNTIFS(Games_Raw!$K$2:$K$1232,"Yes",Games_Raw!$I$2:$I$1232,A39,Games_Raw!$J$2:$J$1232,B39)</ns0:f>
        <ns0:v>1</ns0:v>
      </ns0:c>
      <ns0:c r="D39">
        <ns0:f>COUNTIFS(Games_Raw!$K$2:$K$1232,"Yes",Games_Raw!$I$2:$I$1232,B39,Games_Raw!$J$2:$J$1232,A39)</ns0:f>
        <ns0:v>1</ns0:v>
      </ns0:c>
      <ns0:c r="E39" t="str">
        <ns0:f>C39&amp;"-"&amp;D39</ns0:f>
        <ns0:v>1-1</ns0:v>
      </ns0:c>
      <ns0:c r="F39">
        <ns0:f>COUNTIFS(Games_Raw!$K$2:$K$1232,"Yes",Games_Raw!$I$2:$I$1232,A39)</ns0:f>
        <ns0:v>61</ns0:v>
      </ns0:c>
      <ns0:c r="G39">
        <ns0:f>COUNTIFS(Games_Raw!$K$2:$K$1232,"Yes",Games_Raw!$J$2:$J$1232,A39)</ns0:f>
        <ns0:v>21</ns0:v>
      </ns0:c>
    </ns0:row>
    <ns0:row r="40">
      <ns0:c r="A40" t="inlineStr">
        <ns0:is>
          <ns0:t>Boston Celtics</ns0:t>
        </ns0:is>
      </ns0:c>
      <ns0:c r="B40" t="inlineStr">
        <ns0:is>
          <ns0:t>Houston Rockets</ns0:t>
        </ns0:is>
      </ns0:c>
      <ns0:c r="C40">
        <ns0:f>COUNTIFS(Games_Raw!$K$2:$K$1232,"Yes",Games_Raw!$I$2:$I$1232,A40,Games_Raw!$J$2:$J$1232,B40)</ns0:f>
        <ns0:v>1</ns0:v>
      </ns0:c>
      <ns0:c r="D40">
        <ns0:f>COUNTIFS(Games_Raw!$K$2:$K$1232,"Yes",Games_Raw!$I$2:$I$1232,B40,Games_Raw!$J$2:$J$1232,A40)</ns0:f>
        <ns0:v>1</ns0:v>
      </ns0:c>
      <ns0:c r="E40" t="str">
        <ns0:f>C40&amp;"-"&amp;D40</ns0:f>
        <ns0:v>1-1</ns0:v>
      </ns0:c>
      <ns0:c r="F40">
        <ns0:f>COUNTIFS(Games_Raw!$K$2:$K$1232,"Yes",Games_Raw!$I$2:$I$1232,A40)</ns0:f>
        <ns0:v>61</ns0:v>
      </ns0:c>
      <ns0:c r="G40">
        <ns0:f>COUNTIFS(Games_Raw!$K$2:$K$1232,"Yes",Games_Raw!$J$2:$J$1232,A40)</ns0:f>
        <ns0:v>21</ns0:v>
      </ns0:c>
    </ns0:row>
    <ns0:row r="41">
      <ns0:c r="A41" t="inlineStr">
        <ns0:is>
          <ns0:t>Boston Celtics</ns0:t>
        </ns0:is>
      </ns0:c>
      <ns0:c r="B41" t="inlineStr">
        <ns0:is>
          <ns0:t>Indiana Pacers</ns0:t>
        </ns0:is>
      </ns0:c>
      <ns0:c r="C41">
        <ns0:f>COUNTIFS(Games_Raw!$K$2:$K$1232,"Yes",Games_Raw!$I$2:$I$1232,A41,Games_Raw!$J$2:$J$1232,B41)</ns0:f>
        <ns0:v>1</ns0:v>
      </ns0:c>
      <ns0:c r="D41">
        <ns0:f>COUNTIFS(Games_Raw!$K$2:$K$1232,"Yes",Games_Raw!$I$2:$I$1232,B41,Games_Raw!$J$2:$J$1232,A41)</ns0:f>
        <ns0:v>2</ns0:v>
      </ns0:c>
      <ns0:c r="E41" t="str">
        <ns0:f>C41&amp;"-"&amp;D41</ns0:f>
        <ns0:v>1-2</ns0:v>
      </ns0:c>
      <ns0:c r="F41">
        <ns0:f>COUNTIFS(Games_Raw!$K$2:$K$1232,"Yes",Games_Raw!$I$2:$I$1232,A41)</ns0:f>
        <ns0:v>61</ns0:v>
      </ns0:c>
      <ns0:c r="G41">
        <ns0:f>COUNTIFS(Games_Raw!$K$2:$K$1232,"Yes",Games_Raw!$J$2:$J$1232,A41)</ns0:f>
        <ns0:v>21</ns0:v>
      </ns0:c>
    </ns0:row>
    <ns0:row r="42">
      <ns0:c r="A42" t="inlineStr">
        <ns0:is>
          <ns0:t>Boston Celtics</ns0:t>
        </ns0:is>
      </ns0:c>
      <ns0:c r="B42" t="inlineStr">
        <ns0:is>
          <ns0:t>LA Clippers</ns0:t>
        </ns0:is>
      </ns0:c>
      <ns0:c r="C42">
        <ns0:f>COUNTIFS(Games_Raw!$K$2:$K$1232,"Yes",Games_Raw!$I$2:$I$1232,A42,Games_Raw!$J$2:$J$1232,B42)</ns0:f>
        <ns0:v>2</ns0:v>
      </ns0:c>
      <ns0:c r="D42">
        <ns0:f>COUNTIFS(Games_Raw!$K$2:$K$1232,"Yes",Games_Raw!$I$2:$I$1232,B42,Games_Raw!$J$2:$J$1232,A42)</ns0:f>
        <ns0:v>0</ns0:v>
      </ns0:c>
      <ns0:c r="E42" t="str">
        <ns0:f>C42&amp;"-"&amp;D42</ns0:f>
        <ns0:v>2-0</ns0:v>
      </ns0:c>
      <ns0:c r="F42">
        <ns0:f>COUNTIFS(Games_Raw!$K$2:$K$1232,"Yes",Games_Raw!$I$2:$I$1232,A42)</ns0:f>
        <ns0:v>61</ns0:v>
      </ns0:c>
      <ns0:c r="G42">
        <ns0:f>COUNTIFS(Games_Raw!$K$2:$K$1232,"Yes",Games_Raw!$J$2:$J$1232,A42)</ns0:f>
        <ns0:v>21</ns0:v>
      </ns0:c>
    </ns0:row>
    <ns0:row r="43">
      <ns0:c r="A43" t="inlineStr">
        <ns0:is>
          <ns0:t>Boston Celtics</ns0:t>
        </ns0:is>
      </ns0:c>
      <ns0:c r="B43" t="inlineStr">
        <ns0:is>
          <ns0:t>Los Angeles Lakers</ns0:t>
        </ns0:is>
      </ns0:c>
      <ns0:c r="C43">
        <ns0:f>COUNTIFS(Games_Raw!$K$2:$K$1232,"Yes",Games_Raw!$I$2:$I$1232,A43,Games_Raw!$J$2:$J$1232,B43)</ns0:f>
        <ns0:v>1</ns0:v>
      </ns0:c>
      <ns0:c r="D43">
        <ns0:f>COUNTIFS(Games_Raw!$K$2:$K$1232,"Yes",Games_Raw!$I$2:$I$1232,B43,Games_Raw!$J$2:$J$1232,A43)</ns0:f>
        <ns0:v>1</ns0:v>
      </ns0:c>
      <ns0:c r="E43" t="str">
        <ns0:f>C43&amp;"-"&amp;D43</ns0:f>
        <ns0:v>1-1</ns0:v>
      </ns0:c>
      <ns0:c r="F43">
        <ns0:f>COUNTIFS(Games_Raw!$K$2:$K$1232,"Yes",Games_Raw!$I$2:$I$1232,A43)</ns0:f>
        <ns0:v>61</ns0:v>
      </ns0:c>
      <ns0:c r="G43">
        <ns0:f>COUNTIFS(Games_Raw!$K$2:$K$1232,"Yes",Games_Raw!$J$2:$J$1232,A43)</ns0:f>
        <ns0:v>21</ns0:v>
      </ns0:c>
    </ns0:row>
    <ns0:row r="44">
      <ns0:c r="A44" t="inlineStr">
        <ns0:is>
          <ns0:t>Boston Celtics</ns0:t>
        </ns0:is>
      </ns0:c>
      <ns0:c r="B44" t="inlineStr">
        <ns0:is>
          <ns0:t>Memphis Grizzlies</ns0:t>
        </ns0:is>
      </ns0:c>
      <ns0:c r="C44">
        <ns0:f>COUNTIFS(Games_Raw!$K$2:$K$1232,"Yes",Games_Raw!$I$2:$I$1232,A44,Games_Raw!$J$2:$J$1232,B44)</ns0:f>
        <ns0:v>1</ns0:v>
      </ns0:c>
      <ns0:c r="D44">
        <ns0:f>COUNTIFS(Games_Raw!$K$2:$K$1232,"Yes",Games_Raw!$I$2:$I$1232,B44,Games_Raw!$J$2:$J$1232,A44)</ns0:f>
        <ns0:v>1</ns0:v>
      </ns0:c>
      <ns0:c r="E44" t="str">
        <ns0:f>C44&amp;"-"&amp;D44</ns0:f>
        <ns0:v>1-1</ns0:v>
      </ns0:c>
      <ns0:c r="F44">
        <ns0:f>COUNTIFS(Games_Raw!$K$2:$K$1232,"Yes",Games_Raw!$I$2:$I$1232,A44)</ns0:f>
        <ns0:v>61</ns0:v>
      </ns0:c>
      <ns0:c r="G44">
        <ns0:f>COUNTIFS(Games_Raw!$K$2:$K$1232,"Yes",Games_Raw!$J$2:$J$1232,A44)</ns0:f>
        <ns0:v>21</ns0:v>
      </ns0:c>
    </ns0:row>
    <ns0:row r="45">
      <ns0:c r="A45" t="inlineStr">
        <ns0:is>
          <ns0:t>Boston Celtics</ns0:t>
        </ns0:is>
      </ns0:c>
      <ns0:c r="B45" t="inlineStr">
        <ns0:is>
          <ns0:t>Miami Heat</ns0:t>
        </ns0:is>
      </ns0:c>
      <ns0:c r="C45">
        <ns0:f>COUNTIFS(Games_Raw!$K$2:$K$1232,"Yes",Games_Raw!$I$2:$I$1232,A45,Games_Raw!$J$2:$J$1232,B45)</ns0:f>
        <ns0:v>3</ns0:v>
      </ns0:c>
      <ns0:c r="D45">
        <ns0:f>COUNTIFS(Games_Raw!$K$2:$K$1232,"Yes",Games_Raw!$I$2:$I$1232,B45,Games_Raw!$J$2:$J$1232,A45)</ns0:f>
        <ns0:v>1</ns0:v>
      </ns0:c>
      <ns0:c r="E45" t="str">
        <ns0:f>C45&amp;"-"&amp;D45</ns0:f>
        <ns0:v>3-1</ns0:v>
      </ns0:c>
      <ns0:c r="F45">
        <ns0:f>COUNTIFS(Games_Raw!$K$2:$K$1232,"Yes",Games_Raw!$I$2:$I$1232,A45)</ns0:f>
        <ns0:v>61</ns0:v>
      </ns0:c>
      <ns0:c r="G45">
        <ns0:f>COUNTIFS(Games_Raw!$K$2:$K$1232,"Yes",Games_Raw!$J$2:$J$1232,A45)</ns0:f>
        <ns0:v>21</ns0:v>
      </ns0:c>
    </ns0:row>
    <ns0:row r="46">
      <ns0:c r="A46" t="inlineStr">
        <ns0:is>
          <ns0:t>Boston Celtics</ns0:t>
        </ns0:is>
      </ns0:c>
      <ns0:c r="B46" t="inlineStr">
        <ns0:is>
          <ns0:t>Milwaukee Bucks</ns0:t>
        </ns0:is>
      </ns0:c>
      <ns0:c r="C46">
        <ns0:f>COUNTIFS(Games_Raw!$K$2:$K$1232,"Yes",Games_Raw!$I$2:$I$1232,A46,Games_Raw!$J$2:$J$1232,B46)</ns0:f>
        <ns0:v>3</ns0:v>
      </ns0:c>
      <ns0:c r="D46">
        <ns0:f>COUNTIFS(Games_Raw!$K$2:$K$1232,"Yes",Games_Raw!$I$2:$I$1232,B46,Games_Raw!$J$2:$J$1232,A46)</ns0:f>
        <ns0:v>0</ns0:v>
      </ns0:c>
      <ns0:c r="E46" t="str">
        <ns0:f>C46&amp;"-"&amp;D46</ns0:f>
        <ns0:v>3-0</ns0:v>
      </ns0:c>
      <ns0:c r="F46">
        <ns0:f>COUNTIFS(Games_Raw!$K$2:$K$1232,"Yes",Games_Raw!$I$2:$I$1232,A46)</ns0:f>
        <ns0:v>61</ns0:v>
      </ns0:c>
      <ns0:c r="G46">
        <ns0:f>COUNTIFS(Games_Raw!$K$2:$K$1232,"Yes",Games_Raw!$J$2:$J$1232,A46)</ns0:f>
        <ns0:v>21</ns0:v>
      </ns0:c>
    </ns0:row>
    <ns0:row r="47">
      <ns0:c r="A47" t="inlineStr">
        <ns0:is>
          <ns0:t>Boston Celtics</ns0:t>
        </ns0:is>
      </ns0:c>
      <ns0:c r="B47" t="inlineStr">
        <ns0:is>
          <ns0:t>Minnesota Timberwolves</ns0:t>
        </ns0:is>
      </ns0:c>
      <ns0:c r="C47">
        <ns0:f>COUNTIFS(Games_Raw!$K$2:$K$1232,"Yes",Games_Raw!$I$2:$I$1232,A47,Games_Raw!$J$2:$J$1232,B47)</ns0:f>
        <ns0:v>2</ns0:v>
      </ns0:c>
      <ns0:c r="D47">
        <ns0:f>COUNTIFS(Games_Raw!$K$2:$K$1232,"Yes",Games_Raw!$I$2:$I$1232,B47,Games_Raw!$J$2:$J$1232,A47)</ns0:f>
        <ns0:v>0</ns0:v>
      </ns0:c>
      <ns0:c r="E47" t="str">
        <ns0:f>C47&amp;"-"&amp;D47</ns0:f>
        <ns0:v>2-0</ns0:v>
      </ns0:c>
      <ns0:c r="F47">
        <ns0:f>COUNTIFS(Games_Raw!$K$2:$K$1232,"Yes",Games_Raw!$I$2:$I$1232,A47)</ns0:f>
        <ns0:v>61</ns0:v>
      </ns0:c>
      <ns0:c r="G47">
        <ns0:f>COUNTIFS(Games_Raw!$K$2:$K$1232,"Yes",Games_Raw!$J$2:$J$1232,A47)</ns0:f>
        <ns0:v>21</ns0:v>
      </ns0:c>
    </ns0:row>
    <ns0:row r="48">
      <ns0:c r="A48" t="inlineStr">
        <ns0:is>
          <ns0:t>Boston Celtics</ns0:t>
        </ns0:is>
      </ns0:c>
      <ns0:c r="B48" t="inlineStr">
        <ns0:is>
          <ns0:t>New Orleans Pelicans</ns0:t>
        </ns0:is>
      </ns0:c>
      <ns0:c r="C48">
        <ns0:f>COUNTIFS(Games_Raw!$K$2:$K$1232,"Yes",Games_Raw!$I$2:$I$1232,A48,Games_Raw!$J$2:$J$1232,B48)</ns0:f>
        <ns0:v>2</ns0:v>
      </ns0:c>
      <ns0:c r="D48">
        <ns0:f>COUNTIFS(Games_Raw!$K$2:$K$1232,"Yes",Games_Raw!$I$2:$I$1232,B48,Games_Raw!$J$2:$J$1232,A48)</ns0:f>
        <ns0:v>0</ns0:v>
      </ns0:c>
      <ns0:c r="E48" t="str">
        <ns0:f>C48&amp;"-"&amp;D48</ns0:f>
        <ns0:v>2-0</ns0:v>
      </ns0:c>
      <ns0:c r="F48">
        <ns0:f>COUNTIFS(Games_Raw!$K$2:$K$1232,"Yes",Games_Raw!$I$2:$I$1232,A48)</ns0:f>
        <ns0:v>61</ns0:v>
      </ns0:c>
      <ns0:c r="G48">
        <ns0:f>COUNTIFS(Games_Raw!$K$2:$K$1232,"Yes",Games_Raw!$J$2:$J$1232,A48)</ns0:f>
        <ns0:v>21</ns0:v>
      </ns0:c>
    </ns0:row>
    <ns0:row r="49">
      <ns0:c r="A49" t="inlineStr">
        <ns0:is>
          <ns0:t>Boston Celtics</ns0:t>
        </ns0:is>
      </ns0:c>
      <ns0:c r="B49" t="inlineStr">
        <ns0:is>
          <ns0:t>New York Knicks</ns0:t>
        </ns0:is>
      </ns0:c>
      <ns0:c r="C49">
        <ns0:f>COUNTIFS(Games_Raw!$K$2:$K$1232,"Yes",Games_Raw!$I$2:$I$1232,A49,Games_Raw!$J$2:$J$1232,B49)</ns0:f>
        <ns0:v>4</ns0:v>
      </ns0:c>
      <ns0:c r="D49">
        <ns0:f>COUNTIFS(Games_Raw!$K$2:$K$1232,"Yes",Games_Raw!$I$2:$I$1232,B49,Games_Raw!$J$2:$J$1232,A49)</ns0:f>
        <ns0:v>0</ns0:v>
      </ns0:c>
      <ns0:c r="E49" t="str">
        <ns0:f>C49&amp;"-"&amp;D49</ns0:f>
        <ns0:v>4-0</ns0:v>
      </ns0:c>
      <ns0:c r="F49">
        <ns0:f>COUNTIFS(Games_Raw!$K$2:$K$1232,"Yes",Games_Raw!$I$2:$I$1232,A49)</ns0:f>
        <ns0:v>61</ns0:v>
      </ns0:c>
      <ns0:c r="G49">
        <ns0:f>COUNTIFS(Games_Raw!$K$2:$K$1232,"Yes",Games_Raw!$J$2:$J$1232,A49)</ns0:f>
        <ns0:v>21</ns0:v>
      </ns0:c>
    </ns0:row>
    <ns0:row r="50">
      <ns0:c r="A50" t="inlineStr">
        <ns0:is>
          <ns0:t>Boston Celtics</ns0:t>
        </ns0:is>
      </ns0:c>
      <ns0:c r="B50" t="inlineStr">
        <ns0:is>
          <ns0:t>Oklahoma City Thunder</ns0:t>
        </ns0:is>
      </ns0:c>
      <ns0:c r="C50">
        <ns0:f>COUNTIFS(Games_Raw!$K$2:$K$1232,"Yes",Games_Raw!$I$2:$I$1232,A50,Games_Raw!$J$2:$J$1232,B50)</ns0:f>
        <ns0:v>0</ns0:v>
      </ns0:c>
      <ns0:c r="D50">
        <ns0:f>COUNTIFS(Games_Raw!$K$2:$K$1232,"Yes",Games_Raw!$I$2:$I$1232,B50,Games_Raw!$J$2:$J$1232,A50)</ns0:f>
        <ns0:v>2</ns0:v>
      </ns0:c>
      <ns0:c r="E50" t="str">
        <ns0:f>C50&amp;"-"&amp;D50</ns0:f>
        <ns0:v>0-2</ns0:v>
      </ns0:c>
      <ns0:c r="F50">
        <ns0:f>COUNTIFS(Games_Raw!$K$2:$K$1232,"Yes",Games_Raw!$I$2:$I$1232,A50)</ns0:f>
        <ns0:v>61</ns0:v>
      </ns0:c>
      <ns0:c r="G50">
        <ns0:f>COUNTIFS(Games_Raw!$K$2:$K$1232,"Yes",Games_Raw!$J$2:$J$1232,A50)</ns0:f>
        <ns0:v>21</ns0:v>
      </ns0:c>
    </ns0:row>
    <ns0:row r="51">
      <ns0:c r="A51" t="inlineStr">
        <ns0:is>
          <ns0:t>Boston Celtics</ns0:t>
        </ns0:is>
      </ns0:c>
      <ns0:c r="B51" t="inlineStr">
        <ns0:is>
          <ns0:t>Orlando Magic</ns0:t>
        </ns0:is>
      </ns0:c>
      <ns0:c r="C51">
        <ns0:f>COUNTIFS(Games_Raw!$K$2:$K$1232,"Yes",Games_Raw!$I$2:$I$1232,A51,Games_Raw!$J$2:$J$1232,B51)</ns0:f>
        <ns0:v>1</ns0:v>
      </ns0:c>
      <ns0:c r="D51">
        <ns0:f>COUNTIFS(Games_Raw!$K$2:$K$1232,"Yes",Games_Raw!$I$2:$I$1232,B51,Games_Raw!$J$2:$J$1232,A51)</ns0:f>
        <ns0:v>2</ns0:v>
      </ns0:c>
      <ns0:c r="E51" t="str">
        <ns0:f>C51&amp;"-"&amp;D51</ns0:f>
        <ns0:v>1-2</ns0:v>
      </ns0:c>
      <ns0:c r="F51">
        <ns0:f>COUNTIFS(Games_Raw!$K$2:$K$1232,"Yes",Games_Raw!$I$2:$I$1232,A51)</ns0:f>
        <ns0:v>61</ns0:v>
      </ns0:c>
      <ns0:c r="G51">
        <ns0:f>COUNTIFS(Games_Raw!$K$2:$K$1232,"Yes",Games_Raw!$J$2:$J$1232,A51)</ns0:f>
        <ns0:v>21</ns0:v>
      </ns0:c>
    </ns0:row>
    <ns0:row r="52">
      <ns0:c r="A52" t="inlineStr">
        <ns0:is>
          <ns0:t>Boston Celtics</ns0:t>
        </ns0:is>
      </ns0:c>
      <ns0:c r="B52" t="inlineStr">
        <ns0:is>
          <ns0:t>Philadelphia 76ers</ns0:t>
        </ns0:is>
      </ns0:c>
      <ns0:c r="C52">
        <ns0:f>COUNTIFS(Games_Raw!$K$2:$K$1232,"Yes",Games_Raw!$I$2:$I$1232,A52,Games_Raw!$J$2:$J$1232,B52)</ns0:f>
        <ns0:v>3</ns0:v>
      </ns0:c>
      <ns0:c r="D52">
        <ns0:f>COUNTIFS(Games_Raw!$K$2:$K$1232,"Yes",Games_Raw!$I$2:$I$1232,B52,Games_Raw!$J$2:$J$1232,A52)</ns0:f>
        <ns0:v>1</ns0:v>
      </ns0:c>
      <ns0:c r="E52" t="str">
        <ns0:f>C52&amp;"-"&amp;D52</ns0:f>
        <ns0:v>3-1</ns0:v>
      </ns0:c>
      <ns0:c r="F52">
        <ns0:f>COUNTIFS(Games_Raw!$K$2:$K$1232,"Yes",Games_Raw!$I$2:$I$1232,A52)</ns0:f>
        <ns0:v>61</ns0:v>
      </ns0:c>
      <ns0:c r="G52">
        <ns0:f>COUNTIFS(Games_Raw!$K$2:$K$1232,"Yes",Games_Raw!$J$2:$J$1232,A52)</ns0:f>
        <ns0:v>21</ns0:v>
      </ns0:c>
    </ns0:row>
    <ns0:row r="53">
      <ns0:c r="A53" t="inlineStr">
        <ns0:is>
          <ns0:t>Boston Celtics</ns0:t>
        </ns0:is>
      </ns0:c>
      <ns0:c r="B53" t="inlineStr">
        <ns0:is>
          <ns0:t>Phoenix Suns</ns0:t>
        </ns0:is>
      </ns0:c>
      <ns0:c r="C53">
        <ns0:f>COUNTIFS(Games_Raw!$K$2:$K$1232,"Yes",Games_Raw!$I$2:$I$1232,A53,Games_Raw!$J$2:$J$1232,B53)</ns0:f>
        <ns0:v>2</ns0:v>
      </ns0:c>
      <ns0:c r="D53">
        <ns0:f>COUNTIFS(Games_Raw!$K$2:$K$1232,"Yes",Games_Raw!$I$2:$I$1232,B53,Games_Raw!$J$2:$J$1232,A53)</ns0:f>
        <ns0:v>0</ns0:v>
      </ns0:c>
      <ns0:c r="E53" t="str">
        <ns0:f>C53&amp;"-"&amp;D53</ns0:f>
        <ns0:v>2-0</ns0:v>
      </ns0:c>
      <ns0:c r="F53">
        <ns0:f>COUNTIFS(Games_Raw!$K$2:$K$1232,"Yes",Games_Raw!$I$2:$I$1232,A53)</ns0:f>
        <ns0:v>61</ns0:v>
      </ns0:c>
      <ns0:c r="G53">
        <ns0:f>COUNTIFS(Games_Raw!$K$2:$K$1232,"Yes",Games_Raw!$J$2:$J$1232,A53)</ns0:f>
        <ns0:v>21</ns0:v>
      </ns0:c>
    </ns0:row>
    <ns0:row r="54">
      <ns0:c r="A54" t="inlineStr">
        <ns0:is>
          <ns0:t>Boston Celtics</ns0:t>
        </ns0:is>
      </ns0:c>
      <ns0:c r="B54" t="inlineStr">
        <ns0:is>
          <ns0:t>Portland Trail Blazers</ns0:t>
        </ns0:is>
      </ns0:c>
      <ns0:c r="C54">
        <ns0:f>COUNTIFS(Games_Raw!$K$2:$K$1232,"Yes",Games_Raw!$I$2:$I$1232,A54,Games_Raw!$J$2:$J$1232,B54)</ns0:f>
        <ns0:v>2</ns0:v>
      </ns0:c>
      <ns0:c r="D54">
        <ns0:f>COUNTIFS(Games_Raw!$K$2:$K$1232,"Yes",Games_Raw!$I$2:$I$1232,B54,Games_Raw!$J$2:$J$1232,A54)</ns0:f>
        <ns0:v>0</ns0:v>
      </ns0:c>
      <ns0:c r="E54" t="str">
        <ns0:f>C54&amp;"-"&amp;D54</ns0:f>
        <ns0:v>2-0</ns0:v>
      </ns0:c>
      <ns0:c r="F54">
        <ns0:f>COUNTIFS(Games_Raw!$K$2:$K$1232,"Yes",Games_Raw!$I$2:$I$1232,A54)</ns0:f>
        <ns0:v>61</ns0:v>
      </ns0:c>
      <ns0:c r="G54">
        <ns0:f>COUNTIFS(Games_Raw!$K$2:$K$1232,"Yes",Games_Raw!$J$2:$J$1232,A54)</ns0:f>
        <ns0:v>21</ns0:v>
      </ns0:c>
    </ns0:row>
    <ns0:row r="55">
      <ns0:c r="A55" t="inlineStr">
        <ns0:is>
          <ns0:t>Boston Celtics</ns0:t>
        </ns0:is>
      </ns0:c>
      <ns0:c r="B55" t="inlineStr">
        <ns0:is>
          <ns0:t>Sacramento Kings</ns0:t>
        </ns0:is>
      </ns0:c>
      <ns0:c r="C55">
        <ns0:f>COUNTIFS(Games_Raw!$K$2:$K$1232,"Yes",Games_Raw!$I$2:$I$1232,A55,Games_Raw!$J$2:$J$1232,B55)</ns0:f>
        <ns0:v>1</ns0:v>
      </ns0:c>
      <ns0:c r="D55">
        <ns0:f>COUNTIFS(Games_Raw!$K$2:$K$1232,"Yes",Games_Raw!$I$2:$I$1232,B55,Games_Raw!$J$2:$J$1232,A55)</ns0:f>
        <ns0:v>1</ns0:v>
      </ns0:c>
      <ns0:c r="E55" t="str">
        <ns0:f>C55&amp;"-"&amp;D55</ns0:f>
        <ns0:v>1-1</ns0:v>
      </ns0:c>
      <ns0:c r="F55">
        <ns0:f>COUNTIFS(Games_Raw!$K$2:$K$1232,"Yes",Games_Raw!$I$2:$I$1232,A55)</ns0:f>
        <ns0:v>61</ns0:v>
      </ns0:c>
      <ns0:c r="G55">
        <ns0:f>COUNTIFS(Games_Raw!$K$2:$K$1232,"Yes",Games_Raw!$J$2:$J$1232,A55)</ns0:f>
        <ns0:v>21</ns0:v>
      </ns0:c>
    </ns0:row>
    <ns0:row r="56">
      <ns0:c r="A56" t="inlineStr">
        <ns0:is>
          <ns0:t>Boston Celtics</ns0:t>
        </ns0:is>
      </ns0:c>
      <ns0:c r="B56" t="inlineStr">
        <ns0:is>
          <ns0:t>San Antonio Spurs</ns0:t>
        </ns0:is>
      </ns0:c>
      <ns0:c r="C56">
        <ns0:f>COUNTIFS(Games_Raw!$K$2:$K$1232,"Yes",Games_Raw!$I$2:$I$1232,A56,Games_Raw!$J$2:$J$1232,B56)</ns0:f>
        <ns0:v>2</ns0:v>
      </ns0:c>
      <ns0:c r="D56">
        <ns0:f>COUNTIFS(Games_Raw!$K$2:$K$1232,"Yes",Games_Raw!$I$2:$I$1232,B56,Games_Raw!$J$2:$J$1232,A56)</ns0:f>
        <ns0:v>0</ns0:v>
      </ns0:c>
      <ns0:c r="E56" t="str">
        <ns0:f>C56&amp;"-"&amp;D56</ns0:f>
        <ns0:v>2-0</ns0:v>
      </ns0:c>
      <ns0:c r="F56">
        <ns0:f>COUNTIFS(Games_Raw!$K$2:$K$1232,"Yes",Games_Raw!$I$2:$I$1232,A56)</ns0:f>
        <ns0:v>61</ns0:v>
      </ns0:c>
      <ns0:c r="G56">
        <ns0:f>COUNTIFS(Games_Raw!$K$2:$K$1232,"Yes",Games_Raw!$J$2:$J$1232,A56)</ns0:f>
        <ns0:v>21</ns0:v>
      </ns0:c>
    </ns0:row>
    <ns0:row r="57">
      <ns0:c r="A57" t="inlineStr">
        <ns0:is>
          <ns0:t>Boston Celtics</ns0:t>
        </ns0:is>
      </ns0:c>
      <ns0:c r="B57" t="inlineStr">
        <ns0:is>
          <ns0:t>Toronto Raptors</ns0:t>
        </ns0:is>
      </ns0:c>
      <ns0:c r="C57">
        <ns0:f>COUNTIFS(Games_Raw!$K$2:$K$1232,"Yes",Games_Raw!$I$2:$I$1232,A57,Games_Raw!$J$2:$J$1232,B57)</ns0:f>
        <ns0:v>3</ns0:v>
      </ns0:c>
      <ns0:c r="D57">
        <ns0:f>COUNTIFS(Games_Raw!$K$2:$K$1232,"Yes",Games_Raw!$I$2:$I$1232,B57,Games_Raw!$J$2:$J$1232,A57)</ns0:f>
        <ns0:v>1</ns0:v>
      </ns0:c>
      <ns0:c r="E57" t="str">
        <ns0:f>C57&amp;"-"&amp;D57</ns0:f>
        <ns0:v>3-1</ns0:v>
      </ns0:c>
      <ns0:c r="F57">
        <ns0:f>COUNTIFS(Games_Raw!$K$2:$K$1232,"Yes",Games_Raw!$I$2:$I$1232,A57)</ns0:f>
        <ns0:v>61</ns0:v>
      </ns0:c>
      <ns0:c r="G57">
        <ns0:f>COUNTIFS(Games_Raw!$K$2:$K$1232,"Yes",Games_Raw!$J$2:$J$1232,A57)</ns0:f>
        <ns0:v>21</ns0:v>
      </ns0:c>
    </ns0:row>
    <ns0:row r="58">
      <ns0:c r="A58" t="inlineStr">
        <ns0:is>
          <ns0:t>Boston Celtics</ns0:t>
        </ns0:is>
      </ns0:c>
      <ns0:c r="B58" t="inlineStr">
        <ns0:is>
          <ns0:t>Utah Jazz</ns0:t>
        </ns0:is>
      </ns0:c>
      <ns0:c r="C58">
        <ns0:f>COUNTIFS(Games_Raw!$K$2:$K$1232,"Yes",Games_Raw!$I$2:$I$1232,A58,Games_Raw!$J$2:$J$1232,B58)</ns0:f>
        <ns0:v>2</ns0:v>
      </ns0:c>
      <ns0:c r="D58">
        <ns0:f>COUNTIFS(Games_Raw!$K$2:$K$1232,"Yes",Games_Raw!$I$2:$I$1232,B58,Games_Raw!$J$2:$J$1232,A58)</ns0:f>
        <ns0:v>0</ns0:v>
      </ns0:c>
      <ns0:c r="E58" t="str">
        <ns0:f>C58&amp;"-"&amp;D58</ns0:f>
        <ns0:v>2-0</ns0:v>
      </ns0:c>
      <ns0:c r="F58">
        <ns0:f>COUNTIFS(Games_Raw!$K$2:$K$1232,"Yes",Games_Raw!$I$2:$I$1232,A58)</ns0:f>
        <ns0:v>61</ns0:v>
      </ns0:c>
      <ns0:c r="G58">
        <ns0:f>COUNTIFS(Games_Raw!$K$2:$K$1232,"Yes",Games_Raw!$J$2:$J$1232,A58)</ns0:f>
        <ns0:v>21</ns0:v>
      </ns0:c>
    </ns0:row>
    <ns0:row r="59">
      <ns0:c r="A59" t="inlineStr">
        <ns0:is>
          <ns0:t>Boston Celtics</ns0:t>
        </ns0:is>
      </ns0:c>
      <ns0:c r="B59" t="inlineStr">
        <ns0:is>
          <ns0:t>Washington Wizards</ns0:t>
        </ns0:is>
      </ns0:c>
      <ns0:c r="C59">
        <ns0:f>COUNTIFS(Games_Raw!$K$2:$K$1232,"Yes",Games_Raw!$I$2:$I$1232,A59,Games_Raw!$J$2:$J$1232,B59)</ns0:f>
        <ns0:v>4</ns0:v>
      </ns0:c>
      <ns0:c r="D59">
        <ns0:f>COUNTIFS(Games_Raw!$K$2:$K$1232,"Yes",Games_Raw!$I$2:$I$1232,B59,Games_Raw!$J$2:$J$1232,A59)</ns0:f>
        <ns0:v>0</ns0:v>
      </ns0:c>
      <ns0:c r="E59" t="str">
        <ns0:f>C59&amp;"-"&amp;D59</ns0:f>
        <ns0:v>4-0</ns0:v>
      </ns0:c>
      <ns0:c r="F59">
        <ns0:f>COUNTIFS(Games_Raw!$K$2:$K$1232,"Yes",Games_Raw!$I$2:$I$1232,A59)</ns0:f>
        <ns0:v>61</ns0:v>
      </ns0:c>
      <ns0:c r="G59">
        <ns0:f>COUNTIFS(Games_Raw!$K$2:$K$1232,"Yes",Games_Raw!$J$2:$J$1232,A59)</ns0:f>
        <ns0:v>21</ns0:v>
      </ns0:c>
    </ns0:row>
    <ns0:row r="60">
      <ns0:c r="A60" t="inlineStr">
        <ns0:is>
          <ns0:t>Brooklyn Nets</ns0:t>
        </ns0:is>
      </ns0:c>
      <ns0:c r="B60" t="inlineStr">
        <ns0:is>
          <ns0:t>Atlanta Hawks</ns0:t>
        </ns0:is>
      </ns0:c>
      <ns0:c r="C60">
        <ns0:f>COUNTIFS(Games_Raw!$K$2:$K$1232,"Yes",Games_Raw!$I$2:$I$1232,A60,Games_Raw!$J$2:$J$1232,B60)</ns0:f>
        <ns0:v>1</ns0:v>
      </ns0:c>
      <ns0:c r="D60">
        <ns0:f>COUNTIFS(Games_Raw!$K$2:$K$1232,"Yes",Games_Raw!$I$2:$I$1232,B60,Games_Raw!$J$2:$J$1232,A60)</ns0:f>
        <ns0:v>2</ns0:v>
      </ns0:c>
      <ns0:c r="E60" t="str">
        <ns0:f>C60&amp;"-"&amp;D60</ns0:f>
        <ns0:v>1-2</ns0:v>
      </ns0:c>
      <ns0:c r="F60">
        <ns0:f>COUNTIFS(Games_Raw!$K$2:$K$1232,"Yes",Games_Raw!$I$2:$I$1232,A60)</ns0:f>
        <ns0:v>26</ns0:v>
      </ns0:c>
      <ns0:c r="G60">
        <ns0:f>COUNTIFS(Games_Raw!$K$2:$K$1232,"Yes",Games_Raw!$J$2:$J$1232,A60)</ns0:f>
        <ns0:v>56</ns0:v>
      </ns0:c>
    </ns0:row>
    <ns0:row r="61">
      <ns0:c r="A61" t="inlineStr">
        <ns0:is>
          <ns0:t>Brooklyn Nets</ns0:t>
        </ns0:is>
      </ns0:c>
      <ns0:c r="B61" t="inlineStr">
        <ns0:is>
          <ns0:t>Boston Celtics</ns0:t>
        </ns0:is>
      </ns0:c>
      <ns0:c r="C61">
        <ns0:f>COUNTIFS(Games_Raw!$K$2:$K$1232,"Yes",Games_Raw!$I$2:$I$1232,A61,Games_Raw!$J$2:$J$1232,B61)</ns0:f>
        <ns0:v>0</ns0:v>
      </ns0:c>
      <ns0:c r="D61">
        <ns0:f>COUNTIFS(Games_Raw!$K$2:$K$1232,"Yes",Games_Raw!$I$2:$I$1232,B61,Games_Raw!$J$2:$J$1232,A61)</ns0:f>
        <ns0:v>4</ns0:v>
      </ns0:c>
      <ns0:c r="E61" t="str">
        <ns0:f>C61&amp;"-"&amp;D61</ns0:f>
        <ns0:v>0-4</ns0:v>
      </ns0:c>
      <ns0:c r="F61">
        <ns0:f>COUNTIFS(Games_Raw!$K$2:$K$1232,"Yes",Games_Raw!$I$2:$I$1232,A61)</ns0:f>
        <ns0:v>26</ns0:v>
      </ns0:c>
      <ns0:c r="G61">
        <ns0:f>COUNTIFS(Games_Raw!$K$2:$K$1232,"Yes",Games_Raw!$J$2:$J$1232,A61)</ns0:f>
        <ns0:v>56</ns0:v>
      </ns0:c>
    </ns0:row>
    <ns0:row r="62">
      <ns0:c r="A62" t="inlineStr">
        <ns0:is>
          <ns0:t>Brooklyn Nets</ns0:t>
        </ns0:is>
      </ns0:c>
      <ns0:c r="B62" t="inlineStr">
        <ns0:is>
          <ns0:t>Charlotte Hornets</ns0:t>
        </ns0:is>
      </ns0:c>
      <ns0:c r="C62">
        <ns0:f>COUNTIFS(Games_Raw!$K$2:$K$1232,"Yes",Games_Raw!$I$2:$I$1232,A62,Games_Raw!$J$2:$J$1232,B62)</ns0:f>
        <ns0:v>3</ns0:v>
      </ns0:c>
      <ns0:c r="D62">
        <ns0:f>COUNTIFS(Games_Raw!$K$2:$K$1232,"Yes",Games_Raw!$I$2:$I$1232,B62,Games_Raw!$J$2:$J$1232,A62)</ns0:f>
        <ns0:v>1</ns0:v>
      </ns0:c>
      <ns0:c r="E62" t="str">
        <ns0:f>C62&amp;"-"&amp;D62</ns0:f>
        <ns0:v>3-1</ns0:v>
      </ns0:c>
      <ns0:c r="F62">
        <ns0:f>COUNTIFS(Games_Raw!$K$2:$K$1232,"Yes",Games_Raw!$I$2:$I$1232,A62)</ns0:f>
        <ns0:v>26</ns0:v>
      </ns0:c>
      <ns0:c r="G62">
        <ns0:f>COUNTIFS(Games_Raw!$K$2:$K$1232,"Yes",Games_Raw!$J$2:$J$1232,A62)</ns0:f>
        <ns0:v>56</ns0:v>
      </ns0:c>
    </ns0:row>
    <ns0:row r="63">
      <ns0:c r="A63" t="inlineStr">
        <ns0:is>
          <ns0:t>Brooklyn Nets</ns0:t>
        </ns0:is>
      </ns0:c>
      <ns0:c r="B63" t="inlineStr">
        <ns0:is>
          <ns0:t>Chicago Bulls</ns0:t>
        </ns0:is>
      </ns0:c>
      <ns0:c r="C63">
        <ns0:f>COUNTIFS(Games_Raw!$K$2:$K$1232,"Yes",Games_Raw!$I$2:$I$1232,A63,Games_Raw!$J$2:$J$1232,B63)</ns0:f>
        <ns0:v>1</ns0:v>
      </ns0:c>
      <ns0:c r="D63">
        <ns0:f>COUNTIFS(Games_Raw!$K$2:$K$1232,"Yes",Games_Raw!$I$2:$I$1232,B63,Games_Raw!$J$2:$J$1232,A63)</ns0:f>
        <ns0:v>2</ns0:v>
      </ns0:c>
      <ns0:c r="E63" t="str">
        <ns0:f>C63&amp;"-"&amp;D63</ns0:f>
        <ns0:v>1-2</ns0:v>
      </ns0:c>
      <ns0:c r="F63">
        <ns0:f>COUNTIFS(Games_Raw!$K$2:$K$1232,"Yes",Games_Raw!$I$2:$I$1232,A63)</ns0:f>
        <ns0:v>26</ns0:v>
      </ns0:c>
      <ns0:c r="G63">
        <ns0:f>COUNTIFS(Games_Raw!$K$2:$K$1232,"Yes",Games_Raw!$J$2:$J$1232,A63)</ns0:f>
        <ns0:v>56</ns0:v>
      </ns0:c>
    </ns0:row>
    <ns0:row r="64">
      <ns0:c r="A64" t="inlineStr">
        <ns0:is>
          <ns0:t>Brooklyn Nets</ns0:t>
        </ns0:is>
      </ns0:c>
      <ns0:c r="B64" t="inlineStr">
        <ns0:is>
          <ns0:t>Cleveland Cavaliers</ns0:t>
        </ns0:is>
      </ns0:c>
      <ns0:c r="C64">
        <ns0:f>COUNTIFS(Games_Raw!$K$2:$K$1232,"Yes",Games_Raw!$I$2:$I$1232,A64,Games_Raw!$J$2:$J$1232,B64)</ns0:f>
        <ns0:v>0</ns0:v>
      </ns0:c>
      <ns0:c r="D64">
        <ns0:f>COUNTIFS(Games_Raw!$K$2:$K$1232,"Yes",Games_Raw!$I$2:$I$1232,B64,Games_Raw!$J$2:$J$1232,A64)</ns0:f>
        <ns0:v>4</ns0:v>
      </ns0:c>
      <ns0:c r="E64" t="str">
        <ns0:f>C64&amp;"-"&amp;D64</ns0:f>
        <ns0:v>0-4</ns0:v>
      </ns0:c>
      <ns0:c r="F64">
        <ns0:f>COUNTIFS(Games_Raw!$K$2:$K$1232,"Yes",Games_Raw!$I$2:$I$1232,A64)</ns0:f>
        <ns0:v>26</ns0:v>
      </ns0:c>
      <ns0:c r="G64">
        <ns0:f>COUNTIFS(Games_Raw!$K$2:$K$1232,"Yes",Games_Raw!$J$2:$J$1232,A64)</ns0:f>
        <ns0:v>56</ns0:v>
      </ns0:c>
    </ns0:row>
    <ns0:row r="65">
      <ns0:c r="A65" t="inlineStr">
        <ns0:is>
          <ns0:t>Brooklyn Nets</ns0:t>
        </ns0:is>
      </ns0:c>
      <ns0:c r="B65" t="inlineStr">
        <ns0:is>
          <ns0:t>Dallas Mavericks</ns0:t>
        </ns0:is>
      </ns0:c>
      <ns0:c r="C65">
        <ns0:f>COUNTIFS(Games_Raw!$K$2:$K$1232,"Yes",Games_Raw!$I$2:$I$1232,A65,Games_Raw!$J$2:$J$1232,B65)</ns0:f>
        <ns0:v>1</ns0:v>
      </ns0:c>
      <ns0:c r="D65">
        <ns0:f>COUNTIFS(Games_Raw!$K$2:$K$1232,"Yes",Games_Raw!$I$2:$I$1232,B65,Games_Raw!$J$2:$J$1232,A65)</ns0:f>
        <ns0:v>1</ns0:v>
      </ns0:c>
      <ns0:c r="E65" t="str">
        <ns0:f>C65&amp;"-"&amp;D65</ns0:f>
        <ns0:v>1-1</ns0:v>
      </ns0:c>
      <ns0:c r="F65">
        <ns0:f>COUNTIFS(Games_Raw!$K$2:$K$1232,"Yes",Games_Raw!$I$2:$I$1232,A65)</ns0:f>
        <ns0:v>26</ns0:v>
      </ns0:c>
      <ns0:c r="G65">
        <ns0:f>COUNTIFS(Games_Raw!$K$2:$K$1232,"Yes",Games_Raw!$J$2:$J$1232,A65)</ns0:f>
        <ns0:v>56</ns0:v>
      </ns0:c>
    </ns0:row>
    <ns0:row r="66">
      <ns0:c r="A66" t="inlineStr">
        <ns0:is>
          <ns0:t>Brooklyn Nets</ns0:t>
        </ns0:is>
      </ns0:c>
      <ns0:c r="B66" t="inlineStr">
        <ns0:is>
          <ns0:t>Denver Nuggets</ns0:t>
        </ns0:is>
      </ns0:c>
      <ns0:c r="C66">
        <ns0:f>COUNTIFS(Games_Raw!$K$2:$K$1232,"Yes",Games_Raw!$I$2:$I$1232,A66,Games_Raw!$J$2:$J$1232,B66)</ns0:f>
        <ns0:v>0</ns0:v>
      </ns0:c>
      <ns0:c r="D66">
        <ns0:f>COUNTIFS(Games_Raw!$K$2:$K$1232,"Yes",Games_Raw!$I$2:$I$1232,B66,Games_Raw!$J$2:$J$1232,A66)</ns0:f>
        <ns0:v>2</ns0:v>
      </ns0:c>
      <ns0:c r="E66" t="str">
        <ns0:f>C66&amp;"-"&amp;D66</ns0:f>
        <ns0:v>0-2</ns0:v>
      </ns0:c>
      <ns0:c r="F66">
        <ns0:f>COUNTIFS(Games_Raw!$K$2:$K$1232,"Yes",Games_Raw!$I$2:$I$1232,A66)</ns0:f>
        <ns0:v>26</ns0:v>
      </ns0:c>
      <ns0:c r="G66">
        <ns0:f>COUNTIFS(Games_Raw!$K$2:$K$1232,"Yes",Games_Raw!$J$2:$J$1232,A66)</ns0:f>
        <ns0:v>56</ns0:v>
      </ns0:c>
    </ns0:row>
    <ns0:row r="67">
      <ns0:c r="A67" t="inlineStr">
        <ns0:is>
          <ns0:t>Brooklyn Nets</ns0:t>
        </ns0:is>
      </ns0:c>
      <ns0:c r="B67" t="inlineStr">
        <ns0:is>
          <ns0:t>Detroit Pistons</ns0:t>
        </ns0:is>
      </ns0:c>
      <ns0:c r="C67">
        <ns0:f>COUNTIFS(Games_Raw!$K$2:$K$1232,"Yes",Games_Raw!$I$2:$I$1232,A67,Games_Raw!$J$2:$J$1232,B67)</ns0:f>
        <ns0:v>0</ns0:v>
      </ns0:c>
      <ns0:c r="D67">
        <ns0:f>COUNTIFS(Games_Raw!$K$2:$K$1232,"Yes",Games_Raw!$I$2:$I$1232,B67,Games_Raw!$J$2:$J$1232,A67)</ns0:f>
        <ns0:v>3</ns0:v>
      </ns0:c>
      <ns0:c r="E67" t="str">
        <ns0:f>C67&amp;"-"&amp;D67</ns0:f>
        <ns0:v>0-3</ns0:v>
      </ns0:c>
      <ns0:c r="F67">
        <ns0:f>COUNTIFS(Games_Raw!$K$2:$K$1232,"Yes",Games_Raw!$I$2:$I$1232,A67)</ns0:f>
        <ns0:v>26</ns0:v>
      </ns0:c>
      <ns0:c r="G67">
        <ns0:f>COUNTIFS(Games_Raw!$K$2:$K$1232,"Yes",Games_Raw!$J$2:$J$1232,A67)</ns0:f>
        <ns0:v>56</ns0:v>
      </ns0:c>
    </ns0:row>
    <ns0:row r="68">
      <ns0:c r="A68" t="inlineStr">
        <ns0:is>
          <ns0:t>Brooklyn Nets</ns0:t>
        </ns0:is>
      </ns0:c>
      <ns0:c r="B68" t="inlineStr">
        <ns0:is>
          <ns0:t>Golden State Warriors</ns0:t>
        </ns0:is>
      </ns0:c>
      <ns0:c r="C68">
        <ns0:f>COUNTIFS(Games_Raw!$K$2:$K$1232,"Yes",Games_Raw!$I$2:$I$1232,A68,Games_Raw!$J$2:$J$1232,B68)</ns0:f>
        <ns0:v>1</ns0:v>
      </ns0:c>
      <ns0:c r="D68">
        <ns0:f>COUNTIFS(Games_Raw!$K$2:$K$1232,"Yes",Games_Raw!$I$2:$I$1232,B68,Games_Raw!$J$2:$J$1232,A68)</ns0:f>
        <ns0:v>1</ns0:v>
      </ns0:c>
      <ns0:c r="E68" t="str">
        <ns0:f>C68&amp;"-"&amp;D68</ns0:f>
        <ns0:v>1-1</ns0:v>
      </ns0:c>
      <ns0:c r="F68">
        <ns0:f>COUNTIFS(Games_Raw!$K$2:$K$1232,"Yes",Games_Raw!$I$2:$I$1232,A68)</ns0:f>
        <ns0:v>26</ns0:v>
      </ns0:c>
      <ns0:c r="G68">
        <ns0:f>COUNTIFS(Games_Raw!$K$2:$K$1232,"Yes",Games_Raw!$J$2:$J$1232,A68)</ns0:f>
        <ns0:v>56</ns0:v>
      </ns0:c>
    </ns0:row>
    <ns0:row r="69">
      <ns0:c r="A69" t="inlineStr">
        <ns0:is>
          <ns0:t>Brooklyn Nets</ns0:t>
        </ns0:is>
      </ns0:c>
      <ns0:c r="B69" t="inlineStr">
        <ns0:is>
          <ns0:t>Houston Rockets</ns0:t>
        </ns0:is>
      </ns0:c>
      <ns0:c r="C69">
        <ns0:f>COUNTIFS(Games_Raw!$K$2:$K$1232,"Yes",Games_Raw!$I$2:$I$1232,A69,Games_Raw!$J$2:$J$1232,B69)</ns0:f>
        <ns0:v>2</ns0:v>
      </ns0:c>
      <ns0:c r="D69">
        <ns0:f>COUNTIFS(Games_Raw!$K$2:$K$1232,"Yes",Games_Raw!$I$2:$I$1232,B69,Games_Raw!$J$2:$J$1232,A69)</ns0:f>
        <ns0:v>0</ns0:v>
      </ns0:c>
      <ns0:c r="E69" t="str">
        <ns0:f>C69&amp;"-"&amp;D69</ns0:f>
        <ns0:v>2-0</ns0:v>
      </ns0:c>
      <ns0:c r="F69">
        <ns0:f>COUNTIFS(Games_Raw!$K$2:$K$1232,"Yes",Games_Raw!$I$2:$I$1232,A69)</ns0:f>
        <ns0:v>26</ns0:v>
      </ns0:c>
      <ns0:c r="G69">
        <ns0:f>COUNTIFS(Games_Raw!$K$2:$K$1232,"Yes",Games_Raw!$J$2:$J$1232,A69)</ns0:f>
        <ns0:v>56</ns0:v>
      </ns0:c>
    </ns0:row>
    <ns0:row r="70">
      <ns0:c r="A70" t="inlineStr">
        <ns0:is>
          <ns0:t>Brooklyn Nets</ns0:t>
        </ns0:is>
      </ns0:c>
      <ns0:c r="B70" t="inlineStr">
        <ns0:is>
          <ns0:t>Indiana Pacers</ns0:t>
        </ns0:is>
      </ns0:c>
      <ns0:c r="C70">
        <ns0:f>COUNTIFS(Games_Raw!$K$2:$K$1232,"Yes",Games_Raw!$I$2:$I$1232,A70,Games_Raw!$J$2:$J$1232,B70)</ns0:f>
        <ns0:v>1</ns0:v>
      </ns0:c>
      <ns0:c r="D70">
        <ns0:f>COUNTIFS(Games_Raw!$K$2:$K$1232,"Yes",Games_Raw!$I$2:$I$1232,B70,Games_Raw!$J$2:$J$1232,A70)</ns0:f>
        <ns0:v>3</ns0:v>
      </ns0:c>
      <ns0:c r="E70" t="str">
        <ns0:f>C70&amp;"-"&amp;D70</ns0:f>
        <ns0:v>1-3</ns0:v>
      </ns0:c>
      <ns0:c r="F70">
        <ns0:f>COUNTIFS(Games_Raw!$K$2:$K$1232,"Yes",Games_Raw!$I$2:$I$1232,A70)</ns0:f>
        <ns0:v>26</ns0:v>
      </ns0:c>
      <ns0:c r="G70">
        <ns0:f>COUNTIFS(Games_Raw!$K$2:$K$1232,"Yes",Games_Raw!$J$2:$J$1232,A70)</ns0:f>
        <ns0:v>56</ns0:v>
      </ns0:c>
    </ns0:row>
    <ns0:row r="71">
      <ns0:c r="A71" t="inlineStr">
        <ns0:is>
          <ns0:t>Brooklyn Nets</ns0:t>
        </ns0:is>
      </ns0:c>
      <ns0:c r="B71" t="inlineStr">
        <ns0:is>
          <ns0:t>LA Clippers</ns0:t>
        </ns0:is>
      </ns0:c>
      <ns0:c r="C71">
        <ns0:f>COUNTIFS(Games_Raw!$K$2:$K$1232,"Yes",Games_Raw!$I$2:$I$1232,A71,Games_Raw!$J$2:$J$1232,B71)</ns0:f>
        <ns0:v>0</ns0:v>
      </ns0:c>
      <ns0:c r="D71">
        <ns0:f>COUNTIFS(Games_Raw!$K$2:$K$1232,"Yes",Games_Raw!$I$2:$I$1232,B71,Games_Raw!$J$2:$J$1232,A71)</ns0:f>
        <ns0:v>2</ns0:v>
      </ns0:c>
      <ns0:c r="E71" t="str">
        <ns0:f>C71&amp;"-"&amp;D71</ns0:f>
        <ns0:v>0-2</ns0:v>
      </ns0:c>
      <ns0:c r="F71">
        <ns0:f>COUNTIFS(Games_Raw!$K$2:$K$1232,"Yes",Games_Raw!$I$2:$I$1232,A71)</ns0:f>
        <ns0:v>26</ns0:v>
      </ns0:c>
      <ns0:c r="G71">
        <ns0:f>COUNTIFS(Games_Raw!$K$2:$K$1232,"Yes",Games_Raw!$J$2:$J$1232,A71)</ns0:f>
        <ns0:v>56</ns0:v>
      </ns0:c>
    </ns0:row>
    <ns0:row r="72">
      <ns0:c r="A72" t="inlineStr">
        <ns0:is>
          <ns0:t>Brooklyn Nets</ns0:t>
        </ns0:is>
      </ns0:c>
      <ns0:c r="B72" t="inlineStr">
        <ns0:is>
          <ns0:t>Los Angeles Lakers</ns0:t>
        </ns0:is>
      </ns0:c>
      <ns0:c r="C72">
        <ns0:f>COUNTIFS(Games_Raw!$K$2:$K$1232,"Yes",Games_Raw!$I$2:$I$1232,A72,Games_Raw!$J$2:$J$1232,B72)</ns0:f>
        <ns0:v>1</ns0:v>
      </ns0:c>
      <ns0:c r="D72">
        <ns0:f>COUNTIFS(Games_Raw!$K$2:$K$1232,"Yes",Games_Raw!$I$2:$I$1232,B72,Games_Raw!$J$2:$J$1232,A72)</ns0:f>
        <ns0:v>1</ns0:v>
      </ns0:c>
      <ns0:c r="E72" t="str">
        <ns0:f>C72&amp;"-"&amp;D72</ns0:f>
        <ns0:v>1-1</ns0:v>
      </ns0:c>
      <ns0:c r="F72">
        <ns0:f>COUNTIFS(Games_Raw!$K$2:$K$1232,"Yes",Games_Raw!$I$2:$I$1232,A72)</ns0:f>
        <ns0:v>26</ns0:v>
      </ns0:c>
      <ns0:c r="G72">
        <ns0:f>COUNTIFS(Games_Raw!$K$2:$K$1232,"Yes",Games_Raw!$J$2:$J$1232,A72)</ns0:f>
        <ns0:v>56</ns0:v>
      </ns0:c>
    </ns0:row>
    <ns0:row r="73">
      <ns0:c r="A73" t="inlineStr">
        <ns0:is>
          <ns0:t>Brooklyn Nets</ns0:t>
        </ns0:is>
      </ns0:c>
      <ns0:c r="B73" t="inlineStr">
        <ns0:is>
          <ns0:t>Memphis Grizzlies</ns0:t>
        </ns0:is>
      </ns0:c>
      <ns0:c r="C73">
        <ns0:f>COUNTIFS(Games_Raw!$K$2:$K$1232,"Yes",Games_Raw!$I$2:$I$1232,A73,Games_Raw!$J$2:$J$1232,B73)</ns0:f>
        <ns0:v>2</ns0:v>
      </ns0:c>
      <ns0:c r="D73">
        <ns0:f>COUNTIFS(Games_Raw!$K$2:$K$1232,"Yes",Games_Raw!$I$2:$I$1232,B73,Games_Raw!$J$2:$J$1232,A73)</ns0:f>
        <ns0:v>1</ns0:v>
      </ns0:c>
      <ns0:c r="E73" t="str">
        <ns0:f>C73&amp;"-"&amp;D73</ns0:f>
        <ns0:v>2-1</ns0:v>
      </ns0:c>
      <ns0:c r="F73">
        <ns0:f>COUNTIFS(Games_Raw!$K$2:$K$1232,"Yes",Games_Raw!$I$2:$I$1232,A73)</ns0:f>
        <ns0:v>26</ns0:v>
      </ns0:c>
      <ns0:c r="G73">
        <ns0:f>COUNTIFS(Games_Raw!$K$2:$K$1232,"Yes",Games_Raw!$J$2:$J$1232,A73)</ns0:f>
        <ns0:v>56</ns0:v>
      </ns0:c>
    </ns0:row>
    <ns0:row r="74">
      <ns0:c r="A74" t="inlineStr">
        <ns0:is>
          <ns0:t>Brooklyn Nets</ns0:t>
        </ns0:is>
      </ns0:c>
      <ns0:c r="B74" t="inlineStr">
        <ns0:is>
          <ns0:t>Miami Heat</ns0:t>
        </ns0:is>
      </ns0:c>
      <ns0:c r="C74">
        <ns0:f>COUNTIFS(Games_Raw!$K$2:$K$1232,"Yes",Games_Raw!$I$2:$I$1232,A74,Games_Raw!$J$2:$J$1232,B74)</ns0:f>
        <ns0:v>1</ns0:v>
      </ns0:c>
      <ns0:c r="D74">
        <ns0:f>COUNTIFS(Games_Raw!$K$2:$K$1232,"Yes",Games_Raw!$I$2:$I$1232,B74,Games_Raw!$J$2:$J$1232,A74)</ns0:f>
        <ns0:v>2</ns0:v>
      </ns0:c>
      <ns0:c r="E74" t="str">
        <ns0:f>C74&amp;"-"&amp;D74</ns0:f>
        <ns0:v>1-2</ns0:v>
      </ns0:c>
      <ns0:c r="F74">
        <ns0:f>COUNTIFS(Games_Raw!$K$2:$K$1232,"Yes",Games_Raw!$I$2:$I$1232,A74)</ns0:f>
        <ns0:v>26</ns0:v>
      </ns0:c>
      <ns0:c r="G74">
        <ns0:f>COUNTIFS(Games_Raw!$K$2:$K$1232,"Yes",Games_Raw!$J$2:$J$1232,A74)</ns0:f>
        <ns0:v>56</ns0:v>
      </ns0:c>
    </ns0:row>
    <ns0:row r="75">
      <ns0:c r="A75" t="inlineStr">
        <ns0:is>
          <ns0:t>Brooklyn Nets</ns0:t>
        </ns0:is>
      </ns0:c>
      <ns0:c r="B75" t="inlineStr">
        <ns0:is>
          <ns0:t>Milwaukee Bucks</ns0:t>
        </ns0:is>
      </ns0:c>
      <ns0:c r="C75">
        <ns0:f>COUNTIFS(Games_Raw!$K$2:$K$1232,"Yes",Games_Raw!$I$2:$I$1232,A75,Games_Raw!$J$2:$J$1232,B75)</ns0:f>
        <ns0:v>3</ns0:v>
      </ns0:c>
      <ns0:c r="D75">
        <ns0:f>COUNTIFS(Games_Raw!$K$2:$K$1232,"Yes",Games_Raw!$I$2:$I$1232,B75,Games_Raw!$J$2:$J$1232,A75)</ns0:f>
        <ns0:v>1</ns0:v>
      </ns0:c>
      <ns0:c r="E75" t="str">
        <ns0:f>C75&amp;"-"&amp;D75</ns0:f>
        <ns0:v>3-1</ns0:v>
      </ns0:c>
      <ns0:c r="F75">
        <ns0:f>COUNTIFS(Games_Raw!$K$2:$K$1232,"Yes",Games_Raw!$I$2:$I$1232,A75)</ns0:f>
        <ns0:v>26</ns0:v>
      </ns0:c>
      <ns0:c r="G75">
        <ns0:f>COUNTIFS(Games_Raw!$K$2:$K$1232,"Yes",Games_Raw!$J$2:$J$1232,A75)</ns0:f>
        <ns0:v>56</ns0:v>
      </ns0:c>
    </ns0:row>
    <ns0:row r="76">
      <ns0:c r="A76" t="inlineStr">
        <ns0:is>
          <ns0:t>Brooklyn Nets</ns0:t>
        </ns0:is>
      </ns0:c>
      <ns0:c r="B76" t="inlineStr">
        <ns0:is>
          <ns0:t>Minnesota Timberwolves</ns0:t>
        </ns0:is>
      </ns0:c>
      <ns0:c r="C76">
        <ns0:f>COUNTIFS(Games_Raw!$K$2:$K$1232,"Yes",Games_Raw!$I$2:$I$1232,A76,Games_Raw!$J$2:$J$1232,B76)</ns0:f>
        <ns0:v>0</ns0:v>
      </ns0:c>
      <ns0:c r="D76">
        <ns0:f>COUNTIFS(Games_Raw!$K$2:$K$1232,"Yes",Games_Raw!$I$2:$I$1232,B76,Games_Raw!$J$2:$J$1232,A76)</ns0:f>
        <ns0:v>2</ns0:v>
      </ns0:c>
      <ns0:c r="E76" t="str">
        <ns0:f>C76&amp;"-"&amp;D76</ns0:f>
        <ns0:v>0-2</ns0:v>
      </ns0:c>
      <ns0:c r="F76">
        <ns0:f>COUNTIFS(Games_Raw!$K$2:$K$1232,"Yes",Games_Raw!$I$2:$I$1232,A76)</ns0:f>
        <ns0:v>26</ns0:v>
      </ns0:c>
      <ns0:c r="G76">
        <ns0:f>COUNTIFS(Games_Raw!$K$2:$K$1232,"Yes",Games_Raw!$J$2:$J$1232,A76)</ns0:f>
        <ns0:v>56</ns0:v>
      </ns0:c>
    </ns0:row>
    <ns0:row r="77">
      <ns0:c r="A77" t="inlineStr">
        <ns0:is>
          <ns0:t>Brooklyn Nets</ns0:t>
        </ns0:is>
      </ns0:c>
      <ns0:c r="B77" t="inlineStr">
        <ns0:is>
          <ns0:t>New Orleans Pelicans</ns0:t>
        </ns0:is>
      </ns0:c>
      <ns0:c r="C77">
        <ns0:f>COUNTIFS(Games_Raw!$K$2:$K$1232,"Yes",Games_Raw!$I$2:$I$1232,A77,Games_Raw!$J$2:$J$1232,B77)</ns0:f>
        <ns0:v>2</ns0:v>
      </ns0:c>
      <ns0:c r="D77">
        <ns0:f>COUNTIFS(Games_Raw!$K$2:$K$1232,"Yes",Games_Raw!$I$2:$I$1232,B77,Games_Raw!$J$2:$J$1232,A77)</ns0:f>
        <ns0:v>0</ns0:v>
      </ns0:c>
      <ns0:c r="E77" t="str">
        <ns0:f>C77&amp;"-"&amp;D77</ns0:f>
        <ns0:v>2-0</ns0:v>
      </ns0:c>
      <ns0:c r="F77">
        <ns0:f>COUNTIFS(Games_Raw!$K$2:$K$1232,"Yes",Games_Raw!$I$2:$I$1232,A77)</ns0:f>
        <ns0:v>26</ns0:v>
      </ns0:c>
      <ns0:c r="G77">
        <ns0:f>COUNTIFS(Games_Raw!$K$2:$K$1232,"Yes",Games_Raw!$J$2:$J$1232,A77)</ns0:f>
        <ns0:v>56</ns0:v>
      </ns0:c>
    </ns0:row>
    <ns0:row r="78">
      <ns0:c r="A78" t="inlineStr">
        <ns0:is>
          <ns0:t>Brooklyn Nets</ns0:t>
        </ns0:is>
      </ns0:c>
      <ns0:c r="B78" t="inlineStr">
        <ns0:is>
          <ns0:t>New York Knicks</ns0:t>
        </ns0:is>
      </ns0:c>
      <ns0:c r="C78">
        <ns0:f>COUNTIFS(Games_Raw!$K$2:$K$1232,"Yes",Games_Raw!$I$2:$I$1232,A78,Games_Raw!$J$2:$J$1232,B78)</ns0:f>
        <ns0:v>0</ns0:v>
      </ns0:c>
      <ns0:c r="D78">
        <ns0:f>COUNTIFS(Games_Raw!$K$2:$K$1232,"Yes",Games_Raw!$I$2:$I$1232,B78,Games_Raw!$J$2:$J$1232,A78)</ns0:f>
        <ns0:v>4</ns0:v>
      </ns0:c>
      <ns0:c r="E78" t="str">
        <ns0:f>C78&amp;"-"&amp;D78</ns0:f>
        <ns0:v>0-4</ns0:v>
      </ns0:c>
      <ns0:c r="F78">
        <ns0:f>COUNTIFS(Games_Raw!$K$2:$K$1232,"Yes",Games_Raw!$I$2:$I$1232,A78)</ns0:f>
        <ns0:v>26</ns0:v>
      </ns0:c>
      <ns0:c r="G78">
        <ns0:f>COUNTIFS(Games_Raw!$K$2:$K$1232,"Yes",Games_Raw!$J$2:$J$1232,A78)</ns0:f>
        <ns0:v>56</ns0:v>
      </ns0:c>
    </ns0:row>
    <ns0:row r="79">
      <ns0:c r="A79" t="inlineStr">
        <ns0:is>
          <ns0:t>Brooklyn Nets</ns0:t>
        </ns0:is>
      </ns0:c>
      <ns0:c r="B79" t="inlineStr">
        <ns0:is>
          <ns0:t>Oklahoma City Thunder</ns0:t>
        </ns0:is>
      </ns0:c>
      <ns0:c r="C79">
        <ns0:f>COUNTIFS(Games_Raw!$K$2:$K$1232,"Yes",Games_Raw!$I$2:$I$1232,A79,Games_Raw!$J$2:$J$1232,B79)</ns0:f>
        <ns0:v>0</ns0:v>
      </ns0:c>
      <ns0:c r="D79">
        <ns0:f>COUNTIFS(Games_Raw!$K$2:$K$1232,"Yes",Games_Raw!$I$2:$I$1232,B79,Games_Raw!$J$2:$J$1232,A79)</ns0:f>
        <ns0:v>2</ns0:v>
      </ns0:c>
      <ns0:c r="E79" t="str">
        <ns0:f>C79&amp;"-"&amp;D79</ns0:f>
        <ns0:v>0-2</ns0:v>
      </ns0:c>
      <ns0:c r="F79">
        <ns0:f>COUNTIFS(Games_Raw!$K$2:$K$1232,"Yes",Games_Raw!$I$2:$I$1232,A79)</ns0:f>
        <ns0:v>26</ns0:v>
      </ns0:c>
      <ns0:c r="G79">
        <ns0:f>COUNTIFS(Games_Raw!$K$2:$K$1232,"Yes",Games_Raw!$J$2:$J$1232,A79)</ns0:f>
        <ns0:v>56</ns0:v>
      </ns0:c>
    </ns0:row>
    <ns0:row r="80">
      <ns0:c r="A80" t="inlineStr">
        <ns0:is>
          <ns0:t>Brooklyn Nets</ns0:t>
        </ns0:is>
      </ns0:c>
      <ns0:c r="B80" t="inlineStr">
        <ns0:is>
          <ns0:t>Orlando Magic</ns0:t>
        </ns0:is>
      </ns0:c>
      <ns0:c r="C80">
        <ns0:f>COUNTIFS(Games_Raw!$K$2:$K$1232,"Yes",Games_Raw!$I$2:$I$1232,A80,Games_Raw!$J$2:$J$1232,B80)</ns0:f>
        <ns0:v>0</ns0:v>
      </ns0:c>
      <ns0:c r="D80">
        <ns0:f>COUNTIFS(Games_Raw!$K$2:$K$1232,"Yes",Games_Raw!$I$2:$I$1232,B80,Games_Raw!$J$2:$J$1232,A80)</ns0:f>
        <ns0:v>4</ns0:v>
      </ns0:c>
      <ns0:c r="E80" t="str">
        <ns0:f>C80&amp;"-"&amp;D80</ns0:f>
        <ns0:v>0-4</ns0:v>
      </ns0:c>
      <ns0:c r="F80">
        <ns0:f>COUNTIFS(Games_Raw!$K$2:$K$1232,"Yes",Games_Raw!$I$2:$I$1232,A80)</ns0:f>
        <ns0:v>26</ns0:v>
      </ns0:c>
      <ns0:c r="G80">
        <ns0:f>COUNTIFS(Games_Raw!$K$2:$K$1232,"Yes",Games_Raw!$J$2:$J$1232,A80)</ns0:f>
        <ns0:v>56</ns0:v>
      </ns0:c>
    </ns0:row>
    <ns0:row r="81">
      <ns0:c r="A81" t="inlineStr">
        <ns0:is>
          <ns0:t>Brooklyn Nets</ns0:t>
        </ns0:is>
      </ns0:c>
      <ns0:c r="B81" t="inlineStr">
        <ns0:is>
          <ns0:t>Philadelphia 76ers</ns0:t>
        </ns0:is>
      </ns0:c>
      <ns0:c r="C81">
        <ns0:f>COUNTIFS(Games_Raw!$K$2:$K$1232,"Yes",Games_Raw!$I$2:$I$1232,A81,Games_Raw!$J$2:$J$1232,B81)</ns0:f>
        <ns0:v>2</ns0:v>
      </ns0:c>
      <ns0:c r="D81">
        <ns0:f>COUNTIFS(Games_Raw!$K$2:$K$1232,"Yes",Games_Raw!$I$2:$I$1232,B81,Games_Raw!$J$2:$J$1232,A81)</ns0:f>
        <ns0:v>2</ns0:v>
      </ns0:c>
      <ns0:c r="E81" t="str">
        <ns0:f>C81&amp;"-"&amp;D81</ns0:f>
        <ns0:v>2-2</ns0:v>
      </ns0:c>
      <ns0:c r="F81">
        <ns0:f>COUNTIFS(Games_Raw!$K$2:$K$1232,"Yes",Games_Raw!$I$2:$I$1232,A81)</ns0:f>
        <ns0:v>26</ns0:v>
      </ns0:c>
      <ns0:c r="G81">
        <ns0:f>COUNTIFS(Games_Raw!$K$2:$K$1232,"Yes",Games_Raw!$J$2:$J$1232,A81)</ns0:f>
        <ns0:v>56</ns0:v>
      </ns0:c>
    </ns0:row>
    <ns0:row r="82">
      <ns0:c r="A82" t="inlineStr">
        <ns0:is>
          <ns0:t>Brooklyn Nets</ns0:t>
        </ns0:is>
      </ns0:c>
      <ns0:c r="B82" t="inlineStr">
        <ns0:is>
          <ns0:t>Phoenix Suns</ns0:t>
        </ns0:is>
      </ns0:c>
      <ns0:c r="C82">
        <ns0:f>COUNTIFS(Games_Raw!$K$2:$K$1232,"Yes",Games_Raw!$I$2:$I$1232,A82,Games_Raw!$J$2:$J$1232,B82)</ns0:f>
        <ns0:v>1</ns0:v>
      </ns0:c>
      <ns0:c r="D82">
        <ns0:f>COUNTIFS(Games_Raw!$K$2:$K$1232,"Yes",Games_Raw!$I$2:$I$1232,B82,Games_Raw!$J$2:$J$1232,A82)</ns0:f>
        <ns0:v>1</ns0:v>
      </ns0:c>
      <ns0:c r="E82" t="str">
        <ns0:f>C82&amp;"-"&amp;D82</ns0:f>
        <ns0:v>1-1</ns0:v>
      </ns0:c>
      <ns0:c r="F82">
        <ns0:f>COUNTIFS(Games_Raw!$K$2:$K$1232,"Yes",Games_Raw!$I$2:$I$1232,A82)</ns0:f>
        <ns0:v>26</ns0:v>
      </ns0:c>
      <ns0:c r="G82">
        <ns0:f>COUNTIFS(Games_Raw!$K$2:$K$1232,"Yes",Games_Raw!$J$2:$J$1232,A82)</ns0:f>
        <ns0:v>56</ns0:v>
      </ns0:c>
    </ns0:row>
    <ns0:row r="83">
      <ns0:c r="A83" t="inlineStr">
        <ns0:is>
          <ns0:t>Brooklyn Nets</ns0:t>
        </ns0:is>
      </ns0:c>
      <ns0:c r="B83" t="inlineStr">
        <ns0:is>
          <ns0:t>Portland Trail Blazers</ns0:t>
        </ns0:is>
      </ns0:c>
      <ns0:c r="C83">
        <ns0:f>COUNTIFS(Games_Raw!$K$2:$K$1232,"Yes",Games_Raw!$I$2:$I$1232,A83,Games_Raw!$J$2:$J$1232,B83)</ns0:f>
        <ns0:v>1</ns0:v>
      </ns0:c>
      <ns0:c r="D83">
        <ns0:f>COUNTIFS(Games_Raw!$K$2:$K$1232,"Yes",Games_Raw!$I$2:$I$1232,B83,Games_Raw!$J$2:$J$1232,A83)</ns0:f>
        <ns0:v>1</ns0:v>
      </ns0:c>
      <ns0:c r="E83" t="str">
        <ns0:f>C83&amp;"-"&amp;D83</ns0:f>
        <ns0:v>1-1</ns0:v>
      </ns0:c>
      <ns0:c r="F83">
        <ns0:f>COUNTIFS(Games_Raw!$K$2:$K$1232,"Yes",Games_Raw!$I$2:$I$1232,A83)</ns0:f>
        <ns0:v>26</ns0:v>
      </ns0:c>
      <ns0:c r="G83">
        <ns0:f>COUNTIFS(Games_Raw!$K$2:$K$1232,"Yes",Games_Raw!$J$2:$J$1232,A83)</ns0:f>
        <ns0:v>56</ns0:v>
      </ns0:c>
    </ns0:row>
    <ns0:row r="84">
      <ns0:c r="A84" t="inlineStr">
        <ns0:is>
          <ns0:t>Brooklyn Nets</ns0:t>
        </ns0:is>
      </ns0:c>
      <ns0:c r="B84" t="inlineStr">
        <ns0:is>
          <ns0:t>Sacramento Kings</ns0:t>
        </ns0:is>
      </ns0:c>
      <ns0:c r="C84">
        <ns0:f>COUNTIFS(Games_Raw!$K$2:$K$1232,"Yes",Games_Raw!$I$2:$I$1232,A84,Games_Raw!$J$2:$J$1232,B84)</ns0:f>
        <ns0:v>1</ns0:v>
      </ns0:c>
      <ns0:c r="D84">
        <ns0:f>COUNTIFS(Games_Raw!$K$2:$K$1232,"Yes",Games_Raw!$I$2:$I$1232,B84,Games_Raw!$J$2:$J$1232,A84)</ns0:f>
        <ns0:v>1</ns0:v>
      </ns0:c>
      <ns0:c r="E84" t="str">
        <ns0:f>C84&amp;"-"&amp;D84</ns0:f>
        <ns0:v>1-1</ns0:v>
      </ns0:c>
      <ns0:c r="F84">
        <ns0:f>COUNTIFS(Games_Raw!$K$2:$K$1232,"Yes",Games_Raw!$I$2:$I$1232,A84)</ns0:f>
        <ns0:v>26</ns0:v>
      </ns0:c>
      <ns0:c r="G84">
        <ns0:f>COUNTIFS(Games_Raw!$K$2:$K$1232,"Yes",Games_Raw!$J$2:$J$1232,A84)</ns0:f>
        <ns0:v>56</ns0:v>
      </ns0:c>
    </ns0:row>
    <ns0:row r="85">
      <ns0:c r="A85" t="inlineStr">
        <ns0:is>
          <ns0:t>Brooklyn Nets</ns0:t>
        </ns0:is>
      </ns0:c>
      <ns0:c r="B85" t="inlineStr">
        <ns0:is>
          <ns0:t>San Antonio Spurs</ns0:t>
        </ns0:is>
      </ns0:c>
      <ns0:c r="C85">
        <ns0:f>COUNTIFS(Games_Raw!$K$2:$K$1232,"Yes",Games_Raw!$I$2:$I$1232,A85,Games_Raw!$J$2:$J$1232,B85)</ns0:f>
        <ns0:v>0</ns0:v>
      </ns0:c>
      <ns0:c r="D85">
        <ns0:f>COUNTIFS(Games_Raw!$K$2:$K$1232,"Yes",Games_Raw!$I$2:$I$1232,B85,Games_Raw!$J$2:$J$1232,A85)</ns0:f>
        <ns0:v>2</ns0:v>
      </ns0:c>
      <ns0:c r="E85" t="str">
        <ns0:f>C85&amp;"-"&amp;D85</ns0:f>
        <ns0:v>0-2</ns0:v>
      </ns0:c>
      <ns0:c r="F85">
        <ns0:f>COUNTIFS(Games_Raw!$K$2:$K$1232,"Yes",Games_Raw!$I$2:$I$1232,A85)</ns0:f>
        <ns0:v>26</ns0:v>
      </ns0:c>
      <ns0:c r="G85">
        <ns0:f>COUNTIFS(Games_Raw!$K$2:$K$1232,"Yes",Games_Raw!$J$2:$J$1232,A85)</ns0:f>
        <ns0:v>56</ns0:v>
      </ns0:c>
    </ns0:row>
    <ns0:row r="86">
      <ns0:c r="A86" t="inlineStr">
        <ns0:is>
          <ns0:t>Brooklyn Nets</ns0:t>
        </ns0:is>
      </ns0:c>
      <ns0:c r="B86" t="inlineStr">
        <ns0:is>
          <ns0:t>Toronto Raptors</ns0:t>
        </ns0:is>
      </ns0:c>
      <ns0:c r="C86">
        <ns0:f>COUNTIFS(Games_Raw!$K$2:$K$1232,"Yes",Games_Raw!$I$2:$I$1232,A86,Games_Raw!$J$2:$J$1232,B86)</ns0:f>
        <ns0:v>1</ns0:v>
      </ns0:c>
      <ns0:c r="D86">
        <ns0:f>COUNTIFS(Games_Raw!$K$2:$K$1232,"Yes",Games_Raw!$I$2:$I$1232,B86,Games_Raw!$J$2:$J$1232,A86)</ns0:f>
        <ns0:v>3</ns0:v>
      </ns0:c>
      <ns0:c r="E86" t="str">
        <ns0:f>C86&amp;"-"&amp;D86</ns0:f>
        <ns0:v>1-3</ns0:v>
      </ns0:c>
      <ns0:c r="F86">
        <ns0:f>COUNTIFS(Games_Raw!$K$2:$K$1232,"Yes",Games_Raw!$I$2:$I$1232,A86)</ns0:f>
        <ns0:v>26</ns0:v>
      </ns0:c>
      <ns0:c r="G86">
        <ns0:f>COUNTIFS(Games_Raw!$K$2:$K$1232,"Yes",Games_Raw!$J$2:$J$1232,A86)</ns0:f>
        <ns0:v>56</ns0:v>
      </ns0:c>
    </ns0:row>
    <ns0:row r="87">
      <ns0:c r="A87" t="inlineStr">
        <ns0:is>
          <ns0:t>Brooklyn Nets</ns0:t>
        </ns0:is>
      </ns0:c>
      <ns0:c r="B87" t="inlineStr">
        <ns0:is>
          <ns0:t>Utah Jazz</ns0:t>
        </ns0:is>
      </ns0:c>
      <ns0:c r="C87">
        <ns0:f>COUNTIFS(Games_Raw!$K$2:$K$1232,"Yes",Games_Raw!$I$2:$I$1232,A87,Games_Raw!$J$2:$J$1232,B87)</ns0:f>
        <ns0:v>0</ns0:v>
      </ns0:c>
      <ns0:c r="D87">
        <ns0:f>COUNTIFS(Games_Raw!$K$2:$K$1232,"Yes",Games_Raw!$I$2:$I$1232,B87,Games_Raw!$J$2:$J$1232,A87)</ns0:f>
        <ns0:v>2</ns0:v>
      </ns0:c>
      <ns0:c r="E87" t="str">
        <ns0:f>C87&amp;"-"&amp;D87</ns0:f>
        <ns0:v>0-2</ns0:v>
      </ns0:c>
      <ns0:c r="F87">
        <ns0:f>COUNTIFS(Games_Raw!$K$2:$K$1232,"Yes",Games_Raw!$I$2:$I$1232,A87)</ns0:f>
        <ns0:v>26</ns0:v>
      </ns0:c>
      <ns0:c r="G87">
        <ns0:f>COUNTIFS(Games_Raw!$K$2:$K$1232,"Yes",Games_Raw!$J$2:$J$1232,A87)</ns0:f>
        <ns0:v>56</ns0:v>
      </ns0:c>
    </ns0:row>
    <ns0:row r="88">
      <ns0:c r="A88" t="inlineStr">
        <ns0:is>
          <ns0:t>Brooklyn Nets</ns0:t>
        </ns0:is>
      </ns0:c>
      <ns0:c r="B88" t="inlineStr">
        <ns0:is>
          <ns0:t>Washington Wizards</ns0:t>
        </ns0:is>
      </ns0:c>
      <ns0:c r="C88">
        <ns0:f>COUNTIFS(Games_Raw!$K$2:$K$1232,"Yes",Games_Raw!$I$2:$I$1232,A88,Games_Raw!$J$2:$J$1232,B88)</ns0:f>
        <ns0:v>1</ns0:v>
      </ns0:c>
      <ns0:c r="D88">
        <ns0:f>COUNTIFS(Games_Raw!$K$2:$K$1232,"Yes",Games_Raw!$I$2:$I$1232,B88,Games_Raw!$J$2:$J$1232,A88)</ns0:f>
        <ns0:v>2</ns0:v>
      </ns0:c>
      <ns0:c r="E88" t="str">
        <ns0:f>C88&amp;"-"&amp;D88</ns0:f>
        <ns0:v>1-2</ns0:v>
      </ns0:c>
      <ns0:c r="F88">
        <ns0:f>COUNTIFS(Games_Raw!$K$2:$K$1232,"Yes",Games_Raw!$I$2:$I$1232,A88)</ns0:f>
        <ns0:v>26</ns0:v>
      </ns0:c>
      <ns0:c r="G88">
        <ns0:f>COUNTIFS(Games_Raw!$K$2:$K$1232,"Yes",Games_Raw!$J$2:$J$1232,A88)</ns0:f>
        <ns0:v>56</ns0:v>
      </ns0:c>
    </ns0:row>
    <ns0:row r="89">
      <ns0:c r="A89" t="inlineStr">
        <ns0:is>
          <ns0:t>Charlotte Hornets</ns0:t>
        </ns0:is>
      </ns0:c>
      <ns0:c r="B89" t="inlineStr">
        <ns0:is>
          <ns0:t>Atlanta Hawks</ns0:t>
        </ns0:is>
      </ns0:c>
      <ns0:c r="C89">
        <ns0:f>COUNTIFS(Games_Raw!$K$2:$K$1232,"Yes",Games_Raw!$I$2:$I$1232,A89,Games_Raw!$J$2:$J$1232,B89)</ns0:f>
        <ns0:v>0</ns0:v>
      </ns0:c>
      <ns0:c r="D89">
        <ns0:f>COUNTIFS(Games_Raw!$K$2:$K$1232,"Yes",Games_Raw!$I$2:$I$1232,B89,Games_Raw!$J$2:$J$1232,A89)</ns0:f>
        <ns0:v>4</ns0:v>
      </ns0:c>
      <ns0:c r="E89" t="str">
        <ns0:f>C89&amp;"-"&amp;D89</ns0:f>
        <ns0:v>0-4</ns0:v>
      </ns0:c>
      <ns0:c r="F89">
        <ns0:f>COUNTIFS(Games_Raw!$K$2:$K$1232,"Yes",Games_Raw!$I$2:$I$1232,A89)</ns0:f>
        <ns0:v>19</ns0:v>
      </ns0:c>
      <ns0:c r="G89">
        <ns0:f>COUNTIFS(Games_Raw!$K$2:$K$1232,"Yes",Games_Raw!$J$2:$J$1232,A89)</ns0:f>
        <ns0:v>63</ns0:v>
      </ns0:c>
    </ns0:row>
    <ns0:row r="90">
      <ns0:c r="A90" t="inlineStr">
        <ns0:is>
          <ns0:t>Charlotte Hornets</ns0:t>
        </ns0:is>
      </ns0:c>
      <ns0:c r="B90" t="inlineStr">
        <ns0:is>
          <ns0:t>Boston Celtics</ns0:t>
        </ns0:is>
      </ns0:c>
      <ns0:c r="C90">
        <ns0:f>COUNTIFS(Games_Raw!$K$2:$K$1232,"Yes",Games_Raw!$I$2:$I$1232,A90,Games_Raw!$J$2:$J$1232,B90)</ns0:f>
        <ns0:v>0</ns0:v>
      </ns0:c>
      <ns0:c r="D90">
        <ns0:f>COUNTIFS(Games_Raw!$K$2:$K$1232,"Yes",Games_Raw!$I$2:$I$1232,B90,Games_Raw!$J$2:$J$1232,A90)</ns0:f>
        <ns0:v>4</ns0:v>
      </ns0:c>
      <ns0:c r="E90" t="str">
        <ns0:f>C90&amp;"-"&amp;D90</ns0:f>
        <ns0:v>0-4</ns0:v>
      </ns0:c>
      <ns0:c r="F90">
        <ns0:f>COUNTIFS(Games_Raw!$K$2:$K$1232,"Yes",Games_Raw!$I$2:$I$1232,A90)</ns0:f>
        <ns0:v>19</ns0:v>
      </ns0:c>
      <ns0:c r="G90">
        <ns0:f>COUNTIFS(Games_Raw!$K$2:$K$1232,"Yes",Games_Raw!$J$2:$J$1232,A90)</ns0:f>
        <ns0:v>63</ns0:v>
      </ns0:c>
    </ns0:row>
    <ns0:row r="91">
      <ns0:c r="A91" t="inlineStr">
        <ns0:is>
          <ns0:t>Charlotte Hornets</ns0:t>
        </ns0:is>
      </ns0:c>
      <ns0:c r="B91" t="inlineStr">
        <ns0:is>
          <ns0:t>Brooklyn Nets</ns0:t>
        </ns0:is>
      </ns0:c>
      <ns0:c r="C91">
        <ns0:f>COUNTIFS(Games_Raw!$K$2:$K$1232,"Yes",Games_Raw!$I$2:$I$1232,A91,Games_Raw!$J$2:$J$1232,B91)</ns0:f>
        <ns0:v>1</ns0:v>
      </ns0:c>
      <ns0:c r="D91">
        <ns0:f>COUNTIFS(Games_Raw!$K$2:$K$1232,"Yes",Games_Raw!$I$2:$I$1232,B91,Games_Raw!$J$2:$J$1232,A91)</ns0:f>
        <ns0:v>3</ns0:v>
      </ns0:c>
      <ns0:c r="E91" t="str">
        <ns0:f>C91&amp;"-"&amp;D91</ns0:f>
        <ns0:v>1-3</ns0:v>
      </ns0:c>
      <ns0:c r="F91">
        <ns0:f>COUNTIFS(Games_Raw!$K$2:$K$1232,"Yes",Games_Raw!$I$2:$I$1232,A91)</ns0:f>
        <ns0:v>19</ns0:v>
      </ns0:c>
      <ns0:c r="G91">
        <ns0:f>COUNTIFS(Games_Raw!$K$2:$K$1232,"Yes",Games_Raw!$J$2:$J$1232,A91)</ns0:f>
        <ns0:v>63</ns0:v>
      </ns0:c>
    </ns0:row>
    <ns0:row r="92">
      <ns0:c r="A92" t="inlineStr">
        <ns0:is>
          <ns0:t>Charlotte Hornets</ns0:t>
        </ns0:is>
      </ns0:c>
      <ns0:c r="B92" t="inlineStr">
        <ns0:is>
          <ns0:t>Chicago Bulls</ns0:t>
        </ns0:is>
      </ns0:c>
      <ns0:c r="C92">
        <ns0:f>COUNTIFS(Games_Raw!$K$2:$K$1232,"Yes",Games_Raw!$I$2:$I$1232,A92,Games_Raw!$J$2:$J$1232,B92)</ns0:f>
        <ns0:v>1</ns0:v>
      </ns0:c>
      <ns0:c r="D92">
        <ns0:f>COUNTIFS(Games_Raw!$K$2:$K$1232,"Yes",Games_Raw!$I$2:$I$1232,B92,Games_Raw!$J$2:$J$1232,A92)</ns0:f>
        <ns0:v>3</ns0:v>
      </ns0:c>
      <ns0:c r="E92" t="str">
        <ns0:f>C92&amp;"-"&amp;D92</ns0:f>
        <ns0:v>1-3</ns0:v>
      </ns0:c>
      <ns0:c r="F92">
        <ns0:f>COUNTIFS(Games_Raw!$K$2:$K$1232,"Yes",Games_Raw!$I$2:$I$1232,A92)</ns0:f>
        <ns0:v>19</ns0:v>
      </ns0:c>
      <ns0:c r="G92">
        <ns0:f>COUNTIFS(Games_Raw!$K$2:$K$1232,"Yes",Games_Raw!$J$2:$J$1232,A92)</ns0:f>
        <ns0:v>63</ns0:v>
      </ns0:c>
    </ns0:row>
    <ns0:row r="93">
      <ns0:c r="A93" t="inlineStr">
        <ns0:is>
          <ns0:t>Charlotte Hornets</ns0:t>
        </ns0:is>
      </ns0:c>
      <ns0:c r="B93" t="inlineStr">
        <ns0:is>
          <ns0:t>Cleveland Cavaliers</ns0:t>
        </ns0:is>
      </ns0:c>
      <ns0:c r="C93">
        <ns0:f>COUNTIFS(Games_Raw!$K$2:$K$1232,"Yes",Games_Raw!$I$2:$I$1232,A93,Games_Raw!$J$2:$J$1232,B93)</ns0:f>
        <ns0:v>0</ns0:v>
      </ns0:c>
      <ns0:c r="D93">
        <ns0:f>COUNTIFS(Games_Raw!$K$2:$K$1232,"Yes",Games_Raw!$I$2:$I$1232,B93,Games_Raw!$J$2:$J$1232,A93)</ns0:f>
        <ns0:v>4</ns0:v>
      </ns0:c>
      <ns0:c r="E93" t="str">
        <ns0:f>C93&amp;"-"&amp;D93</ns0:f>
        <ns0:v>0-4</ns0:v>
      </ns0:c>
      <ns0:c r="F93">
        <ns0:f>COUNTIFS(Games_Raw!$K$2:$K$1232,"Yes",Games_Raw!$I$2:$I$1232,A93)</ns0:f>
        <ns0:v>19</ns0:v>
      </ns0:c>
      <ns0:c r="G93">
        <ns0:f>COUNTIFS(Games_Raw!$K$2:$K$1232,"Yes",Games_Raw!$J$2:$J$1232,A93)</ns0:f>
        <ns0:v>63</ns0:v>
      </ns0:c>
    </ns0:row>
    <ns0:row r="94">
      <ns0:c r="A94" t="inlineStr">
        <ns0:is>
          <ns0:t>Charlotte Hornets</ns0:t>
        </ns0:is>
      </ns0:c>
      <ns0:c r="B94" t="inlineStr">
        <ns0:is>
          <ns0:t>Dallas Mavericks</ns0:t>
        </ns0:is>
      </ns0:c>
      <ns0:c r="C94">
        <ns0:f>COUNTIFS(Games_Raw!$K$2:$K$1232,"Yes",Games_Raw!$I$2:$I$1232,A94,Games_Raw!$J$2:$J$1232,B94)</ns0:f>
        <ns0:v>1</ns0:v>
      </ns0:c>
      <ns0:c r="D94">
        <ns0:f>COUNTIFS(Games_Raw!$K$2:$K$1232,"Yes",Games_Raw!$I$2:$I$1232,B94,Games_Raw!$J$2:$J$1232,A94)</ns0:f>
        <ns0:v>1</ns0:v>
      </ns0:c>
      <ns0:c r="E94" t="str">
        <ns0:f>C94&amp;"-"&amp;D94</ns0:f>
        <ns0:v>1-1</ns0:v>
      </ns0:c>
      <ns0:c r="F94">
        <ns0:f>COUNTIFS(Games_Raw!$K$2:$K$1232,"Yes",Games_Raw!$I$2:$I$1232,A94)</ns0:f>
        <ns0:v>19</ns0:v>
      </ns0:c>
      <ns0:c r="G94">
        <ns0:f>COUNTIFS(Games_Raw!$K$2:$K$1232,"Yes",Games_Raw!$J$2:$J$1232,A94)</ns0:f>
        <ns0:v>63</ns0:v>
      </ns0:c>
    </ns0:row>
    <ns0:row r="95">
      <ns0:c r="A95" t="inlineStr">
        <ns0:is>
          <ns0:t>Charlotte Hornets</ns0:t>
        </ns0:is>
      </ns0:c>
      <ns0:c r="B95" t="inlineStr">
        <ns0:is>
          <ns0:t>Denver Nuggets</ns0:t>
        </ns0:is>
      </ns0:c>
      <ns0:c r="C95">
        <ns0:f>COUNTIFS(Games_Raw!$K$2:$K$1232,"Yes",Games_Raw!$I$2:$I$1232,A95,Games_Raw!$J$2:$J$1232,B95)</ns0:f>
        <ns0:v>0</ns0:v>
      </ns0:c>
      <ns0:c r="D95">
        <ns0:f>COUNTIFS(Games_Raw!$K$2:$K$1232,"Yes",Games_Raw!$I$2:$I$1232,B95,Games_Raw!$J$2:$J$1232,A95)</ns0:f>
        <ns0:v>2</ns0:v>
      </ns0:c>
      <ns0:c r="E95" t="str">
        <ns0:f>C95&amp;"-"&amp;D95</ns0:f>
        <ns0:v>0-2</ns0:v>
      </ns0:c>
      <ns0:c r="F95">
        <ns0:f>COUNTIFS(Games_Raw!$K$2:$K$1232,"Yes",Games_Raw!$I$2:$I$1232,A95)</ns0:f>
        <ns0:v>19</ns0:v>
      </ns0:c>
      <ns0:c r="G95">
        <ns0:f>COUNTIFS(Games_Raw!$K$2:$K$1232,"Yes",Games_Raw!$J$2:$J$1232,A95)</ns0:f>
        <ns0:v>63</ns0:v>
      </ns0:c>
    </ns0:row>
    <ns0:row r="96">
      <ns0:c r="A96" t="inlineStr">
        <ns0:is>
          <ns0:t>Charlotte Hornets</ns0:t>
        </ns0:is>
      </ns0:c>
      <ns0:c r="B96" t="inlineStr">
        <ns0:is>
          <ns0:t>Detroit Pistons</ns0:t>
        </ns0:is>
      </ns0:c>
      <ns0:c r="C96">
        <ns0:f>COUNTIFS(Games_Raw!$K$2:$K$1232,"Yes",Games_Raw!$I$2:$I$1232,A96,Games_Raw!$J$2:$J$1232,B96)</ns0:f>
        <ns0:v>2</ns0:v>
      </ns0:c>
      <ns0:c r="D96">
        <ns0:f>COUNTIFS(Games_Raw!$K$2:$K$1232,"Yes",Games_Raw!$I$2:$I$1232,B96,Games_Raw!$J$2:$J$1232,A96)</ns0:f>
        <ns0:v>2</ns0:v>
      </ns0:c>
      <ns0:c r="E96" t="str">
        <ns0:f>C96&amp;"-"&amp;D96</ns0:f>
        <ns0:v>2-2</ns0:v>
      </ns0:c>
      <ns0:c r="F96">
        <ns0:f>COUNTIFS(Games_Raw!$K$2:$K$1232,"Yes",Games_Raw!$I$2:$I$1232,A96)</ns0:f>
        <ns0:v>19</ns0:v>
      </ns0:c>
      <ns0:c r="G96">
        <ns0:f>COUNTIFS(Games_Raw!$K$2:$K$1232,"Yes",Games_Raw!$J$2:$J$1232,A96)</ns0:f>
        <ns0:v>63</ns0:v>
      </ns0:c>
    </ns0:row>
    <ns0:row r="97">
      <ns0:c r="A97" t="inlineStr">
        <ns0:is>
          <ns0:t>Charlotte Hornets</ns0:t>
        </ns0:is>
      </ns0:c>
      <ns0:c r="B97" t="inlineStr">
        <ns0:is>
          <ns0:t>Golden State Warriors</ns0:t>
        </ns0:is>
      </ns0:c>
      <ns0:c r="C97">
        <ns0:f>COUNTIFS(Games_Raw!$K$2:$K$1232,"Yes",Games_Raw!$I$2:$I$1232,A97,Games_Raw!$J$2:$J$1232,B97)</ns0:f>
        <ns0:v>0</ns0:v>
      </ns0:c>
      <ns0:c r="D97">
        <ns0:f>COUNTIFS(Games_Raw!$K$2:$K$1232,"Yes",Games_Raw!$I$2:$I$1232,B97,Games_Raw!$J$2:$J$1232,A97)</ns0:f>
        <ns0:v>2</ns0:v>
      </ns0:c>
      <ns0:c r="E97" t="str">
        <ns0:f>C97&amp;"-"&amp;D97</ns0:f>
        <ns0:v>0-2</ns0:v>
      </ns0:c>
      <ns0:c r="F97">
        <ns0:f>COUNTIFS(Games_Raw!$K$2:$K$1232,"Yes",Games_Raw!$I$2:$I$1232,A97)</ns0:f>
        <ns0:v>19</ns0:v>
      </ns0:c>
      <ns0:c r="G97">
        <ns0:f>COUNTIFS(Games_Raw!$K$2:$K$1232,"Yes",Games_Raw!$J$2:$J$1232,A97)</ns0:f>
        <ns0:v>63</ns0:v>
      </ns0:c>
    </ns0:row>
    <ns0:row r="98">
      <ns0:c r="A98" t="inlineStr">
        <ns0:is>
          <ns0:t>Charlotte Hornets</ns0:t>
        </ns0:is>
      </ns0:c>
      <ns0:c r="B98" t="inlineStr">
        <ns0:is>
          <ns0:t>Houston Rockets</ns0:t>
        </ns0:is>
      </ns0:c>
      <ns0:c r="C98">
        <ns0:f>COUNTIFS(Games_Raw!$K$2:$K$1232,"Yes",Games_Raw!$I$2:$I$1232,A98,Games_Raw!$J$2:$J$1232,B98)</ns0:f>
        <ns0:v>1</ns0:v>
      </ns0:c>
      <ns0:c r="D98">
        <ns0:f>COUNTIFS(Games_Raw!$K$2:$K$1232,"Yes",Games_Raw!$I$2:$I$1232,B98,Games_Raw!$J$2:$J$1232,A98)</ns0:f>
        <ns0:v>1</ns0:v>
      </ns0:c>
      <ns0:c r="E98" t="str">
        <ns0:f>C98&amp;"-"&amp;D98</ns0:f>
        <ns0:v>1-1</ns0:v>
      </ns0:c>
      <ns0:c r="F98">
        <ns0:f>COUNTIFS(Games_Raw!$K$2:$K$1232,"Yes",Games_Raw!$I$2:$I$1232,A98)</ns0:f>
        <ns0:v>19</ns0:v>
      </ns0:c>
      <ns0:c r="G98">
        <ns0:f>COUNTIFS(Games_Raw!$K$2:$K$1232,"Yes",Games_Raw!$J$2:$J$1232,A98)</ns0:f>
        <ns0:v>63</ns0:v>
      </ns0:c>
    </ns0:row>
    <ns0:row r="99">
      <ns0:c r="A99" t="inlineStr">
        <ns0:is>
          <ns0:t>Charlotte Hornets</ns0:t>
        </ns0:is>
      </ns0:c>
      <ns0:c r="B99" t="inlineStr">
        <ns0:is>
          <ns0:t>Indiana Pacers</ns0:t>
        </ns0:is>
      </ns0:c>
      <ns0:c r="C99">
        <ns0:f>COUNTIFS(Games_Raw!$K$2:$K$1232,"Yes",Games_Raw!$I$2:$I$1232,A99,Games_Raw!$J$2:$J$1232,B99)</ns0:f>
        <ns0:v>2</ns0:v>
      </ns0:c>
      <ns0:c r="D99">
        <ns0:f>COUNTIFS(Games_Raw!$K$2:$K$1232,"Yes",Games_Raw!$I$2:$I$1232,B99,Games_Raw!$J$2:$J$1232,A99)</ns0:f>
        <ns0:v>1</ns0:v>
      </ns0:c>
      <ns0:c r="E99" t="str">
        <ns0:f>C99&amp;"-"&amp;D99</ns0:f>
        <ns0:v>2-1</ns0:v>
      </ns0:c>
      <ns0:c r="F99">
        <ns0:f>COUNTIFS(Games_Raw!$K$2:$K$1232,"Yes",Games_Raw!$I$2:$I$1232,A99)</ns0:f>
        <ns0:v>19</ns0:v>
      </ns0:c>
      <ns0:c r="G99">
        <ns0:f>COUNTIFS(Games_Raw!$K$2:$K$1232,"Yes",Games_Raw!$J$2:$J$1232,A99)</ns0:f>
        <ns0:v>63</ns0:v>
      </ns0:c>
    </ns0:row>
    <ns0:row r="100">
      <ns0:c r="A100" t="inlineStr">
        <ns0:is>
          <ns0:t>Charlotte Hornets</ns0:t>
        </ns0:is>
      </ns0:c>
      <ns0:c r="B100" t="inlineStr">
        <ns0:is>
          <ns0:t>LA Clippers</ns0:t>
        </ns0:is>
      </ns0:c>
      <ns0:c r="C100">
        <ns0:f>COUNTIFS(Games_Raw!$K$2:$K$1232,"Yes",Games_Raw!$I$2:$I$1232,A100,Games_Raw!$J$2:$J$1232,B100)</ns0:f>
        <ns0:v>0</ns0:v>
      </ns0:c>
      <ns0:c r="D100">
        <ns0:f>COUNTIFS(Games_Raw!$K$2:$K$1232,"Yes",Games_Raw!$I$2:$I$1232,B100,Games_Raw!$J$2:$J$1232,A100)</ns0:f>
        <ns0:v>2</ns0:v>
      </ns0:c>
      <ns0:c r="E100" t="str">
        <ns0:f>C100&amp;"-"&amp;D100</ns0:f>
        <ns0:v>0-2</ns0:v>
      </ns0:c>
      <ns0:c r="F100">
        <ns0:f>COUNTIFS(Games_Raw!$K$2:$K$1232,"Yes",Games_Raw!$I$2:$I$1232,A100)</ns0:f>
        <ns0:v>19</ns0:v>
      </ns0:c>
      <ns0:c r="G100">
        <ns0:f>COUNTIFS(Games_Raw!$K$2:$K$1232,"Yes",Games_Raw!$J$2:$J$1232,A100)</ns0:f>
        <ns0:v>63</ns0:v>
      </ns0:c>
    </ns0:row>
    <ns0:row r="101">
      <ns0:c r="A101" t="inlineStr">
        <ns0:is>
          <ns0:t>Charlotte Hornets</ns0:t>
        </ns0:is>
      </ns0:c>
      <ns0:c r="B101" t="inlineStr">
        <ns0:is>
          <ns0:t>Los Angeles Lakers</ns0:t>
        </ns0:is>
      </ns0:c>
      <ns0:c r="C101">
        <ns0:f>COUNTIFS(Games_Raw!$K$2:$K$1232,"Yes",Games_Raw!$I$2:$I$1232,A101,Games_Raw!$J$2:$J$1232,B101)</ns0:f>
        <ns0:v>1</ns0:v>
      </ns0:c>
      <ns0:c r="D101">
        <ns0:f>COUNTIFS(Games_Raw!$K$2:$K$1232,"Yes",Games_Raw!$I$2:$I$1232,B101,Games_Raw!$J$2:$J$1232,A101)</ns0:f>
        <ns0:v>1</ns0:v>
      </ns0:c>
      <ns0:c r="E101" t="str">
        <ns0:f>C101&amp;"-"&amp;D101</ns0:f>
        <ns0:v>1-1</ns0:v>
      </ns0:c>
      <ns0:c r="F101">
        <ns0:f>COUNTIFS(Games_Raw!$K$2:$K$1232,"Yes",Games_Raw!$I$2:$I$1232,A101)</ns0:f>
        <ns0:v>19</ns0:v>
      </ns0:c>
      <ns0:c r="G101">
        <ns0:f>COUNTIFS(Games_Raw!$K$2:$K$1232,"Yes",Games_Raw!$J$2:$J$1232,A101)</ns0:f>
        <ns0:v>63</ns0:v>
      </ns0:c>
    </ns0:row>
    <ns0:row r="102">
      <ns0:c r="A102" t="inlineStr">
        <ns0:is>
          <ns0:t>Charlotte Hornets</ns0:t>
        </ns0:is>
      </ns0:c>
      <ns0:c r="B102" t="inlineStr">
        <ns0:is>
          <ns0:t>Memphis Grizzlies</ns0:t>
        </ns0:is>
      </ns0:c>
      <ns0:c r="C102">
        <ns0:f>COUNTIFS(Games_Raw!$K$2:$K$1232,"Yes",Games_Raw!$I$2:$I$1232,A102,Games_Raw!$J$2:$J$1232,B102)</ns0:f>
        <ns0:v>0</ns0:v>
      </ns0:c>
      <ns0:c r="D102">
        <ns0:f>COUNTIFS(Games_Raw!$K$2:$K$1232,"Yes",Games_Raw!$I$2:$I$1232,B102,Games_Raw!$J$2:$J$1232,A102)</ns0:f>
        <ns0:v>2</ns0:v>
      </ns0:c>
      <ns0:c r="E102" t="str">
        <ns0:f>C102&amp;"-"&amp;D102</ns0:f>
        <ns0:v>0-2</ns0:v>
      </ns0:c>
      <ns0:c r="F102">
        <ns0:f>COUNTIFS(Games_Raw!$K$2:$K$1232,"Yes",Games_Raw!$I$2:$I$1232,A102)</ns0:f>
        <ns0:v>19</ns0:v>
      </ns0:c>
      <ns0:c r="G102">
        <ns0:f>COUNTIFS(Games_Raw!$K$2:$K$1232,"Yes",Games_Raw!$J$2:$J$1232,A102)</ns0:f>
        <ns0:v>63</ns0:v>
      </ns0:c>
    </ns0:row>
    <ns0:row r="103">
      <ns0:c r="A103" t="inlineStr">
        <ns0:is>
          <ns0:t>Charlotte Hornets</ns0:t>
        </ns0:is>
      </ns0:c>
      <ns0:c r="B103" t="inlineStr">
        <ns0:is>
          <ns0:t>Miami Heat</ns0:t>
        </ns0:is>
      </ns0:c>
      <ns0:c r="C103">
        <ns0:f>COUNTIFS(Games_Raw!$K$2:$K$1232,"Yes",Games_Raw!$I$2:$I$1232,A103,Games_Raw!$J$2:$J$1232,B103)</ns0:f>
        <ns0:v>1</ns0:v>
      </ns0:c>
      <ns0:c r="D103">
        <ns0:f>COUNTIFS(Games_Raw!$K$2:$K$1232,"Yes",Games_Raw!$I$2:$I$1232,B103,Games_Raw!$J$2:$J$1232,A103)</ns0:f>
        <ns0:v>3</ns0:v>
      </ns0:c>
      <ns0:c r="E103" t="str">
        <ns0:f>C103&amp;"-"&amp;D103</ns0:f>
        <ns0:v>1-3</ns0:v>
      </ns0:c>
      <ns0:c r="F103">
        <ns0:f>COUNTIFS(Games_Raw!$K$2:$K$1232,"Yes",Games_Raw!$I$2:$I$1232,A103)</ns0:f>
        <ns0:v>19</ns0:v>
      </ns0:c>
      <ns0:c r="G103">
        <ns0:f>COUNTIFS(Games_Raw!$K$2:$K$1232,"Yes",Games_Raw!$J$2:$J$1232,A103)</ns0:f>
        <ns0:v>63</ns0:v>
      </ns0:c>
    </ns0:row>
    <ns0:row r="104">
      <ns0:c r="A104" t="inlineStr">
        <ns0:is>
          <ns0:t>Charlotte Hornets</ns0:t>
        </ns0:is>
      </ns0:c>
      <ns0:c r="B104" t="inlineStr">
        <ns0:is>
          <ns0:t>Milwaukee Bucks</ns0:t>
        </ns0:is>
      </ns0:c>
      <ns0:c r="C104">
        <ns0:f>COUNTIFS(Games_Raw!$K$2:$K$1232,"Yes",Games_Raw!$I$2:$I$1232,A104,Games_Raw!$J$2:$J$1232,B104)</ns0:f>
        <ns0:v>1</ns0:v>
      </ns0:c>
      <ns0:c r="D104">
        <ns0:f>COUNTIFS(Games_Raw!$K$2:$K$1232,"Yes",Games_Raw!$I$2:$I$1232,B104,Games_Raw!$J$2:$J$1232,A104)</ns0:f>
        <ns0:v>2</ns0:v>
      </ns0:c>
      <ns0:c r="E104" t="str">
        <ns0:f>C104&amp;"-"&amp;D104</ns0:f>
        <ns0:v>1-2</ns0:v>
      </ns0:c>
      <ns0:c r="F104">
        <ns0:f>COUNTIFS(Games_Raw!$K$2:$K$1232,"Yes",Games_Raw!$I$2:$I$1232,A104)</ns0:f>
        <ns0:v>19</ns0:v>
      </ns0:c>
      <ns0:c r="G104">
        <ns0:f>COUNTIFS(Games_Raw!$K$2:$K$1232,"Yes",Games_Raw!$J$2:$J$1232,A104)</ns0:f>
        <ns0:v>63</ns0:v>
      </ns0:c>
    </ns0:row>
    <ns0:row r="105">
      <ns0:c r="A105" t="inlineStr">
        <ns0:is>
          <ns0:t>Charlotte Hornets</ns0:t>
        </ns0:is>
      </ns0:c>
      <ns0:c r="B105" t="inlineStr">
        <ns0:is>
          <ns0:t>Minnesota Timberwolves</ns0:t>
        </ns0:is>
      </ns0:c>
      <ns0:c r="C105">
        <ns0:f>COUNTIFS(Games_Raw!$K$2:$K$1232,"Yes",Games_Raw!$I$2:$I$1232,A105,Games_Raw!$J$2:$J$1232,B105)</ns0:f>
        <ns0:v>0</ns0:v>
      </ns0:c>
      <ns0:c r="D105">
        <ns0:f>COUNTIFS(Games_Raw!$K$2:$K$1232,"Yes",Games_Raw!$I$2:$I$1232,B105,Games_Raw!$J$2:$J$1232,A105)</ns0:f>
        <ns0:v>2</ns0:v>
      </ns0:c>
      <ns0:c r="E105" t="str">
        <ns0:f>C105&amp;"-"&amp;D105</ns0:f>
        <ns0:v>0-2</ns0:v>
      </ns0:c>
      <ns0:c r="F105">
        <ns0:f>COUNTIFS(Games_Raw!$K$2:$K$1232,"Yes",Games_Raw!$I$2:$I$1232,A105)</ns0:f>
        <ns0:v>19</ns0:v>
      </ns0:c>
      <ns0:c r="G105">
        <ns0:f>COUNTIFS(Games_Raw!$K$2:$K$1232,"Yes",Games_Raw!$J$2:$J$1232,A105)</ns0:f>
        <ns0:v>63</ns0:v>
      </ns0:c>
    </ns0:row>
    <ns0:row r="106">
      <ns0:c r="A106" t="inlineStr">
        <ns0:is>
          <ns0:t>Charlotte Hornets</ns0:t>
        </ns0:is>
      </ns0:c>
      <ns0:c r="B106" t="inlineStr">
        <ns0:is>
          <ns0:t>New Orleans Pelicans</ns0:t>
        </ns0:is>
      </ns0:c>
      <ns0:c r="C106">
        <ns0:f>COUNTIFS(Games_Raw!$K$2:$K$1232,"Yes",Games_Raw!$I$2:$I$1232,A106,Games_Raw!$J$2:$J$1232,B106)</ns0:f>
        <ns0:v>1</ns0:v>
      </ns0:c>
      <ns0:c r="D106">
        <ns0:f>COUNTIFS(Games_Raw!$K$2:$K$1232,"Yes",Games_Raw!$I$2:$I$1232,B106,Games_Raw!$J$2:$J$1232,A106)</ns0:f>
        <ns0:v>1</ns0:v>
      </ns0:c>
      <ns0:c r="E106" t="str">
        <ns0:f>C106&amp;"-"&amp;D106</ns0:f>
        <ns0:v>1-1</ns0:v>
      </ns0:c>
      <ns0:c r="F106">
        <ns0:f>COUNTIFS(Games_Raw!$K$2:$K$1232,"Yes",Games_Raw!$I$2:$I$1232,A106)</ns0:f>
        <ns0:v>19</ns0:v>
      </ns0:c>
      <ns0:c r="G106">
        <ns0:f>COUNTIFS(Games_Raw!$K$2:$K$1232,"Yes",Games_Raw!$J$2:$J$1232,A106)</ns0:f>
        <ns0:v>63</ns0:v>
      </ns0:c>
    </ns0:row>
    <ns0:row r="107">
      <ns0:c r="A107" t="inlineStr">
        <ns0:is>
          <ns0:t>Charlotte Hornets</ns0:t>
        </ns0:is>
      </ns0:c>
      <ns0:c r="B107" t="inlineStr">
        <ns0:is>
          <ns0:t>New York Knicks</ns0:t>
        </ns0:is>
      </ns0:c>
      <ns0:c r="C107">
        <ns0:f>COUNTIFS(Games_Raw!$K$2:$K$1232,"Yes",Games_Raw!$I$2:$I$1232,A107,Games_Raw!$J$2:$J$1232,B107)</ns0:f>
        <ns0:v>1</ns0:v>
      </ns0:c>
      <ns0:c r="D107">
        <ns0:f>COUNTIFS(Games_Raw!$K$2:$K$1232,"Yes",Games_Raw!$I$2:$I$1232,B107,Games_Raw!$J$2:$J$1232,A107)</ns0:f>
        <ns0:v>2</ns0:v>
      </ns0:c>
      <ns0:c r="E107" t="str">
        <ns0:f>C107&amp;"-"&amp;D107</ns0:f>
        <ns0:v>1-2</ns0:v>
      </ns0:c>
      <ns0:c r="F107">
        <ns0:f>COUNTIFS(Games_Raw!$K$2:$K$1232,"Yes",Games_Raw!$I$2:$I$1232,A107)</ns0:f>
        <ns0:v>19</ns0:v>
      </ns0:c>
      <ns0:c r="G107">
        <ns0:f>COUNTIFS(Games_Raw!$K$2:$K$1232,"Yes",Games_Raw!$J$2:$J$1232,A107)</ns0:f>
        <ns0:v>63</ns0:v>
      </ns0:c>
    </ns0:row>
    <ns0:row r="108">
      <ns0:c r="A108" t="inlineStr">
        <ns0:is>
          <ns0:t>Charlotte Hornets</ns0:t>
        </ns0:is>
      </ns0:c>
      <ns0:c r="B108" t="inlineStr">
        <ns0:is>
          <ns0:t>Oklahoma City Thunder</ns0:t>
        </ns0:is>
      </ns0:c>
      <ns0:c r="C108">
        <ns0:f>COUNTIFS(Games_Raw!$K$2:$K$1232,"Yes",Games_Raw!$I$2:$I$1232,A108,Games_Raw!$J$2:$J$1232,B108)</ns0:f>
        <ns0:v>0</ns0:v>
      </ns0:c>
      <ns0:c r="D108">
        <ns0:f>COUNTIFS(Games_Raw!$K$2:$K$1232,"Yes",Games_Raw!$I$2:$I$1232,B108,Games_Raw!$J$2:$J$1232,A108)</ns0:f>
        <ns0:v>2</ns0:v>
      </ns0:c>
      <ns0:c r="E108" t="str">
        <ns0:f>C108&amp;"-"&amp;D108</ns0:f>
        <ns0:v>0-2</ns0:v>
      </ns0:c>
      <ns0:c r="F108">
        <ns0:f>COUNTIFS(Games_Raw!$K$2:$K$1232,"Yes",Games_Raw!$I$2:$I$1232,A108)</ns0:f>
        <ns0:v>19</ns0:v>
      </ns0:c>
      <ns0:c r="G108">
        <ns0:f>COUNTIFS(Games_Raw!$K$2:$K$1232,"Yes",Games_Raw!$J$2:$J$1232,A108)</ns0:f>
        <ns0:v>63</ns0:v>
      </ns0:c>
    </ns0:row>
    <ns0:row r="109">
      <ns0:c r="A109" t="inlineStr">
        <ns0:is>
          <ns0:t>Charlotte Hornets</ns0:t>
        </ns0:is>
      </ns0:c>
      <ns0:c r="B109" t="inlineStr">
        <ns0:is>
          <ns0:t>Orlando Magic</ns0:t>
        </ns0:is>
      </ns0:c>
      <ns0:c r="C109">
        <ns0:f>COUNTIFS(Games_Raw!$K$2:$K$1232,"Yes",Games_Raw!$I$2:$I$1232,A109,Games_Raw!$J$2:$J$1232,B109)</ns0:f>
        <ns0:v>0</ns0:v>
      </ns0:c>
      <ns0:c r="D109">
        <ns0:f>COUNTIFS(Games_Raw!$K$2:$K$1232,"Yes",Games_Raw!$I$2:$I$1232,B109,Games_Raw!$J$2:$J$1232,A109)</ns0:f>
        <ns0:v>4</ns0:v>
      </ns0:c>
      <ns0:c r="E109" t="str">
        <ns0:f>C109&amp;"-"&amp;D109</ns0:f>
        <ns0:v>0-4</ns0:v>
      </ns0:c>
      <ns0:c r="F109">
        <ns0:f>COUNTIFS(Games_Raw!$K$2:$K$1232,"Yes",Games_Raw!$I$2:$I$1232,A109)</ns0:f>
        <ns0:v>19</ns0:v>
      </ns0:c>
      <ns0:c r="G109">
        <ns0:f>COUNTIFS(Games_Raw!$K$2:$K$1232,"Yes",Games_Raw!$J$2:$J$1232,A109)</ns0:f>
        <ns0:v>63</ns0:v>
      </ns0:c>
    </ns0:row>
    <ns0:row r="110">
      <ns0:c r="A110" t="inlineStr">
        <ns0:is>
          <ns0:t>Charlotte Hornets</ns0:t>
        </ns0:is>
      </ns0:c>
      <ns0:c r="B110" t="inlineStr">
        <ns0:is>
          <ns0:t>Philadelphia 76ers</ns0:t>
        </ns0:is>
      </ns0:c>
      <ns0:c r="C110">
        <ns0:f>COUNTIFS(Games_Raw!$K$2:$K$1232,"Yes",Games_Raw!$I$2:$I$1232,A110,Games_Raw!$J$2:$J$1232,B110)</ns0:f>
        <ns0:v>0</ns0:v>
      </ns0:c>
      <ns0:c r="D110">
        <ns0:f>COUNTIFS(Games_Raw!$K$2:$K$1232,"Yes",Games_Raw!$I$2:$I$1232,B110,Games_Raw!$J$2:$J$1232,A110)</ns0:f>
        <ns0:v>4</ns0:v>
      </ns0:c>
      <ns0:c r="E110" t="str">
        <ns0:f>C110&amp;"-"&amp;D110</ns0:f>
        <ns0:v>0-4</ns0:v>
      </ns0:c>
      <ns0:c r="F110">
        <ns0:f>COUNTIFS(Games_Raw!$K$2:$K$1232,"Yes",Games_Raw!$I$2:$I$1232,A110)</ns0:f>
        <ns0:v>19</ns0:v>
      </ns0:c>
      <ns0:c r="G110">
        <ns0:f>COUNTIFS(Games_Raw!$K$2:$K$1232,"Yes",Games_Raw!$J$2:$J$1232,A110)</ns0:f>
        <ns0:v>63</ns0:v>
      </ns0:c>
    </ns0:row>
    <ns0:row r="111">
      <ns0:c r="A111" t="inlineStr">
        <ns0:is>
          <ns0:t>Charlotte Hornets</ns0:t>
        </ns0:is>
      </ns0:c>
      <ns0:c r="B111" t="inlineStr">
        <ns0:is>
          <ns0:t>Phoenix Suns</ns0:t>
        </ns0:is>
      </ns0:c>
      <ns0:c r="C111">
        <ns0:f>COUNTIFS(Games_Raw!$K$2:$K$1232,"Yes",Games_Raw!$I$2:$I$1232,A111,Games_Raw!$J$2:$J$1232,B111)</ns0:f>
        <ns0:v>1</ns0:v>
      </ns0:c>
      <ns0:c r="D111">
        <ns0:f>COUNTIFS(Games_Raw!$K$2:$K$1232,"Yes",Games_Raw!$I$2:$I$1232,B111,Games_Raw!$J$2:$J$1232,A111)</ns0:f>
        <ns0:v>1</ns0:v>
      </ns0:c>
      <ns0:c r="E111" t="str">
        <ns0:f>C111&amp;"-"&amp;D111</ns0:f>
        <ns0:v>1-1</ns0:v>
      </ns0:c>
      <ns0:c r="F111">
        <ns0:f>COUNTIFS(Games_Raw!$K$2:$K$1232,"Yes",Games_Raw!$I$2:$I$1232,A111)</ns0:f>
        <ns0:v>19</ns0:v>
      </ns0:c>
      <ns0:c r="G111">
        <ns0:f>COUNTIFS(Games_Raw!$K$2:$K$1232,"Yes",Games_Raw!$J$2:$J$1232,A111)</ns0:f>
        <ns0:v>63</ns0:v>
      </ns0:c>
    </ns0:row>
    <ns0:row r="112">
      <ns0:c r="A112" t="inlineStr">
        <ns0:is>
          <ns0:t>Charlotte Hornets</ns0:t>
        </ns0:is>
      </ns0:c>
      <ns0:c r="B112" t="inlineStr">
        <ns0:is>
          <ns0:t>Portland Trail Blazers</ns0:t>
        </ns0:is>
      </ns0:c>
      <ns0:c r="C112">
        <ns0:f>COUNTIFS(Games_Raw!$K$2:$K$1232,"Yes",Games_Raw!$I$2:$I$1232,A112,Games_Raw!$J$2:$J$1232,B112)</ns0:f>
        <ns0:v>0</ns0:v>
      </ns0:c>
      <ns0:c r="D112">
        <ns0:f>COUNTIFS(Games_Raw!$K$2:$K$1232,"Yes",Games_Raw!$I$2:$I$1232,B112,Games_Raw!$J$2:$J$1232,A112)</ns0:f>
        <ns0:v>2</ns0:v>
      </ns0:c>
      <ns0:c r="E112" t="str">
        <ns0:f>C112&amp;"-"&amp;D112</ns0:f>
        <ns0:v>0-2</ns0:v>
      </ns0:c>
      <ns0:c r="F112">
        <ns0:f>COUNTIFS(Games_Raw!$K$2:$K$1232,"Yes",Games_Raw!$I$2:$I$1232,A112)</ns0:f>
        <ns0:v>19</ns0:v>
      </ns0:c>
      <ns0:c r="G112">
        <ns0:f>COUNTIFS(Games_Raw!$K$2:$K$1232,"Yes",Games_Raw!$J$2:$J$1232,A112)</ns0:f>
        <ns0:v>63</ns0:v>
      </ns0:c>
    </ns0:row>
    <ns0:row r="113">
      <ns0:c r="A113" t="inlineStr">
        <ns0:is>
          <ns0:t>Charlotte Hornets</ns0:t>
        </ns0:is>
      </ns0:c>
      <ns0:c r="B113" t="inlineStr">
        <ns0:is>
          <ns0:t>Sacramento Kings</ns0:t>
        </ns0:is>
      </ns0:c>
      <ns0:c r="C113">
        <ns0:f>COUNTIFS(Games_Raw!$K$2:$K$1232,"Yes",Games_Raw!$I$2:$I$1232,A113,Games_Raw!$J$2:$J$1232,B113)</ns0:f>
        <ns0:v>0</ns0:v>
      </ns0:c>
      <ns0:c r="D113">
        <ns0:f>COUNTIFS(Games_Raw!$K$2:$K$1232,"Yes",Games_Raw!$I$2:$I$1232,B113,Games_Raw!$J$2:$J$1232,A113)</ns0:f>
        <ns0:v>2</ns0:v>
      </ns0:c>
      <ns0:c r="E113" t="str">
        <ns0:f>C113&amp;"-"&amp;D113</ns0:f>
        <ns0:v>0-2</ns0:v>
      </ns0:c>
      <ns0:c r="F113">
        <ns0:f>COUNTIFS(Games_Raw!$K$2:$K$1232,"Yes",Games_Raw!$I$2:$I$1232,A113)</ns0:f>
        <ns0:v>19</ns0:v>
      </ns0:c>
      <ns0:c r="G113">
        <ns0:f>COUNTIFS(Games_Raw!$K$2:$K$1232,"Yes",Games_Raw!$J$2:$J$1232,A113)</ns0:f>
        <ns0:v>63</ns0:v>
      </ns0:c>
    </ns0:row>
    <ns0:row r="114">
      <ns0:c r="A114" t="inlineStr">
        <ns0:is>
          <ns0:t>Charlotte Hornets</ns0:t>
        </ns0:is>
      </ns0:c>
      <ns0:c r="B114" t="inlineStr">
        <ns0:is>
          <ns0:t>San Antonio Spurs</ns0:t>
        </ns0:is>
      </ns0:c>
      <ns0:c r="C114">
        <ns0:f>COUNTIFS(Games_Raw!$K$2:$K$1232,"Yes",Games_Raw!$I$2:$I$1232,A114,Games_Raw!$J$2:$J$1232,B114)</ns0:f>
        <ns0:v>2</ns0:v>
      </ns0:c>
      <ns0:c r="D114">
        <ns0:f>COUNTIFS(Games_Raw!$K$2:$K$1232,"Yes",Games_Raw!$I$2:$I$1232,B114,Games_Raw!$J$2:$J$1232,A114)</ns0:f>
        <ns0:v>0</ns0:v>
      </ns0:c>
      <ns0:c r="E114" t="str">
        <ns0:f>C114&amp;"-"&amp;D114</ns0:f>
        <ns0:v>2-0</ns0:v>
      </ns0:c>
      <ns0:c r="F114">
        <ns0:f>COUNTIFS(Games_Raw!$K$2:$K$1232,"Yes",Games_Raw!$I$2:$I$1232,A114)</ns0:f>
        <ns0:v>19</ns0:v>
      </ns0:c>
      <ns0:c r="G114">
        <ns0:f>COUNTIFS(Games_Raw!$K$2:$K$1232,"Yes",Games_Raw!$J$2:$J$1232,A114)</ns0:f>
        <ns0:v>63</ns0:v>
      </ns0:c>
    </ns0:row>
    <ns0:row r="115">
      <ns0:c r="A115" t="inlineStr">
        <ns0:is>
          <ns0:t>Charlotte Hornets</ns0:t>
        </ns0:is>
      </ns0:c>
      <ns0:c r="B115" t="inlineStr">
        <ns0:is>
          <ns0:t>Toronto Raptors</ns0:t>
        </ns0:is>
      </ns0:c>
      <ns0:c r="C115">
        <ns0:f>COUNTIFS(Games_Raw!$K$2:$K$1232,"Yes",Games_Raw!$I$2:$I$1232,A115,Games_Raw!$J$2:$J$1232,B115)</ns0:f>
        <ns0:v>1</ns0:v>
      </ns0:c>
      <ns0:c r="D115">
        <ns0:f>COUNTIFS(Games_Raw!$K$2:$K$1232,"Yes",Games_Raw!$I$2:$I$1232,B115,Games_Raw!$J$2:$J$1232,A115)</ns0:f>
        <ns0:v>2</ns0:v>
      </ns0:c>
      <ns0:c r="E115" t="str">
        <ns0:f>C115&amp;"-"&amp;D115</ns0:f>
        <ns0:v>1-2</ns0:v>
      </ns0:c>
      <ns0:c r="F115">
        <ns0:f>COUNTIFS(Games_Raw!$K$2:$K$1232,"Yes",Games_Raw!$I$2:$I$1232,A115)</ns0:f>
        <ns0:v>19</ns0:v>
      </ns0:c>
      <ns0:c r="G115">
        <ns0:f>COUNTIFS(Games_Raw!$K$2:$K$1232,"Yes",Games_Raw!$J$2:$J$1232,A115)</ns0:f>
        <ns0:v>63</ns0:v>
      </ns0:c>
    </ns0:row>
    <ns0:row r="116">
      <ns0:c r="A116" t="inlineStr">
        <ns0:is>
          <ns0:t>Charlotte Hornets</ns0:t>
        </ns0:is>
      </ns0:c>
      <ns0:c r="B116" t="inlineStr">
        <ns0:is>
          <ns0:t>Utah Jazz</ns0:t>
        </ns0:is>
      </ns0:c>
      <ns0:c r="C116">
        <ns0:f>COUNTIFS(Games_Raw!$K$2:$K$1232,"Yes",Games_Raw!$I$2:$I$1232,A116,Games_Raw!$J$2:$J$1232,B116)</ns0:f>
        <ns0:v>2</ns0:v>
      </ns0:c>
      <ns0:c r="D116">
        <ns0:f>COUNTIFS(Games_Raw!$K$2:$K$1232,"Yes",Games_Raw!$I$2:$I$1232,B116,Games_Raw!$J$2:$J$1232,A116)</ns0:f>
        <ns0:v>0</ns0:v>
      </ns0:c>
      <ns0:c r="E116" t="str">
        <ns0:f>C116&amp;"-"&amp;D116</ns0:f>
        <ns0:v>2-0</ns0:v>
      </ns0:c>
      <ns0:c r="F116">
        <ns0:f>COUNTIFS(Games_Raw!$K$2:$K$1232,"Yes",Games_Raw!$I$2:$I$1232,A116)</ns0:f>
        <ns0:v>19</ns0:v>
      </ns0:c>
      <ns0:c r="G116">
        <ns0:f>COUNTIFS(Games_Raw!$K$2:$K$1232,"Yes",Games_Raw!$J$2:$J$1232,A116)</ns0:f>
        <ns0:v>63</ns0:v>
      </ns0:c>
    </ns0:row>
    <ns0:row r="117">
      <ns0:c r="A117" t="inlineStr">
        <ns0:is>
          <ns0:t>Charlotte Hornets</ns0:t>
        </ns0:is>
      </ns0:c>
      <ns0:c r="B117" t="inlineStr">
        <ns0:is>
          <ns0:t>Washington Wizards</ns0:t>
        </ns0:is>
      </ns0:c>
      <ns0:c r="C117">
        <ns0:f>COUNTIFS(Games_Raw!$K$2:$K$1232,"Yes",Games_Raw!$I$2:$I$1232,A117,Games_Raw!$J$2:$J$1232,B117)</ns0:f>
        <ns0:v>0</ns0:v>
      </ns0:c>
      <ns0:c r="D117">
        <ns0:f>COUNTIFS(Games_Raw!$K$2:$K$1232,"Yes",Games_Raw!$I$2:$I$1232,B117,Games_Raw!$J$2:$J$1232,A117)</ns0:f>
        <ns0:v>4</ns0:v>
      </ns0:c>
      <ns0:c r="E117" t="str">
        <ns0:f>C117&amp;"-"&amp;D117</ns0:f>
        <ns0:v>0-4</ns0:v>
      </ns0:c>
      <ns0:c r="F117">
        <ns0:f>COUNTIFS(Games_Raw!$K$2:$K$1232,"Yes",Games_Raw!$I$2:$I$1232,A117)</ns0:f>
        <ns0:v>19</ns0:v>
      </ns0:c>
      <ns0:c r="G117">
        <ns0:f>COUNTIFS(Games_Raw!$K$2:$K$1232,"Yes",Games_Raw!$J$2:$J$1232,A117)</ns0:f>
        <ns0:v>63</ns0:v>
      </ns0:c>
    </ns0:row>
    <ns0:row r="118">
      <ns0:c r="A118" t="inlineStr">
        <ns0:is>
          <ns0:t>Chicago Bulls</ns0:t>
        </ns0:is>
      </ns0:c>
      <ns0:c r="B118" t="inlineStr">
        <ns0:is>
          <ns0:t>Atlanta Hawks</ns0:t>
        </ns0:is>
      </ns0:c>
      <ns0:c r="C118">
        <ns0:f>COUNTIFS(Games_Raw!$K$2:$K$1232,"Yes",Games_Raw!$I$2:$I$1232,A118,Games_Raw!$J$2:$J$1232,B118)</ns0:f>
        <ns0:v>2</ns0:v>
      </ns0:c>
      <ns0:c r="D118">
        <ns0:f>COUNTIFS(Games_Raw!$K$2:$K$1232,"Yes",Games_Raw!$I$2:$I$1232,B118,Games_Raw!$J$2:$J$1232,A118)</ns0:f>
        <ns0:v>2</ns0:v>
      </ns0:c>
      <ns0:c r="E118" t="str">
        <ns0:f>C118&amp;"-"&amp;D118</ns0:f>
        <ns0:v>2-2</ns0:v>
      </ns0:c>
      <ns0:c r="F118">
        <ns0:f>COUNTIFS(Games_Raw!$K$2:$K$1232,"Yes",Games_Raw!$I$2:$I$1232,A118)</ns0:f>
        <ns0:v>39</ns0:v>
      </ns0:c>
      <ns0:c r="G118">
        <ns0:f>COUNTIFS(Games_Raw!$K$2:$K$1232,"Yes",Games_Raw!$J$2:$J$1232,A118)</ns0:f>
        <ns0:v>43</ns0:v>
      </ns0:c>
    </ns0:row>
    <ns0:row r="119">
      <ns0:c r="A119" t="inlineStr">
        <ns0:is>
          <ns0:t>Chicago Bulls</ns0:t>
        </ns0:is>
      </ns0:c>
      <ns0:c r="B119" t="inlineStr">
        <ns0:is>
          <ns0:t>Boston Celtics</ns0:t>
        </ns0:is>
      </ns0:c>
      <ns0:c r="C119">
        <ns0:f>COUNTIFS(Games_Raw!$K$2:$K$1232,"Yes",Games_Raw!$I$2:$I$1232,A119,Games_Raw!$J$2:$J$1232,B119)</ns0:f>
        <ns0:v>1</ns0:v>
      </ns0:c>
      <ns0:c r="D119">
        <ns0:f>COUNTIFS(Games_Raw!$K$2:$K$1232,"Yes",Games_Raw!$I$2:$I$1232,B119,Games_Raw!$J$2:$J$1232,A119)</ns0:f>
        <ns0:v>3</ns0:v>
      </ns0:c>
      <ns0:c r="E119" t="str">
        <ns0:f>C119&amp;"-"&amp;D119</ns0:f>
        <ns0:v>1-3</ns0:v>
      </ns0:c>
      <ns0:c r="F119">
        <ns0:f>COUNTIFS(Games_Raw!$K$2:$K$1232,"Yes",Games_Raw!$I$2:$I$1232,A119)</ns0:f>
        <ns0:v>39</ns0:v>
      </ns0:c>
      <ns0:c r="G119">
        <ns0:f>COUNTIFS(Games_Raw!$K$2:$K$1232,"Yes",Games_Raw!$J$2:$J$1232,A119)</ns0:f>
        <ns0:v>43</ns0:v>
      </ns0:c>
    </ns0:row>
    <ns0:row r="120">
      <ns0:c r="A120" t="inlineStr">
        <ns0:is>
          <ns0:t>Chicago Bulls</ns0:t>
        </ns0:is>
      </ns0:c>
      <ns0:c r="B120" t="inlineStr">
        <ns0:is>
          <ns0:t>Brooklyn Nets</ns0:t>
        </ns0:is>
      </ns0:c>
      <ns0:c r="C120">
        <ns0:f>COUNTIFS(Games_Raw!$K$2:$K$1232,"Yes",Games_Raw!$I$2:$I$1232,A120,Games_Raw!$J$2:$J$1232,B120)</ns0:f>
        <ns0:v>2</ns0:v>
      </ns0:c>
      <ns0:c r="D120">
        <ns0:f>COUNTIFS(Games_Raw!$K$2:$K$1232,"Yes",Games_Raw!$I$2:$I$1232,B120,Games_Raw!$J$2:$J$1232,A120)</ns0:f>
        <ns0:v>1</ns0:v>
      </ns0:c>
      <ns0:c r="E120" t="str">
        <ns0:f>C120&amp;"-"&amp;D120</ns0:f>
        <ns0:v>2-1</ns0:v>
      </ns0:c>
      <ns0:c r="F120">
        <ns0:f>COUNTIFS(Games_Raw!$K$2:$K$1232,"Yes",Games_Raw!$I$2:$I$1232,A120)</ns0:f>
        <ns0:v>39</ns0:v>
      </ns0:c>
      <ns0:c r="G120">
        <ns0:f>COUNTIFS(Games_Raw!$K$2:$K$1232,"Yes",Games_Raw!$J$2:$J$1232,A120)</ns0:f>
        <ns0:v>43</ns0:v>
      </ns0:c>
    </ns0:row>
    <ns0:row r="121">
      <ns0:c r="A121" t="inlineStr">
        <ns0:is>
          <ns0:t>Chicago Bulls</ns0:t>
        </ns0:is>
      </ns0:c>
      <ns0:c r="B121" t="inlineStr">
        <ns0:is>
          <ns0:t>Charlotte Hornets</ns0:t>
        </ns0:is>
      </ns0:c>
      <ns0:c r="C121">
        <ns0:f>COUNTIFS(Games_Raw!$K$2:$K$1232,"Yes",Games_Raw!$I$2:$I$1232,A121,Games_Raw!$J$2:$J$1232,B121)</ns0:f>
        <ns0:v>3</ns0:v>
      </ns0:c>
      <ns0:c r="D121">
        <ns0:f>COUNTIFS(Games_Raw!$K$2:$K$1232,"Yes",Games_Raw!$I$2:$I$1232,B121,Games_Raw!$J$2:$J$1232,A121)</ns0:f>
        <ns0:v>1</ns0:v>
      </ns0:c>
      <ns0:c r="E121" t="str">
        <ns0:f>C121&amp;"-"&amp;D121</ns0:f>
        <ns0:v>3-1</ns0:v>
      </ns0:c>
      <ns0:c r="F121">
        <ns0:f>COUNTIFS(Games_Raw!$K$2:$K$1232,"Yes",Games_Raw!$I$2:$I$1232,A121)</ns0:f>
        <ns0:v>39</ns0:v>
      </ns0:c>
      <ns0:c r="G121">
        <ns0:f>COUNTIFS(Games_Raw!$K$2:$K$1232,"Yes",Games_Raw!$J$2:$J$1232,A121)</ns0:f>
        <ns0:v>43</ns0:v>
      </ns0:c>
    </ns0:row>
    <ns0:row r="122">
      <ns0:c r="A122" t="inlineStr">
        <ns0:is>
          <ns0:t>Chicago Bulls</ns0:t>
        </ns0:is>
      </ns0:c>
      <ns0:c r="B122" t="inlineStr">
        <ns0:is>
          <ns0:t>Cleveland Cavaliers</ns0:t>
        </ns0:is>
      </ns0:c>
      <ns0:c r="C122">
        <ns0:f>COUNTIFS(Games_Raw!$K$2:$K$1232,"Yes",Games_Raw!$I$2:$I$1232,A122,Games_Raw!$J$2:$J$1232,B122)</ns0:f>
        <ns0:v>0</ns0:v>
      </ns0:c>
      <ns0:c r="D122">
        <ns0:f>COUNTIFS(Games_Raw!$K$2:$K$1232,"Yes",Games_Raw!$I$2:$I$1232,B122,Games_Raw!$J$2:$J$1232,A122)</ns0:f>
        <ns0:v>4</ns0:v>
      </ns0:c>
      <ns0:c r="E122" t="str">
        <ns0:f>C122&amp;"-"&amp;D122</ns0:f>
        <ns0:v>0-4</ns0:v>
      </ns0:c>
      <ns0:c r="F122">
        <ns0:f>COUNTIFS(Games_Raw!$K$2:$K$1232,"Yes",Games_Raw!$I$2:$I$1232,A122)</ns0:f>
        <ns0:v>39</ns0:v>
      </ns0:c>
      <ns0:c r="G122">
        <ns0:f>COUNTIFS(Games_Raw!$K$2:$K$1232,"Yes",Games_Raw!$J$2:$J$1232,A122)</ns0:f>
        <ns0:v>43</ns0:v>
      </ns0:c>
    </ns0:row>
    <ns0:row r="123">
      <ns0:c r="A123" t="inlineStr">
        <ns0:is>
          <ns0:t>Chicago Bulls</ns0:t>
        </ns0:is>
      </ns0:c>
      <ns0:c r="B123" t="inlineStr">
        <ns0:is>
          <ns0:t>Dallas Mavericks</ns0:t>
        </ns0:is>
      </ns0:c>
      <ns0:c r="C123">
        <ns0:f>COUNTIFS(Games_Raw!$K$2:$K$1232,"Yes",Games_Raw!$I$2:$I$1232,A123,Games_Raw!$J$2:$J$1232,B123)</ns0:f>
        <ns0:v>0</ns0:v>
      </ns0:c>
      <ns0:c r="D123">
        <ns0:f>COUNTIFS(Games_Raw!$K$2:$K$1232,"Yes",Games_Raw!$I$2:$I$1232,B123,Games_Raw!$J$2:$J$1232,A123)</ns0:f>
        <ns0:v>2</ns0:v>
      </ns0:c>
      <ns0:c r="E123" t="str">
        <ns0:f>C123&amp;"-"&amp;D123</ns0:f>
        <ns0:v>0-2</ns0:v>
      </ns0:c>
      <ns0:c r="F123">
        <ns0:f>COUNTIFS(Games_Raw!$K$2:$K$1232,"Yes",Games_Raw!$I$2:$I$1232,A123)</ns0:f>
        <ns0:v>39</ns0:v>
      </ns0:c>
      <ns0:c r="G123">
        <ns0:f>COUNTIFS(Games_Raw!$K$2:$K$1232,"Yes",Games_Raw!$J$2:$J$1232,A123)</ns0:f>
        <ns0:v>43</ns0:v>
      </ns0:c>
    </ns0:row>
    <ns0:row r="124">
      <ns0:c r="A124" t="inlineStr">
        <ns0:is>
          <ns0:t>Chicago Bulls</ns0:t>
        </ns0:is>
      </ns0:c>
      <ns0:c r="B124" t="inlineStr">
        <ns0:is>
          <ns0:t>Denver Nuggets</ns0:t>
        </ns0:is>
      </ns0:c>
      <ns0:c r="C124">
        <ns0:f>COUNTIFS(Games_Raw!$K$2:$K$1232,"Yes",Games_Raw!$I$2:$I$1232,A124,Games_Raw!$J$2:$J$1232,B124)</ns0:f>
        <ns0:v>2</ns0:v>
      </ns0:c>
      <ns0:c r="D124">
        <ns0:f>COUNTIFS(Games_Raw!$K$2:$K$1232,"Yes",Games_Raw!$I$2:$I$1232,B124,Games_Raw!$J$2:$J$1232,A124)</ns0:f>
        <ns0:v>0</ns0:v>
      </ns0:c>
      <ns0:c r="E124" t="str">
        <ns0:f>C124&amp;"-"&amp;D124</ns0:f>
        <ns0:v>2-0</ns0:v>
      </ns0:c>
      <ns0:c r="F124">
        <ns0:f>COUNTIFS(Games_Raw!$K$2:$K$1232,"Yes",Games_Raw!$I$2:$I$1232,A124)</ns0:f>
        <ns0:v>39</ns0:v>
      </ns0:c>
      <ns0:c r="G124">
        <ns0:f>COUNTIFS(Games_Raw!$K$2:$K$1232,"Yes",Games_Raw!$J$2:$J$1232,A124)</ns0:f>
        <ns0:v>43</ns0:v>
      </ns0:c>
    </ns0:row>
    <ns0:row r="125">
      <ns0:c r="A125" t="inlineStr">
        <ns0:is>
          <ns0:t>Chicago Bulls</ns0:t>
        </ns0:is>
      </ns0:c>
      <ns0:c r="B125" t="inlineStr">
        <ns0:is>
          <ns0:t>Detroit Pistons</ns0:t>
        </ns0:is>
      </ns0:c>
      <ns0:c r="C125">
        <ns0:f>COUNTIFS(Games_Raw!$K$2:$K$1232,"Yes",Games_Raw!$I$2:$I$1232,A125,Games_Raw!$J$2:$J$1232,B125)</ns0:f>
        <ns0:v>1</ns0:v>
      </ns0:c>
      <ns0:c r="D125">
        <ns0:f>COUNTIFS(Games_Raw!$K$2:$K$1232,"Yes",Games_Raw!$I$2:$I$1232,B125,Games_Raw!$J$2:$J$1232,A125)</ns0:f>
        <ns0:v>3</ns0:v>
      </ns0:c>
      <ns0:c r="E125" t="str">
        <ns0:f>C125&amp;"-"&amp;D125</ns0:f>
        <ns0:v>1-3</ns0:v>
      </ns0:c>
      <ns0:c r="F125">
        <ns0:f>COUNTIFS(Games_Raw!$K$2:$K$1232,"Yes",Games_Raw!$I$2:$I$1232,A125)</ns0:f>
        <ns0:v>39</ns0:v>
      </ns0:c>
      <ns0:c r="G125">
        <ns0:f>COUNTIFS(Games_Raw!$K$2:$K$1232,"Yes",Games_Raw!$J$2:$J$1232,A125)</ns0:f>
        <ns0:v>43</ns0:v>
      </ns0:c>
    </ns0:row>
    <ns0:row r="126">
      <ns0:c r="A126" t="inlineStr">
        <ns0:is>
          <ns0:t>Chicago Bulls</ns0:t>
        </ns0:is>
      </ns0:c>
      <ns0:c r="B126" t="inlineStr">
        <ns0:is>
          <ns0:t>Golden State Warriors</ns0:t>
        </ns0:is>
      </ns0:c>
      <ns0:c r="C126">
        <ns0:f>COUNTIFS(Games_Raw!$K$2:$K$1232,"Yes",Games_Raw!$I$2:$I$1232,A126,Games_Raw!$J$2:$J$1232,B126)</ns0:f>
        <ns0:v>0</ns0:v>
      </ns0:c>
      <ns0:c r="D126">
        <ns0:f>COUNTIFS(Games_Raw!$K$2:$K$1232,"Yes",Games_Raw!$I$2:$I$1232,B126,Games_Raw!$J$2:$J$1232,A126)</ns0:f>
        <ns0:v>2</ns0:v>
      </ns0:c>
      <ns0:c r="E126" t="str">
        <ns0:f>C126&amp;"-"&amp;D126</ns0:f>
        <ns0:v>0-2</ns0:v>
      </ns0:c>
      <ns0:c r="F126">
        <ns0:f>COUNTIFS(Games_Raw!$K$2:$K$1232,"Yes",Games_Raw!$I$2:$I$1232,A126)</ns0:f>
        <ns0:v>39</ns0:v>
      </ns0:c>
      <ns0:c r="G126">
        <ns0:f>COUNTIFS(Games_Raw!$K$2:$K$1232,"Yes",Games_Raw!$J$2:$J$1232,A126)</ns0:f>
        <ns0:v>43</ns0:v>
      </ns0:c>
    </ns0:row>
    <ns0:row r="127">
      <ns0:c r="A127" t="inlineStr">
        <ns0:is>
          <ns0:t>Chicago Bulls</ns0:t>
        </ns0:is>
      </ns0:c>
      <ns0:c r="B127" t="inlineStr">
        <ns0:is>
          <ns0:t>Houston Rockets</ns0:t>
        </ns0:is>
      </ns0:c>
      <ns0:c r="C127">
        <ns0:f>COUNTIFS(Games_Raw!$K$2:$K$1232,"Yes",Games_Raw!$I$2:$I$1232,A127,Games_Raw!$J$2:$J$1232,B127)</ns0:f>
        <ns0:v>0</ns0:v>
      </ns0:c>
      <ns0:c r="D127">
        <ns0:f>COUNTIFS(Games_Raw!$K$2:$K$1232,"Yes",Games_Raw!$I$2:$I$1232,B127,Games_Raw!$J$2:$J$1232,A127)</ns0:f>
        <ns0:v>2</ns0:v>
      </ns0:c>
      <ns0:c r="E127" t="str">
        <ns0:f>C127&amp;"-"&amp;D127</ns0:f>
        <ns0:v>0-2</ns0:v>
      </ns0:c>
      <ns0:c r="F127">
        <ns0:f>COUNTIFS(Games_Raw!$K$2:$K$1232,"Yes",Games_Raw!$I$2:$I$1232,A127)</ns0:f>
        <ns0:v>39</ns0:v>
      </ns0:c>
      <ns0:c r="G127">
        <ns0:f>COUNTIFS(Games_Raw!$K$2:$K$1232,"Yes",Games_Raw!$J$2:$J$1232,A127)</ns0:f>
        <ns0:v>43</ns0:v>
      </ns0:c>
    </ns0:row>
    <ns0:row r="128">
      <ns0:c r="A128" t="inlineStr">
        <ns0:is>
          <ns0:t>Chicago Bulls</ns0:t>
        </ns0:is>
      </ns0:c>
      <ns0:c r="B128" t="inlineStr">
        <ns0:is>
          <ns0:t>Indiana Pacers</ns0:t>
        </ns0:is>
      </ns0:c>
      <ns0:c r="C128">
        <ns0:f>COUNTIFS(Games_Raw!$K$2:$K$1232,"Yes",Games_Raw!$I$2:$I$1232,A128,Games_Raw!$J$2:$J$1232,B128)</ns0:f>
        <ns0:v>1</ns0:v>
      </ns0:c>
      <ns0:c r="D128">
        <ns0:f>COUNTIFS(Games_Raw!$K$2:$K$1232,"Yes",Games_Raw!$I$2:$I$1232,B128,Games_Raw!$J$2:$J$1232,A128)</ns0:f>
        <ns0:v>3</ns0:v>
      </ns0:c>
      <ns0:c r="E128" t="str">
        <ns0:f>C128&amp;"-"&amp;D128</ns0:f>
        <ns0:v>1-3</ns0:v>
      </ns0:c>
      <ns0:c r="F128">
        <ns0:f>COUNTIFS(Games_Raw!$K$2:$K$1232,"Yes",Games_Raw!$I$2:$I$1232,A128)</ns0:f>
        <ns0:v>39</ns0:v>
      </ns0:c>
      <ns0:c r="G128">
        <ns0:f>COUNTIFS(Games_Raw!$K$2:$K$1232,"Yes",Games_Raw!$J$2:$J$1232,A128)</ns0:f>
        <ns0:v>43</ns0:v>
      </ns0:c>
    </ns0:row>
    <ns0:row r="129">
      <ns0:c r="A129" t="inlineStr">
        <ns0:is>
          <ns0:t>Chicago Bulls</ns0:t>
        </ns0:is>
      </ns0:c>
      <ns0:c r="B129" t="inlineStr">
        <ns0:is>
          <ns0:t>LA Clippers</ns0:t>
        </ns0:is>
      </ns0:c>
      <ns0:c r="C129">
        <ns0:f>COUNTIFS(Games_Raw!$K$2:$K$1232,"Yes",Games_Raw!$I$2:$I$1232,A129,Games_Raw!$J$2:$J$1232,B129)</ns0:f>
        <ns0:v>1</ns0:v>
      </ns0:c>
      <ns0:c r="D129">
        <ns0:f>COUNTIFS(Games_Raw!$K$2:$K$1232,"Yes",Games_Raw!$I$2:$I$1232,B129,Games_Raw!$J$2:$J$1232,A129)</ns0:f>
        <ns0:v>1</ns0:v>
      </ns0:c>
      <ns0:c r="E129" t="str">
        <ns0:f>C129&amp;"-"&amp;D129</ns0:f>
        <ns0:v>1-1</ns0:v>
      </ns0:c>
      <ns0:c r="F129">
        <ns0:f>COUNTIFS(Games_Raw!$K$2:$K$1232,"Yes",Games_Raw!$I$2:$I$1232,A129)</ns0:f>
        <ns0:v>39</ns0:v>
      </ns0:c>
      <ns0:c r="G129">
        <ns0:f>COUNTIFS(Games_Raw!$K$2:$K$1232,"Yes",Games_Raw!$J$2:$J$1232,A129)</ns0:f>
        <ns0:v>43</ns0:v>
      </ns0:c>
    </ns0:row>
    <ns0:row r="130">
      <ns0:c r="A130" t="inlineStr">
        <ns0:is>
          <ns0:t>Chicago Bulls</ns0:t>
        </ns0:is>
      </ns0:c>
      <ns0:c r="B130" t="inlineStr">
        <ns0:is>
          <ns0:t>Los Angeles Lakers</ns0:t>
        </ns0:is>
      </ns0:c>
      <ns0:c r="C130">
        <ns0:f>COUNTIFS(Games_Raw!$K$2:$K$1232,"Yes",Games_Raw!$I$2:$I$1232,A130,Games_Raw!$J$2:$J$1232,B130)</ns0:f>
        <ns0:v>2</ns0:v>
      </ns0:c>
      <ns0:c r="D130">
        <ns0:f>COUNTIFS(Games_Raw!$K$2:$K$1232,"Yes",Games_Raw!$I$2:$I$1232,B130,Games_Raw!$J$2:$J$1232,A130)</ns0:f>
        <ns0:v>0</ns0:v>
      </ns0:c>
      <ns0:c r="E130" t="str">
        <ns0:f>C130&amp;"-"&amp;D130</ns0:f>
        <ns0:v>2-0</ns0:v>
      </ns0:c>
      <ns0:c r="F130">
        <ns0:f>COUNTIFS(Games_Raw!$K$2:$K$1232,"Yes",Games_Raw!$I$2:$I$1232,A130)</ns0:f>
        <ns0:v>39</ns0:v>
      </ns0:c>
      <ns0:c r="G130">
        <ns0:f>COUNTIFS(Games_Raw!$K$2:$K$1232,"Yes",Games_Raw!$J$2:$J$1232,A130)</ns0:f>
        <ns0:v>43</ns0:v>
      </ns0:c>
    </ns0:row>
    <ns0:row r="131">
      <ns0:c r="A131" t="inlineStr">
        <ns0:is>
          <ns0:t>Chicago Bulls</ns0:t>
        </ns0:is>
      </ns0:c>
      <ns0:c r="B131" t="inlineStr">
        <ns0:is>
          <ns0:t>Memphis Grizzlies</ns0:t>
        </ns0:is>
      </ns0:c>
      <ns0:c r="C131">
        <ns0:f>COUNTIFS(Games_Raw!$K$2:$K$1232,"Yes",Games_Raw!$I$2:$I$1232,A131,Games_Raw!$J$2:$J$1232,B131)</ns0:f>
        <ns0:v>1</ns0:v>
      </ns0:c>
      <ns0:c r="D131">
        <ns0:f>COUNTIFS(Games_Raw!$K$2:$K$1232,"Yes",Games_Raw!$I$2:$I$1232,B131,Games_Raw!$J$2:$J$1232,A131)</ns0:f>
        <ns0:v>1</ns0:v>
      </ns0:c>
      <ns0:c r="E131" t="str">
        <ns0:f>C131&amp;"-"&amp;D131</ns0:f>
        <ns0:v>1-1</ns0:v>
      </ns0:c>
      <ns0:c r="F131">
        <ns0:f>COUNTIFS(Games_Raw!$K$2:$K$1232,"Yes",Games_Raw!$I$2:$I$1232,A131)</ns0:f>
        <ns0:v>39</ns0:v>
      </ns0:c>
      <ns0:c r="G131">
        <ns0:f>COUNTIFS(Games_Raw!$K$2:$K$1232,"Yes",Games_Raw!$J$2:$J$1232,A131)</ns0:f>
        <ns0:v>43</ns0:v>
      </ns0:c>
    </ns0:row>
    <ns0:row r="132">
      <ns0:c r="A132" t="inlineStr">
        <ns0:is>
          <ns0:t>Chicago Bulls</ns0:t>
        </ns0:is>
      </ns0:c>
      <ns0:c r="B132" t="inlineStr">
        <ns0:is>
          <ns0:t>Miami Heat</ns0:t>
        </ns0:is>
      </ns0:c>
      <ns0:c r="C132">
        <ns0:f>COUNTIFS(Games_Raw!$K$2:$K$1232,"Yes",Games_Raw!$I$2:$I$1232,A132,Games_Raw!$J$2:$J$1232,B132)</ns0:f>
        <ns0:v>3</ns0:v>
      </ns0:c>
      <ns0:c r="D132">
        <ns0:f>COUNTIFS(Games_Raw!$K$2:$K$1232,"Yes",Games_Raw!$I$2:$I$1232,B132,Games_Raw!$J$2:$J$1232,A132)</ns0:f>
        <ns0:v>0</ns0:v>
      </ns0:c>
      <ns0:c r="E132" t="str">
        <ns0:f>C132&amp;"-"&amp;D132</ns0:f>
        <ns0:v>3-0</ns0:v>
      </ns0:c>
      <ns0:c r="F132">
        <ns0:f>COUNTIFS(Games_Raw!$K$2:$K$1232,"Yes",Games_Raw!$I$2:$I$1232,A132)</ns0:f>
        <ns0:v>39</ns0:v>
      </ns0:c>
      <ns0:c r="G132">
        <ns0:f>COUNTIFS(Games_Raw!$K$2:$K$1232,"Yes",Games_Raw!$J$2:$J$1232,A132)</ns0:f>
        <ns0:v>43</ns0:v>
      </ns0:c>
    </ns0:row>
    <ns0:row r="133">
      <ns0:c r="A133" t="inlineStr">
        <ns0:is>
          <ns0:t>Chicago Bulls</ns0:t>
        </ns0:is>
      </ns0:c>
      <ns0:c r="B133" t="inlineStr">
        <ns0:is>
          <ns0:t>Milwaukee Bucks</ns0:t>
        </ns0:is>
      </ns0:c>
      <ns0:c r="C133">
        <ns0:f>COUNTIFS(Games_Raw!$K$2:$K$1232,"Yes",Games_Raw!$I$2:$I$1232,A133,Games_Raw!$J$2:$J$1232,B133)</ns0:f>
        <ns0:v>2</ns0:v>
      </ns0:c>
      <ns0:c r="D133">
        <ns0:f>COUNTIFS(Games_Raw!$K$2:$K$1232,"Yes",Games_Raw!$I$2:$I$1232,B133,Games_Raw!$J$2:$J$1232,A133)</ns0:f>
        <ns0:v>2</ns0:v>
      </ns0:c>
      <ns0:c r="E133" t="str">
        <ns0:f>C133&amp;"-"&amp;D133</ns0:f>
        <ns0:v>2-2</ns0:v>
      </ns0:c>
      <ns0:c r="F133">
        <ns0:f>COUNTIFS(Games_Raw!$K$2:$K$1232,"Yes",Games_Raw!$I$2:$I$1232,A133)</ns0:f>
        <ns0:v>39</ns0:v>
      </ns0:c>
      <ns0:c r="G133">
        <ns0:f>COUNTIFS(Games_Raw!$K$2:$K$1232,"Yes",Games_Raw!$J$2:$J$1232,A133)</ns0:f>
        <ns0:v>43</ns0:v>
      </ns0:c>
    </ns0:row>
    <ns0:row r="134">
      <ns0:c r="A134" t="inlineStr">
        <ns0:is>
          <ns0:t>Chicago Bulls</ns0:t>
        </ns0:is>
      </ns0:c>
      <ns0:c r="B134" t="inlineStr">
        <ns0:is>
          <ns0:t>Minnesota Timberwolves</ns0:t>
        </ns0:is>
      </ns0:c>
      <ns0:c r="C134">
        <ns0:f>COUNTIFS(Games_Raw!$K$2:$K$1232,"Yes",Games_Raw!$I$2:$I$1232,A134,Games_Raw!$J$2:$J$1232,B134)</ns0:f>
        <ns0:v>0</ns0:v>
      </ns0:c>
      <ns0:c r="D134">
        <ns0:f>COUNTIFS(Games_Raw!$K$2:$K$1232,"Yes",Games_Raw!$I$2:$I$1232,B134,Games_Raw!$J$2:$J$1232,A134)</ns0:f>
        <ns0:v>2</ns0:v>
      </ns0:c>
      <ns0:c r="E134" t="str">
        <ns0:f>C134&amp;"-"&amp;D134</ns0:f>
        <ns0:v>0-2</ns0:v>
      </ns0:c>
      <ns0:c r="F134">
        <ns0:f>COUNTIFS(Games_Raw!$K$2:$K$1232,"Yes",Games_Raw!$I$2:$I$1232,A134)</ns0:f>
        <ns0:v>39</ns0:v>
      </ns0:c>
      <ns0:c r="G134">
        <ns0:f>COUNTIFS(Games_Raw!$K$2:$K$1232,"Yes",Games_Raw!$J$2:$J$1232,A134)</ns0:f>
        <ns0:v>43</ns0:v>
      </ns0:c>
    </ns0:row>
    <ns0:row r="135">
      <ns0:c r="A135" t="inlineStr">
        <ns0:is>
          <ns0:t>Chicago Bulls</ns0:t>
        </ns0:is>
      </ns0:c>
      <ns0:c r="B135" t="inlineStr">
        <ns0:is>
          <ns0:t>New Orleans Pelicans</ns0:t>
        </ns0:is>
      </ns0:c>
      <ns0:c r="C135">
        <ns0:f>COUNTIFS(Games_Raw!$K$2:$K$1232,"Yes",Games_Raw!$I$2:$I$1232,A135,Games_Raw!$J$2:$J$1232,B135)</ns0:f>
        <ns0:v>0</ns0:v>
      </ns0:c>
      <ns0:c r="D135">
        <ns0:f>COUNTIFS(Games_Raw!$K$2:$K$1232,"Yes",Games_Raw!$I$2:$I$1232,B135,Games_Raw!$J$2:$J$1232,A135)</ns0:f>
        <ns0:v>2</ns0:v>
      </ns0:c>
      <ns0:c r="E135" t="str">
        <ns0:f>C135&amp;"-"&amp;D135</ns0:f>
        <ns0:v>0-2</ns0:v>
      </ns0:c>
      <ns0:c r="F135">
        <ns0:f>COUNTIFS(Games_Raw!$K$2:$K$1232,"Yes",Games_Raw!$I$2:$I$1232,A135)</ns0:f>
        <ns0:v>39</ns0:v>
      </ns0:c>
      <ns0:c r="G135">
        <ns0:f>COUNTIFS(Games_Raw!$K$2:$K$1232,"Yes",Games_Raw!$J$2:$J$1232,A135)</ns0:f>
        <ns0:v>43</ns0:v>
      </ns0:c>
    </ns0:row>
    <ns0:row r="136">
      <ns0:c r="A136" t="inlineStr">
        <ns0:is>
          <ns0:t>Chicago Bulls</ns0:t>
        </ns0:is>
      </ns0:c>
      <ns0:c r="B136" t="inlineStr">
        <ns0:is>
          <ns0:t>New York Knicks</ns0:t>
        </ns0:is>
      </ns0:c>
      <ns0:c r="C136">
        <ns0:f>COUNTIFS(Games_Raw!$K$2:$K$1232,"Yes",Games_Raw!$I$2:$I$1232,A136,Games_Raw!$J$2:$J$1232,B136)</ns0:f>
        <ns0:v>2</ns0:v>
      </ns0:c>
      <ns0:c r="D136">
        <ns0:f>COUNTIFS(Games_Raw!$K$2:$K$1232,"Yes",Games_Raw!$I$2:$I$1232,B136,Games_Raw!$J$2:$J$1232,A136)</ns0:f>
        <ns0:v>1</ns0:v>
      </ns0:c>
      <ns0:c r="E136" t="str">
        <ns0:f>C136&amp;"-"&amp;D136</ns0:f>
        <ns0:v>2-1</ns0:v>
      </ns0:c>
      <ns0:c r="F136">
        <ns0:f>COUNTIFS(Games_Raw!$K$2:$K$1232,"Yes",Games_Raw!$I$2:$I$1232,A136)</ns0:f>
        <ns0:v>39</ns0:v>
      </ns0:c>
      <ns0:c r="G136">
        <ns0:f>COUNTIFS(Games_Raw!$K$2:$K$1232,"Yes",Games_Raw!$J$2:$J$1232,A136)</ns0:f>
        <ns0:v>43</ns0:v>
      </ns0:c>
    </ns0:row>
    <ns0:row r="137">
      <ns0:c r="A137" t="inlineStr">
        <ns0:is>
          <ns0:t>Chicago Bulls</ns0:t>
        </ns0:is>
      </ns0:c>
      <ns0:c r="B137" t="inlineStr">
        <ns0:is>
          <ns0:t>Oklahoma City Thunder</ns0:t>
        </ns0:is>
      </ns0:c>
      <ns0:c r="C137">
        <ns0:f>COUNTIFS(Games_Raw!$K$2:$K$1232,"Yes",Games_Raw!$I$2:$I$1232,A137,Games_Raw!$J$2:$J$1232,B137)</ns0:f>
        <ns0:v>0</ns0:v>
      </ns0:c>
      <ns0:c r="D137">
        <ns0:f>COUNTIFS(Games_Raw!$K$2:$K$1232,"Yes",Games_Raw!$I$2:$I$1232,B137,Games_Raw!$J$2:$J$1232,A137)</ns0:f>
        <ns0:v>2</ns0:v>
      </ns0:c>
      <ns0:c r="E137" t="str">
        <ns0:f>C137&amp;"-"&amp;D137</ns0:f>
        <ns0:v>0-2</ns0:v>
      </ns0:c>
      <ns0:c r="F137">
        <ns0:f>COUNTIFS(Games_Raw!$K$2:$K$1232,"Yes",Games_Raw!$I$2:$I$1232,A137)</ns0:f>
        <ns0:v>39</ns0:v>
      </ns0:c>
      <ns0:c r="G137">
        <ns0:f>COUNTIFS(Games_Raw!$K$2:$K$1232,"Yes",Games_Raw!$J$2:$J$1232,A137)</ns0:f>
        <ns0:v>43</ns0:v>
      </ns0:c>
    </ns0:row>
    <ns0:row r="138">
      <ns0:c r="A138" t="inlineStr">
        <ns0:is>
          <ns0:t>Chicago Bulls</ns0:t>
        </ns0:is>
      </ns0:c>
      <ns0:c r="B138" t="inlineStr">
        <ns0:is>
          <ns0:t>Orlando Magic</ns0:t>
        </ns0:is>
      </ns0:c>
      <ns0:c r="C138">
        <ns0:f>COUNTIFS(Games_Raw!$K$2:$K$1232,"Yes",Games_Raw!$I$2:$I$1232,A138,Games_Raw!$J$2:$J$1232,B138)</ns0:f>
        <ns0:v>2</ns0:v>
      </ns0:c>
      <ns0:c r="D138">
        <ns0:f>COUNTIFS(Games_Raw!$K$2:$K$1232,"Yes",Games_Raw!$I$2:$I$1232,B138,Games_Raw!$J$2:$J$1232,A138)</ns0:f>
        <ns0:v>1</ns0:v>
      </ns0:c>
      <ns0:c r="E138" t="str">
        <ns0:f>C138&amp;"-"&amp;D138</ns0:f>
        <ns0:v>2-1</ns0:v>
      </ns0:c>
      <ns0:c r="F138">
        <ns0:f>COUNTIFS(Games_Raw!$K$2:$K$1232,"Yes",Games_Raw!$I$2:$I$1232,A138)</ns0:f>
        <ns0:v>39</ns0:v>
      </ns0:c>
      <ns0:c r="G138">
        <ns0:f>COUNTIFS(Games_Raw!$K$2:$K$1232,"Yes",Games_Raw!$J$2:$J$1232,A138)</ns0:f>
        <ns0:v>43</ns0:v>
      </ns0:c>
    </ns0:row>
    <ns0:row r="139">
      <ns0:c r="A139" t="inlineStr">
        <ns0:is>
          <ns0:t>Chicago Bulls</ns0:t>
        </ns0:is>
      </ns0:c>
      <ns0:c r="B139" t="inlineStr">
        <ns0:is>
          <ns0:t>Philadelphia 76ers</ns0:t>
        </ns0:is>
      </ns0:c>
      <ns0:c r="C139">
        <ns0:f>COUNTIFS(Games_Raw!$K$2:$K$1232,"Yes",Games_Raw!$I$2:$I$1232,A139,Games_Raw!$J$2:$J$1232,B139)</ns0:f>
        <ns0:v>2</ns0:v>
      </ns0:c>
      <ns0:c r="D139">
        <ns0:f>COUNTIFS(Games_Raw!$K$2:$K$1232,"Yes",Games_Raw!$I$2:$I$1232,B139,Games_Raw!$J$2:$J$1232,A139)</ns0:f>
        <ns0:v>2</ns0:v>
      </ns0:c>
      <ns0:c r="E139" t="str">
        <ns0:f>C139&amp;"-"&amp;D139</ns0:f>
        <ns0:v>2-2</ns0:v>
      </ns0:c>
      <ns0:c r="F139">
        <ns0:f>COUNTIFS(Games_Raw!$K$2:$K$1232,"Yes",Games_Raw!$I$2:$I$1232,A139)</ns0:f>
        <ns0:v>39</ns0:v>
      </ns0:c>
      <ns0:c r="G139">
        <ns0:f>COUNTIFS(Games_Raw!$K$2:$K$1232,"Yes",Games_Raw!$J$2:$J$1232,A139)</ns0:f>
        <ns0:v>43</ns0:v>
      </ns0:c>
    </ns0:row>
    <ns0:row r="140">
      <ns0:c r="A140" t="inlineStr">
        <ns0:is>
          <ns0:t>Chicago Bulls</ns0:t>
        </ns0:is>
      </ns0:c>
      <ns0:c r="B140" t="inlineStr">
        <ns0:is>
          <ns0:t>Phoenix Suns</ns0:t>
        </ns0:is>
      </ns0:c>
      <ns0:c r="C140">
        <ns0:f>COUNTIFS(Games_Raw!$K$2:$K$1232,"Yes",Games_Raw!$I$2:$I$1232,A140,Games_Raw!$J$2:$J$1232,B140)</ns0:f>
        <ns0:v>0</ns0:v>
      </ns0:c>
      <ns0:c r="D140">
        <ns0:f>COUNTIFS(Games_Raw!$K$2:$K$1232,"Yes",Games_Raw!$I$2:$I$1232,B140,Games_Raw!$J$2:$J$1232,A140)</ns0:f>
        <ns0:v>2</ns0:v>
      </ns0:c>
      <ns0:c r="E140" t="str">
        <ns0:f>C140&amp;"-"&amp;D140</ns0:f>
        <ns0:v>0-2</ns0:v>
      </ns0:c>
      <ns0:c r="F140">
        <ns0:f>COUNTIFS(Games_Raw!$K$2:$K$1232,"Yes",Games_Raw!$I$2:$I$1232,A140)</ns0:f>
        <ns0:v>39</ns0:v>
      </ns0:c>
      <ns0:c r="G140">
        <ns0:f>COUNTIFS(Games_Raw!$K$2:$K$1232,"Yes",Games_Raw!$J$2:$J$1232,A140)</ns0:f>
        <ns0:v>43</ns0:v>
      </ns0:c>
    </ns0:row>
    <ns0:row r="141">
      <ns0:c r="A141" t="inlineStr">
        <ns0:is>
          <ns0:t>Chicago Bulls</ns0:t>
        </ns0:is>
      </ns0:c>
      <ns0:c r="B141" t="inlineStr">
        <ns0:is>
          <ns0:t>Portland Trail Blazers</ns0:t>
        </ns0:is>
      </ns0:c>
      <ns0:c r="C141">
        <ns0:f>COUNTIFS(Games_Raw!$K$2:$K$1232,"Yes",Games_Raw!$I$2:$I$1232,A141,Games_Raw!$J$2:$J$1232,B141)</ns0:f>
        <ns0:v>1</ns0:v>
      </ns0:c>
      <ns0:c r="D141">
        <ns0:f>COUNTIFS(Games_Raw!$K$2:$K$1232,"Yes",Games_Raw!$I$2:$I$1232,B141,Games_Raw!$J$2:$J$1232,A141)</ns0:f>
        <ns0:v>1</ns0:v>
      </ns0:c>
      <ns0:c r="E141" t="str">
        <ns0:f>C141&amp;"-"&amp;D141</ns0:f>
        <ns0:v>1-1</ns0:v>
      </ns0:c>
      <ns0:c r="F141">
        <ns0:f>COUNTIFS(Games_Raw!$K$2:$K$1232,"Yes",Games_Raw!$I$2:$I$1232,A141)</ns0:f>
        <ns0:v>39</ns0:v>
      </ns0:c>
      <ns0:c r="G141">
        <ns0:f>COUNTIFS(Games_Raw!$K$2:$K$1232,"Yes",Games_Raw!$J$2:$J$1232,A141)</ns0:f>
        <ns0:v>43</ns0:v>
      </ns0:c>
    </ns0:row>
    <ns0:row r="142">
      <ns0:c r="A142" t="inlineStr">
        <ns0:is>
          <ns0:t>Chicago Bulls</ns0:t>
        </ns0:is>
      </ns0:c>
      <ns0:c r="B142" t="inlineStr">
        <ns0:is>
          <ns0:t>Sacramento Kings</ns0:t>
        </ns0:is>
      </ns0:c>
      <ns0:c r="C142">
        <ns0:f>COUNTIFS(Games_Raw!$K$2:$K$1232,"Yes",Games_Raw!$I$2:$I$1232,A142,Games_Raw!$J$2:$J$1232,B142)</ns0:f>
        <ns0:v>1</ns0:v>
      </ns0:c>
      <ns0:c r="D142">
        <ns0:f>COUNTIFS(Games_Raw!$K$2:$K$1232,"Yes",Games_Raw!$I$2:$I$1232,B142,Games_Raw!$J$2:$J$1232,A142)</ns0:f>
        <ns0:v>1</ns0:v>
      </ns0:c>
      <ns0:c r="E142" t="str">
        <ns0:f>C142&amp;"-"&amp;D142</ns0:f>
        <ns0:v>1-1</ns0:v>
      </ns0:c>
      <ns0:c r="F142">
        <ns0:f>COUNTIFS(Games_Raw!$K$2:$K$1232,"Yes",Games_Raw!$I$2:$I$1232,A142)</ns0:f>
        <ns0:v>39</ns0:v>
      </ns0:c>
      <ns0:c r="G142">
        <ns0:f>COUNTIFS(Games_Raw!$K$2:$K$1232,"Yes",Games_Raw!$J$2:$J$1232,A142)</ns0:f>
        <ns0:v>43</ns0:v>
      </ns0:c>
    </ns0:row>
    <ns0:row r="143">
      <ns0:c r="A143" t="inlineStr">
        <ns0:is>
          <ns0:t>Chicago Bulls</ns0:t>
        </ns0:is>
      </ns0:c>
      <ns0:c r="B143" t="inlineStr">
        <ns0:is>
          <ns0:t>San Antonio Spurs</ns0:t>
        </ns0:is>
      </ns0:c>
      <ns0:c r="C143">
        <ns0:f>COUNTIFS(Games_Raw!$K$2:$K$1232,"Yes",Games_Raw!$I$2:$I$1232,A143,Games_Raw!$J$2:$J$1232,B143)</ns0:f>
        <ns0:v>2</ns0:v>
      </ns0:c>
      <ns0:c r="D143">
        <ns0:f>COUNTIFS(Games_Raw!$K$2:$K$1232,"Yes",Games_Raw!$I$2:$I$1232,B143,Games_Raw!$J$2:$J$1232,A143)</ns0:f>
        <ns0:v>0</ns0:v>
      </ns0:c>
      <ns0:c r="E143" t="str">
        <ns0:f>C143&amp;"-"&amp;D143</ns0:f>
        <ns0:v>2-0</ns0:v>
      </ns0:c>
      <ns0:c r="F143">
        <ns0:f>COUNTIFS(Games_Raw!$K$2:$K$1232,"Yes",Games_Raw!$I$2:$I$1232,A143)</ns0:f>
        <ns0:v>39</ns0:v>
      </ns0:c>
      <ns0:c r="G143">
        <ns0:f>COUNTIFS(Games_Raw!$K$2:$K$1232,"Yes",Games_Raw!$J$2:$J$1232,A143)</ns0:f>
        <ns0:v>43</ns0:v>
      </ns0:c>
    </ns0:row>
    <ns0:row r="144">
      <ns0:c r="A144" t="inlineStr">
        <ns0:is>
          <ns0:t>Chicago Bulls</ns0:t>
        </ns0:is>
      </ns0:c>
      <ns0:c r="B144" t="inlineStr">
        <ns0:is>
          <ns0:t>Toronto Raptors</ns0:t>
        </ns0:is>
      </ns0:c>
      <ns0:c r="C144">
        <ns0:f>COUNTIFS(Games_Raw!$K$2:$K$1232,"Yes",Games_Raw!$I$2:$I$1232,A144,Games_Raw!$J$2:$J$1232,B144)</ns0:f>
        <ns0:v>4</ns0:v>
      </ns0:c>
      <ns0:c r="D144">
        <ns0:f>COUNTIFS(Games_Raw!$K$2:$K$1232,"Yes",Games_Raw!$I$2:$I$1232,B144,Games_Raw!$J$2:$J$1232,A144)</ns0:f>
        <ns0:v>0</ns0:v>
      </ns0:c>
      <ns0:c r="E144" t="str">
        <ns0:f>C144&amp;"-"&amp;D144</ns0:f>
        <ns0:v>4-0</ns0:v>
      </ns0:c>
      <ns0:c r="F144">
        <ns0:f>COUNTIFS(Games_Raw!$K$2:$K$1232,"Yes",Games_Raw!$I$2:$I$1232,A144)</ns0:f>
        <ns0:v>39</ns0:v>
      </ns0:c>
      <ns0:c r="G144">
        <ns0:f>COUNTIFS(Games_Raw!$K$2:$K$1232,"Yes",Games_Raw!$J$2:$J$1232,A144)</ns0:f>
        <ns0:v>43</ns0:v>
      </ns0:c>
    </ns0:row>
    <ns0:row r="145">
      <ns0:c r="A145" t="inlineStr">
        <ns0:is>
          <ns0:t>Chicago Bulls</ns0:t>
        </ns0:is>
      </ns0:c>
      <ns0:c r="B145" t="inlineStr">
        <ns0:is>
          <ns0:t>Utah Jazz</ns0:t>
        </ns0:is>
      </ns0:c>
      <ns0:c r="C145">
        <ns0:f>COUNTIFS(Games_Raw!$K$2:$K$1232,"Yes",Games_Raw!$I$2:$I$1232,A145,Games_Raw!$J$2:$J$1232,B145)</ns0:f>
        <ns0:v>1</ns0:v>
      </ns0:c>
      <ns0:c r="D145">
        <ns0:f>COUNTIFS(Games_Raw!$K$2:$K$1232,"Yes",Games_Raw!$I$2:$I$1232,B145,Games_Raw!$J$2:$J$1232,A145)</ns0:f>
        <ns0:v>1</ns0:v>
      </ns0:c>
      <ns0:c r="E145" t="str">
        <ns0:f>C145&amp;"-"&amp;D145</ns0:f>
        <ns0:v>1-1</ns0:v>
      </ns0:c>
      <ns0:c r="F145">
        <ns0:f>COUNTIFS(Games_Raw!$K$2:$K$1232,"Yes",Games_Raw!$I$2:$I$1232,A145)</ns0:f>
        <ns0:v>39</ns0:v>
      </ns0:c>
      <ns0:c r="G145">
        <ns0:f>COUNTIFS(Games_Raw!$K$2:$K$1232,"Yes",Games_Raw!$J$2:$J$1232,A145)</ns0:f>
        <ns0:v>43</ns0:v>
      </ns0:c>
    </ns0:row>
    <ns0:row r="146">
      <ns0:c r="A146" t="inlineStr">
        <ns0:is>
          <ns0:t>Chicago Bulls</ns0:t>
        </ns0:is>
      </ns0:c>
      <ns0:c r="B146" t="inlineStr">
        <ns0:is>
          <ns0:t>Washington Wizards</ns0:t>
        </ns0:is>
      </ns0:c>
      <ns0:c r="C146">
        <ns0:f>COUNTIFS(Games_Raw!$K$2:$K$1232,"Yes",Games_Raw!$I$2:$I$1232,A146,Games_Raw!$J$2:$J$1232,B146)</ns0:f>
        <ns0:v>3</ns0:v>
      </ns0:c>
      <ns0:c r="D146">
        <ns0:f>COUNTIFS(Games_Raw!$K$2:$K$1232,"Yes",Games_Raw!$I$2:$I$1232,B146,Games_Raw!$J$2:$J$1232,A146)</ns0:f>
        <ns0:v>1</ns0:v>
      </ns0:c>
      <ns0:c r="E146" t="str">
        <ns0:f>C146&amp;"-"&amp;D146</ns0:f>
        <ns0:v>3-1</ns0:v>
      </ns0:c>
      <ns0:c r="F146">
        <ns0:f>COUNTIFS(Games_Raw!$K$2:$K$1232,"Yes",Games_Raw!$I$2:$I$1232,A146)</ns0:f>
        <ns0:v>39</ns0:v>
      </ns0:c>
      <ns0:c r="G146">
        <ns0:f>COUNTIFS(Games_Raw!$K$2:$K$1232,"Yes",Games_Raw!$J$2:$J$1232,A146)</ns0:f>
        <ns0:v>43</ns0:v>
      </ns0:c>
    </ns0:row>
    <ns0:row r="147">
      <ns0:c r="A147" t="inlineStr">
        <ns0:is>
          <ns0:t>Cleveland Cavaliers</ns0:t>
        </ns0:is>
      </ns0:c>
      <ns0:c r="B147" t="inlineStr">
        <ns0:is>
          <ns0:t>Atlanta Hawks</ns0:t>
        </ns0:is>
      </ns0:c>
      <ns0:c r="C147">
        <ns0:f>COUNTIFS(Games_Raw!$K$2:$K$1232,"Yes",Games_Raw!$I$2:$I$1232,A147,Games_Raw!$J$2:$J$1232,B147)</ns0:f>
        <ns0:v>1</ns0:v>
      </ns0:c>
      <ns0:c r="D147">
        <ns0:f>COUNTIFS(Games_Raw!$K$2:$K$1232,"Yes",Games_Raw!$I$2:$I$1232,B147,Games_Raw!$J$2:$J$1232,A147)</ns0:f>
        <ns0:v>2</ns0:v>
      </ns0:c>
      <ns0:c r="E147" t="str">
        <ns0:f>C147&amp;"-"&amp;D147</ns0:f>
        <ns0:v>1-2</ns0:v>
      </ns0:c>
      <ns0:c r="F147">
        <ns0:f>COUNTIFS(Games_Raw!$K$2:$K$1232,"Yes",Games_Raw!$I$2:$I$1232,A147)</ns0:f>
        <ns0:v>64</ns0:v>
      </ns0:c>
      <ns0:c r="G147">
        <ns0:f>COUNTIFS(Games_Raw!$K$2:$K$1232,"Yes",Games_Raw!$J$2:$J$1232,A147)</ns0:f>
        <ns0:v>18</ns0:v>
      </ns0:c>
    </ns0:row>
    <ns0:row r="148">
      <ns0:c r="A148" t="inlineStr">
        <ns0:is>
          <ns0:t>Cleveland Cavaliers</ns0:t>
        </ns0:is>
      </ns0:c>
      <ns0:c r="B148" t="inlineStr">
        <ns0:is>
          <ns0:t>Boston Celtics</ns0:t>
        </ns0:is>
      </ns0:c>
      <ns0:c r="C148">
        <ns0:f>COUNTIFS(Games_Raw!$K$2:$K$1232,"Yes",Games_Raw!$I$2:$I$1232,A148,Games_Raw!$J$2:$J$1232,B148)</ns0:f>
        <ns0:v>2</ns0:v>
      </ns0:c>
      <ns0:c r="D148">
        <ns0:f>COUNTIFS(Games_Raw!$K$2:$K$1232,"Yes",Games_Raw!$I$2:$I$1232,B148,Games_Raw!$J$2:$J$1232,A148)</ns0:f>
        <ns0:v>2</ns0:v>
      </ns0:c>
      <ns0:c r="E148" t="str">
        <ns0:f>C148&amp;"-"&amp;D148</ns0:f>
        <ns0:v>2-2</ns0:v>
      </ns0:c>
      <ns0:c r="F148">
        <ns0:f>COUNTIFS(Games_Raw!$K$2:$K$1232,"Yes",Games_Raw!$I$2:$I$1232,A148)</ns0:f>
        <ns0:v>64</ns0:v>
      </ns0:c>
      <ns0:c r="G148">
        <ns0:f>COUNTIFS(Games_Raw!$K$2:$K$1232,"Yes",Games_Raw!$J$2:$J$1232,A148)</ns0:f>
        <ns0:v>18</ns0:v>
      </ns0:c>
    </ns0:row>
    <ns0:row r="149">
      <ns0:c r="A149" t="inlineStr">
        <ns0:is>
          <ns0:t>Cleveland Cavaliers</ns0:t>
        </ns0:is>
      </ns0:c>
      <ns0:c r="B149" t="inlineStr">
        <ns0:is>
          <ns0:t>Brooklyn Nets</ns0:t>
        </ns0:is>
      </ns0:c>
      <ns0:c r="C149">
        <ns0:f>COUNTIFS(Games_Raw!$K$2:$K$1232,"Yes",Games_Raw!$I$2:$I$1232,A149,Games_Raw!$J$2:$J$1232,B149)</ns0:f>
        <ns0:v>4</ns0:v>
      </ns0:c>
      <ns0:c r="D149">
        <ns0:f>COUNTIFS(Games_Raw!$K$2:$K$1232,"Yes",Games_Raw!$I$2:$I$1232,B149,Games_Raw!$J$2:$J$1232,A149)</ns0:f>
        <ns0:v>0</ns0:v>
      </ns0:c>
      <ns0:c r="E149" t="str">
        <ns0:f>C149&amp;"-"&amp;D149</ns0:f>
        <ns0:v>4-0</ns0:v>
      </ns0:c>
      <ns0:c r="F149">
        <ns0:f>COUNTIFS(Games_Raw!$K$2:$K$1232,"Yes",Games_Raw!$I$2:$I$1232,A149)</ns0:f>
        <ns0:v>64</ns0:v>
      </ns0:c>
      <ns0:c r="G149">
        <ns0:f>COUNTIFS(Games_Raw!$K$2:$K$1232,"Yes",Games_Raw!$J$2:$J$1232,A149)</ns0:f>
        <ns0:v>18</ns0:v>
      </ns0:c>
    </ns0:row>
    <ns0:row r="150">
      <ns0:c r="A150" t="inlineStr">
        <ns0:is>
          <ns0:t>Cleveland Cavaliers</ns0:t>
        </ns0:is>
      </ns0:c>
      <ns0:c r="B150" t="inlineStr">
        <ns0:is>
          <ns0:t>Charlotte Hornets</ns0:t>
        </ns0:is>
      </ns0:c>
      <ns0:c r="C150">
        <ns0:f>COUNTIFS(Games_Raw!$K$2:$K$1232,"Yes",Games_Raw!$I$2:$I$1232,A150,Games_Raw!$J$2:$J$1232,B150)</ns0:f>
        <ns0:v>4</ns0:v>
      </ns0:c>
      <ns0:c r="D150">
        <ns0:f>COUNTIFS(Games_Raw!$K$2:$K$1232,"Yes",Games_Raw!$I$2:$I$1232,B150,Games_Raw!$J$2:$J$1232,A150)</ns0:f>
        <ns0:v>0</ns0:v>
      </ns0:c>
      <ns0:c r="E150" t="str">
        <ns0:f>C150&amp;"-"&amp;D150</ns0:f>
        <ns0:v>4-0</ns0:v>
      </ns0:c>
      <ns0:c r="F150">
        <ns0:f>COUNTIFS(Games_Raw!$K$2:$K$1232,"Yes",Games_Raw!$I$2:$I$1232,A150)</ns0:f>
        <ns0:v>64</ns0:v>
      </ns0:c>
      <ns0:c r="G150">
        <ns0:f>COUNTIFS(Games_Raw!$K$2:$K$1232,"Yes",Games_Raw!$J$2:$J$1232,A150)</ns0:f>
        <ns0:v>18</ns0:v>
      </ns0:c>
    </ns0:row>
    <ns0:row r="151">
      <ns0:c r="A151" t="inlineStr">
        <ns0:is>
          <ns0:t>Cleveland Cavaliers</ns0:t>
        </ns0:is>
      </ns0:c>
      <ns0:c r="B151" t="inlineStr">
        <ns0:is>
          <ns0:t>Chicago Bulls</ns0:t>
        </ns0:is>
      </ns0:c>
      <ns0:c r="C151">
        <ns0:f>COUNTIFS(Games_Raw!$K$2:$K$1232,"Yes",Games_Raw!$I$2:$I$1232,A151,Games_Raw!$J$2:$J$1232,B151)</ns0:f>
        <ns0:v>4</ns0:v>
      </ns0:c>
      <ns0:c r="D151">
        <ns0:f>COUNTIFS(Games_Raw!$K$2:$K$1232,"Yes",Games_Raw!$I$2:$I$1232,B151,Games_Raw!$J$2:$J$1232,A151)</ns0:f>
        <ns0:v>0</ns0:v>
      </ns0:c>
      <ns0:c r="E151" t="str">
        <ns0:f>C151&amp;"-"&amp;D151</ns0:f>
        <ns0:v>4-0</ns0:v>
      </ns0:c>
      <ns0:c r="F151">
        <ns0:f>COUNTIFS(Games_Raw!$K$2:$K$1232,"Yes",Games_Raw!$I$2:$I$1232,A151)</ns0:f>
        <ns0:v>64</ns0:v>
      </ns0:c>
      <ns0:c r="G151">
        <ns0:f>COUNTIFS(Games_Raw!$K$2:$K$1232,"Yes",Games_Raw!$J$2:$J$1232,A151)</ns0:f>
        <ns0:v>18</ns0:v>
      </ns0:c>
    </ns0:row>
    <ns0:row r="152">
      <ns0:c r="A152" t="inlineStr">
        <ns0:is>
          <ns0:t>Cleveland Cavaliers</ns0:t>
        </ns0:is>
      </ns0:c>
      <ns0:c r="B152" t="inlineStr">
        <ns0:is>
          <ns0:t>Dallas Mavericks</ns0:t>
        </ns0:is>
      </ns0:c>
      <ns0:c r="C152">
        <ns0:f>COUNTIFS(Games_Raw!$K$2:$K$1232,"Yes",Games_Raw!$I$2:$I$1232,A152,Games_Raw!$J$2:$J$1232,B152)</ns0:f>
        <ns0:v>2</ns0:v>
      </ns0:c>
      <ns0:c r="D152">
        <ns0:f>COUNTIFS(Games_Raw!$K$2:$K$1232,"Yes",Games_Raw!$I$2:$I$1232,B152,Games_Raw!$J$2:$J$1232,A152)</ns0:f>
        <ns0:v>0</ns0:v>
      </ns0:c>
      <ns0:c r="E152" t="str">
        <ns0:f>C152&amp;"-"&amp;D152</ns0:f>
        <ns0:v>2-0</ns0:v>
      </ns0:c>
      <ns0:c r="F152">
        <ns0:f>COUNTIFS(Games_Raw!$K$2:$K$1232,"Yes",Games_Raw!$I$2:$I$1232,A152)</ns0:f>
        <ns0:v>64</ns0:v>
      </ns0:c>
      <ns0:c r="G152">
        <ns0:f>COUNTIFS(Games_Raw!$K$2:$K$1232,"Yes",Games_Raw!$J$2:$J$1232,A152)</ns0:f>
        <ns0:v>18</ns0:v>
      </ns0:c>
    </ns0:row>
    <ns0:row r="153">
      <ns0:c r="A153" t="inlineStr">
        <ns0:is>
          <ns0:t>Cleveland Cavaliers</ns0:t>
        </ns0:is>
      </ns0:c>
      <ns0:c r="B153" t="inlineStr">
        <ns0:is>
          <ns0:t>Denver Nuggets</ns0:t>
        </ns0:is>
      </ns0:c>
      <ns0:c r="C153">
        <ns0:f>COUNTIFS(Games_Raw!$K$2:$K$1232,"Yes",Games_Raw!$I$2:$I$1232,A153,Games_Raw!$J$2:$J$1232,B153)</ns0:f>
        <ns0:v>2</ns0:v>
      </ns0:c>
      <ns0:c r="D153">
        <ns0:f>COUNTIFS(Games_Raw!$K$2:$K$1232,"Yes",Games_Raw!$I$2:$I$1232,B153,Games_Raw!$J$2:$J$1232,A153)</ns0:f>
        <ns0:v>0</ns0:v>
      </ns0:c>
      <ns0:c r="E153" t="str">
        <ns0:f>C153&amp;"-"&amp;D153</ns0:f>
        <ns0:v>2-0</ns0:v>
      </ns0:c>
      <ns0:c r="F153">
        <ns0:f>COUNTIFS(Games_Raw!$K$2:$K$1232,"Yes",Games_Raw!$I$2:$I$1232,A153)</ns0:f>
        <ns0:v>64</ns0:v>
      </ns0:c>
      <ns0:c r="G153">
        <ns0:f>COUNTIFS(Games_Raw!$K$2:$K$1232,"Yes",Games_Raw!$J$2:$J$1232,A153)</ns0:f>
        <ns0:v>18</ns0:v>
      </ns0:c>
    </ns0:row>
    <ns0:row r="154">
      <ns0:c r="A154" t="inlineStr">
        <ns0:is>
          <ns0:t>Cleveland Cavaliers</ns0:t>
        </ns0:is>
      </ns0:c>
      <ns0:c r="B154" t="inlineStr">
        <ns0:is>
          <ns0:t>Detroit Pistons</ns0:t>
        </ns0:is>
      </ns0:c>
      <ns0:c r="C154">
        <ns0:f>COUNTIFS(Games_Raw!$K$2:$K$1232,"Yes",Games_Raw!$I$2:$I$1232,A154,Games_Raw!$J$2:$J$1232,B154)</ns0:f>
        <ns0:v>3</ns0:v>
      </ns0:c>
      <ns0:c r="D154">
        <ns0:f>COUNTIFS(Games_Raw!$K$2:$K$1232,"Yes",Games_Raw!$I$2:$I$1232,B154,Games_Raw!$J$2:$J$1232,A154)</ns0:f>
        <ns0:v>1</ns0:v>
      </ns0:c>
      <ns0:c r="E154" t="str">
        <ns0:f>C154&amp;"-"&amp;D154</ns0:f>
        <ns0:v>3-1</ns0:v>
      </ns0:c>
      <ns0:c r="F154">
        <ns0:f>COUNTIFS(Games_Raw!$K$2:$K$1232,"Yes",Games_Raw!$I$2:$I$1232,A154)</ns0:f>
        <ns0:v>64</ns0:v>
      </ns0:c>
      <ns0:c r="G154">
        <ns0:f>COUNTIFS(Games_Raw!$K$2:$K$1232,"Yes",Games_Raw!$J$2:$J$1232,A154)</ns0:f>
        <ns0:v>18</ns0:v>
      </ns0:c>
    </ns0:row>
    <ns0:row r="155">
      <ns0:c r="A155" t="inlineStr">
        <ns0:is>
          <ns0:t>Cleveland Cavaliers</ns0:t>
        </ns0:is>
      </ns0:c>
      <ns0:c r="B155" t="inlineStr">
        <ns0:is>
          <ns0:t>Golden State Warriors</ns0:t>
        </ns0:is>
      </ns0:c>
      <ns0:c r="C155">
        <ns0:f>COUNTIFS(Games_Raw!$K$2:$K$1232,"Yes",Games_Raw!$I$2:$I$1232,A155,Games_Raw!$J$2:$J$1232,B155)</ns0:f>
        <ns0:v>2</ns0:v>
      </ns0:c>
      <ns0:c r="D155">
        <ns0:f>COUNTIFS(Games_Raw!$K$2:$K$1232,"Yes",Games_Raw!$I$2:$I$1232,B155,Games_Raw!$J$2:$J$1232,A155)</ns0:f>
        <ns0:v>0</ns0:v>
      </ns0:c>
      <ns0:c r="E155" t="str">
        <ns0:f>C155&amp;"-"&amp;D155</ns0:f>
        <ns0:v>2-0</ns0:v>
      </ns0:c>
      <ns0:c r="F155">
        <ns0:f>COUNTIFS(Games_Raw!$K$2:$K$1232,"Yes",Games_Raw!$I$2:$I$1232,A155)</ns0:f>
        <ns0:v>64</ns0:v>
      </ns0:c>
      <ns0:c r="G155">
        <ns0:f>COUNTIFS(Games_Raw!$K$2:$K$1232,"Yes",Games_Raw!$J$2:$J$1232,A155)</ns0:f>
        <ns0:v>18</ns0:v>
      </ns0:c>
    </ns0:row>
    <ns0:row r="156">
      <ns0:c r="A156" t="inlineStr">
        <ns0:is>
          <ns0:t>Cleveland Cavaliers</ns0:t>
        </ns0:is>
      </ns0:c>
      <ns0:c r="B156" t="inlineStr">
        <ns0:is>
          <ns0:t>Houston Rockets</ns0:t>
        </ns0:is>
      </ns0:c>
      <ns0:c r="C156">
        <ns0:f>COUNTIFS(Games_Raw!$K$2:$K$1232,"Yes",Games_Raw!$I$2:$I$1232,A156,Games_Raw!$J$2:$J$1232,B156)</ns0:f>
        <ns0:v>0</ns0:v>
      </ns0:c>
      <ns0:c r="D156">
        <ns0:f>COUNTIFS(Games_Raw!$K$2:$K$1232,"Yes",Games_Raw!$I$2:$I$1232,B156,Games_Raw!$J$2:$J$1232,A156)</ns0:f>
        <ns0:v>2</ns0:v>
      </ns0:c>
      <ns0:c r="E156" t="str">
        <ns0:f>C156&amp;"-"&amp;D156</ns0:f>
        <ns0:v>0-2</ns0:v>
      </ns0:c>
      <ns0:c r="F156">
        <ns0:f>COUNTIFS(Games_Raw!$K$2:$K$1232,"Yes",Games_Raw!$I$2:$I$1232,A156)</ns0:f>
        <ns0:v>64</ns0:v>
      </ns0:c>
      <ns0:c r="G156">
        <ns0:f>COUNTIFS(Games_Raw!$K$2:$K$1232,"Yes",Games_Raw!$J$2:$J$1232,A156)</ns0:f>
        <ns0:v>18</ns0:v>
      </ns0:c>
    </ns0:row>
    <ns0:row r="157">
      <ns0:c r="A157" t="inlineStr">
        <ns0:is>
          <ns0:t>Cleveland Cavaliers</ns0:t>
        </ns0:is>
      </ns0:c>
      <ns0:c r="B157" t="inlineStr">
        <ns0:is>
          <ns0:t>Indiana Pacers</ns0:t>
        </ns0:is>
      </ns0:c>
      <ns0:c r="C157">
        <ns0:f>COUNTIFS(Games_Raw!$K$2:$K$1232,"Yes",Games_Raw!$I$2:$I$1232,A157,Games_Raw!$J$2:$J$1232,B157)</ns0:f>
        <ns0:v>1</ns0:v>
      </ns0:c>
      <ns0:c r="D157">
        <ns0:f>COUNTIFS(Games_Raw!$K$2:$K$1232,"Yes",Games_Raw!$I$2:$I$1232,B157,Games_Raw!$J$2:$J$1232,A157)</ns0:f>
        <ns0:v>3</ns0:v>
      </ns0:c>
      <ns0:c r="E157" t="str">
        <ns0:f>C157&amp;"-"&amp;D157</ns0:f>
        <ns0:v>1-3</ns0:v>
      </ns0:c>
      <ns0:c r="F157">
        <ns0:f>COUNTIFS(Games_Raw!$K$2:$K$1232,"Yes",Games_Raw!$I$2:$I$1232,A157)</ns0:f>
        <ns0:v>64</ns0:v>
      </ns0:c>
      <ns0:c r="G157">
        <ns0:f>COUNTIFS(Games_Raw!$K$2:$K$1232,"Yes",Games_Raw!$J$2:$J$1232,A157)</ns0:f>
        <ns0:v>18</ns0:v>
      </ns0:c>
    </ns0:row>
    <ns0:row r="158">
      <ns0:c r="A158" t="inlineStr">
        <ns0:is>
          <ns0:t>Cleveland Cavaliers</ns0:t>
        </ns0:is>
      </ns0:c>
      <ns0:c r="B158" t="inlineStr">
        <ns0:is>
          <ns0:t>LA Clippers</ns0:t>
        </ns0:is>
      </ns0:c>
      <ns0:c r="C158">
        <ns0:f>COUNTIFS(Games_Raw!$K$2:$K$1232,"Yes",Games_Raw!$I$2:$I$1232,A158,Games_Raw!$J$2:$J$1232,B158)</ns0:f>
        <ns0:v>1</ns0:v>
      </ns0:c>
      <ns0:c r="D158">
        <ns0:f>COUNTIFS(Games_Raw!$K$2:$K$1232,"Yes",Games_Raw!$I$2:$I$1232,B158,Games_Raw!$J$2:$J$1232,A158)</ns0:f>
        <ns0:v>1</ns0:v>
      </ns0:c>
      <ns0:c r="E158" t="str">
        <ns0:f>C158&amp;"-"&amp;D158</ns0:f>
        <ns0:v>1-1</ns0:v>
      </ns0:c>
      <ns0:c r="F158">
        <ns0:f>COUNTIFS(Games_Raw!$K$2:$K$1232,"Yes",Games_Raw!$I$2:$I$1232,A158)</ns0:f>
        <ns0:v>64</ns0:v>
      </ns0:c>
      <ns0:c r="G158">
        <ns0:f>COUNTIFS(Games_Raw!$K$2:$K$1232,"Yes",Games_Raw!$J$2:$J$1232,A158)</ns0:f>
        <ns0:v>18</ns0:v>
      </ns0:c>
    </ns0:row>
    <ns0:row r="159">
      <ns0:c r="A159" t="inlineStr">
        <ns0:is>
          <ns0:t>Cleveland Cavaliers</ns0:t>
        </ns0:is>
      </ns0:c>
      <ns0:c r="B159" t="inlineStr">
        <ns0:is>
          <ns0:t>Los Angeles Lakers</ns0:t>
        </ns0:is>
      </ns0:c>
      <ns0:c r="C159">
        <ns0:f>COUNTIFS(Games_Raw!$K$2:$K$1232,"Yes",Games_Raw!$I$2:$I$1232,A159,Games_Raw!$J$2:$J$1232,B159)</ns0:f>
        <ns0:v>2</ns0:v>
      </ns0:c>
      <ns0:c r="D159">
        <ns0:f>COUNTIFS(Games_Raw!$K$2:$K$1232,"Yes",Games_Raw!$I$2:$I$1232,B159,Games_Raw!$J$2:$J$1232,A159)</ns0:f>
        <ns0:v>0</ns0:v>
      </ns0:c>
      <ns0:c r="E159" t="str">
        <ns0:f>C159&amp;"-"&amp;D159</ns0:f>
        <ns0:v>2-0</ns0:v>
      </ns0:c>
      <ns0:c r="F159">
        <ns0:f>COUNTIFS(Games_Raw!$K$2:$K$1232,"Yes",Games_Raw!$I$2:$I$1232,A159)</ns0:f>
        <ns0:v>64</ns0:v>
      </ns0:c>
      <ns0:c r="G159">
        <ns0:f>COUNTIFS(Games_Raw!$K$2:$K$1232,"Yes",Games_Raw!$J$2:$J$1232,A159)</ns0:f>
        <ns0:v>18</ns0:v>
      </ns0:c>
    </ns0:row>
    <ns0:row r="160">
      <ns0:c r="A160" t="inlineStr">
        <ns0:is>
          <ns0:t>Cleveland Cavaliers</ns0:t>
        </ns0:is>
      </ns0:c>
      <ns0:c r="B160" t="inlineStr">
        <ns0:is>
          <ns0:t>Memphis Grizzlies</ns0:t>
        </ns0:is>
      </ns0:c>
      <ns0:c r="C160">
        <ns0:f>COUNTIFS(Games_Raw!$K$2:$K$1232,"Yes",Games_Raw!$I$2:$I$1232,A160,Games_Raw!$J$2:$J$1232,B160)</ns0:f>
        <ns0:v>2</ns0:v>
      </ns0:c>
      <ns0:c r="D160">
        <ns0:f>COUNTIFS(Games_Raw!$K$2:$K$1232,"Yes",Games_Raw!$I$2:$I$1232,B160,Games_Raw!$J$2:$J$1232,A160)</ns0:f>
        <ns0:v>0</ns0:v>
      </ns0:c>
      <ns0:c r="E160" t="str">
        <ns0:f>C160&amp;"-"&amp;D160</ns0:f>
        <ns0:v>2-0</ns0:v>
      </ns0:c>
      <ns0:c r="F160">
        <ns0:f>COUNTIFS(Games_Raw!$K$2:$K$1232,"Yes",Games_Raw!$I$2:$I$1232,A160)</ns0:f>
        <ns0:v>64</ns0:v>
      </ns0:c>
      <ns0:c r="G160">
        <ns0:f>COUNTIFS(Games_Raw!$K$2:$K$1232,"Yes",Games_Raw!$J$2:$J$1232,A160)</ns0:f>
        <ns0:v>18</ns0:v>
      </ns0:c>
    </ns0:row>
    <ns0:row r="161">
      <ns0:c r="A161" t="inlineStr">
        <ns0:is>
          <ns0:t>Cleveland Cavaliers</ns0:t>
        </ns0:is>
      </ns0:c>
      <ns0:c r="B161" t="inlineStr">
        <ns0:is>
          <ns0:t>Miami Heat</ns0:t>
        </ns0:is>
      </ns0:c>
      <ns0:c r="C161">
        <ns0:f>COUNTIFS(Games_Raw!$K$2:$K$1232,"Yes",Games_Raw!$I$2:$I$1232,A161,Games_Raw!$J$2:$J$1232,B161)</ns0:f>
        <ns0:v>2</ns0:v>
      </ns0:c>
      <ns0:c r="D161">
        <ns0:f>COUNTIFS(Games_Raw!$K$2:$K$1232,"Yes",Games_Raw!$I$2:$I$1232,B161,Games_Raw!$J$2:$J$1232,A161)</ns0:f>
        <ns0:v>1</ns0:v>
      </ns0:c>
      <ns0:c r="E161" t="str">
        <ns0:f>C161&amp;"-"&amp;D161</ns0:f>
        <ns0:v>2-1</ns0:v>
      </ns0:c>
      <ns0:c r="F161">
        <ns0:f>COUNTIFS(Games_Raw!$K$2:$K$1232,"Yes",Games_Raw!$I$2:$I$1232,A161)</ns0:f>
        <ns0:v>64</ns0:v>
      </ns0:c>
      <ns0:c r="G161">
        <ns0:f>COUNTIFS(Games_Raw!$K$2:$K$1232,"Yes",Games_Raw!$J$2:$J$1232,A161)</ns0:f>
        <ns0:v>18</ns0:v>
      </ns0:c>
    </ns0:row>
    <ns0:row r="162">
      <ns0:c r="A162" t="inlineStr">
        <ns0:is>
          <ns0:t>Cleveland Cavaliers</ns0:t>
        </ns0:is>
      </ns0:c>
      <ns0:c r="B162" t="inlineStr">
        <ns0:is>
          <ns0:t>Milwaukee Bucks</ns0:t>
        </ns0:is>
      </ns0:c>
      <ns0:c r="C162">
        <ns0:f>COUNTIFS(Games_Raw!$K$2:$K$1232,"Yes",Games_Raw!$I$2:$I$1232,A162,Games_Raw!$J$2:$J$1232,B162)</ns0:f>
        <ns0:v>4</ns0:v>
      </ns0:c>
      <ns0:c r="D162">
        <ns0:f>COUNTIFS(Games_Raw!$K$2:$K$1232,"Yes",Games_Raw!$I$2:$I$1232,B162,Games_Raw!$J$2:$J$1232,A162)</ns0:f>
        <ns0:v>0</ns0:v>
      </ns0:c>
      <ns0:c r="E162" t="str">
        <ns0:f>C162&amp;"-"&amp;D162</ns0:f>
        <ns0:v>4-0</ns0:v>
      </ns0:c>
      <ns0:c r="F162">
        <ns0:f>COUNTIFS(Games_Raw!$K$2:$K$1232,"Yes",Games_Raw!$I$2:$I$1232,A162)</ns0:f>
        <ns0:v>64</ns0:v>
      </ns0:c>
      <ns0:c r="G162">
        <ns0:f>COUNTIFS(Games_Raw!$K$2:$K$1232,"Yes",Games_Raw!$J$2:$J$1232,A162)</ns0:f>
        <ns0:v>18</ns0:v>
      </ns0:c>
    </ns0:row>
    <ns0:row r="163">
      <ns0:c r="A163" t="inlineStr">
        <ns0:is>
          <ns0:t>Cleveland Cavaliers</ns0:t>
        </ns0:is>
      </ns0:c>
      <ns0:c r="B163" t="inlineStr">
        <ns0:is>
          <ns0:t>Minnesota Timberwolves</ns0:t>
        </ns0:is>
      </ns0:c>
      <ns0:c r="C163">
        <ns0:f>COUNTIFS(Games_Raw!$K$2:$K$1232,"Yes",Games_Raw!$I$2:$I$1232,A163,Games_Raw!$J$2:$J$1232,B163)</ns0:f>
        <ns0:v>2</ns0:v>
      </ns0:c>
      <ns0:c r="D163">
        <ns0:f>COUNTIFS(Games_Raw!$K$2:$K$1232,"Yes",Games_Raw!$I$2:$I$1232,B163,Games_Raw!$J$2:$J$1232,A163)</ns0:f>
        <ns0:v>0</ns0:v>
      </ns0:c>
      <ns0:c r="E163" t="str">
        <ns0:f>C163&amp;"-"&amp;D163</ns0:f>
        <ns0:v>2-0</ns0:v>
      </ns0:c>
      <ns0:c r="F163">
        <ns0:f>COUNTIFS(Games_Raw!$K$2:$K$1232,"Yes",Games_Raw!$I$2:$I$1232,A163)</ns0:f>
        <ns0:v>64</ns0:v>
      </ns0:c>
      <ns0:c r="G163">
        <ns0:f>COUNTIFS(Games_Raw!$K$2:$K$1232,"Yes",Games_Raw!$J$2:$J$1232,A163)</ns0:f>
        <ns0:v>18</ns0:v>
      </ns0:c>
    </ns0:row>
    <ns0:row r="164">
      <ns0:c r="A164" t="inlineStr">
        <ns0:is>
          <ns0:t>Cleveland Cavaliers</ns0:t>
        </ns0:is>
      </ns0:c>
      <ns0:c r="B164" t="inlineStr">
        <ns0:is>
          <ns0:t>New Orleans Pelicans</ns0:t>
        </ns0:is>
      </ns0:c>
      <ns0:c r="C164">
        <ns0:f>COUNTIFS(Games_Raw!$K$2:$K$1232,"Yes",Games_Raw!$I$2:$I$1232,A164,Games_Raw!$J$2:$J$1232,B164)</ns0:f>
        <ns0:v>2</ns0:v>
      </ns0:c>
      <ns0:c r="D164">
        <ns0:f>COUNTIFS(Games_Raw!$K$2:$K$1232,"Yes",Games_Raw!$I$2:$I$1232,B164,Games_Raw!$J$2:$J$1232,A164)</ns0:f>
        <ns0:v>0</ns0:v>
      </ns0:c>
      <ns0:c r="E164" t="str">
        <ns0:f>C164&amp;"-"&amp;D164</ns0:f>
        <ns0:v>2-0</ns0:v>
      </ns0:c>
      <ns0:c r="F164">
        <ns0:f>COUNTIFS(Games_Raw!$K$2:$K$1232,"Yes",Games_Raw!$I$2:$I$1232,A164)</ns0:f>
        <ns0:v>64</ns0:v>
      </ns0:c>
      <ns0:c r="G164">
        <ns0:f>COUNTIFS(Games_Raw!$K$2:$K$1232,"Yes",Games_Raw!$J$2:$J$1232,A164)</ns0:f>
        <ns0:v>18</ns0:v>
      </ns0:c>
    </ns0:row>
    <ns0:row r="165">
      <ns0:c r="A165" t="inlineStr">
        <ns0:is>
          <ns0:t>Cleveland Cavaliers</ns0:t>
        </ns0:is>
      </ns0:c>
      <ns0:c r="B165" t="inlineStr">
        <ns0:is>
          <ns0:t>New York Knicks</ns0:t>
        </ns0:is>
      </ns0:c>
      <ns0:c r="C165">
        <ns0:f>COUNTIFS(Games_Raw!$K$2:$K$1232,"Yes",Games_Raw!$I$2:$I$1232,A165,Games_Raw!$J$2:$J$1232,B165)</ns0:f>
        <ns0:v>4</ns0:v>
      </ns0:c>
      <ns0:c r="D165">
        <ns0:f>COUNTIFS(Games_Raw!$K$2:$K$1232,"Yes",Games_Raw!$I$2:$I$1232,B165,Games_Raw!$J$2:$J$1232,A165)</ns0:f>
        <ns0:v>0</ns0:v>
      </ns0:c>
      <ns0:c r="E165" t="str">
        <ns0:f>C165&amp;"-"&amp;D165</ns0:f>
        <ns0:v>4-0</ns0:v>
      </ns0:c>
      <ns0:c r="F165">
        <ns0:f>COUNTIFS(Games_Raw!$K$2:$K$1232,"Yes",Games_Raw!$I$2:$I$1232,A165)</ns0:f>
        <ns0:v>64</ns0:v>
      </ns0:c>
      <ns0:c r="G165">
        <ns0:f>COUNTIFS(Games_Raw!$K$2:$K$1232,"Yes",Games_Raw!$J$2:$J$1232,A165)</ns0:f>
        <ns0:v>18</ns0:v>
      </ns0:c>
    </ns0:row>
    <ns0:row r="166">
      <ns0:c r="A166" t="inlineStr">
        <ns0:is>
          <ns0:t>Cleveland Cavaliers</ns0:t>
        </ns0:is>
      </ns0:c>
      <ns0:c r="B166" t="inlineStr">
        <ns0:is>
          <ns0:t>Oklahoma City Thunder</ns0:t>
        </ns0:is>
      </ns0:c>
      <ns0:c r="C166">
        <ns0:f>COUNTIFS(Games_Raw!$K$2:$K$1232,"Yes",Games_Raw!$I$2:$I$1232,A166,Games_Raw!$J$2:$J$1232,B166)</ns0:f>
        <ns0:v>1</ns0:v>
      </ns0:c>
      <ns0:c r="D166">
        <ns0:f>COUNTIFS(Games_Raw!$K$2:$K$1232,"Yes",Games_Raw!$I$2:$I$1232,B166,Games_Raw!$J$2:$J$1232,A166)</ns0:f>
        <ns0:v>1</ns0:v>
      </ns0:c>
      <ns0:c r="E166" t="str">
        <ns0:f>C166&amp;"-"&amp;D166</ns0:f>
        <ns0:v>1-1</ns0:v>
      </ns0:c>
      <ns0:c r="F166">
        <ns0:f>COUNTIFS(Games_Raw!$K$2:$K$1232,"Yes",Games_Raw!$I$2:$I$1232,A166)</ns0:f>
        <ns0:v>64</ns0:v>
      </ns0:c>
      <ns0:c r="G166">
        <ns0:f>COUNTIFS(Games_Raw!$K$2:$K$1232,"Yes",Games_Raw!$J$2:$J$1232,A166)</ns0:f>
        <ns0:v>18</ns0:v>
      </ns0:c>
    </ns0:row>
    <ns0:row r="167">
      <ns0:c r="A167" t="inlineStr">
        <ns0:is>
          <ns0:t>Cleveland Cavaliers</ns0:t>
        </ns0:is>
      </ns0:c>
      <ns0:c r="B167" t="inlineStr">
        <ns0:is>
          <ns0:t>Orlando Magic</ns0:t>
        </ns0:is>
      </ns0:c>
      <ns0:c r="C167">
        <ns0:f>COUNTIFS(Games_Raw!$K$2:$K$1232,"Yes",Games_Raw!$I$2:$I$1232,A167,Games_Raw!$J$2:$J$1232,B167)</ns0:f>
        <ns0:v>2</ns0:v>
      </ns0:c>
      <ns0:c r="D167">
        <ns0:f>COUNTIFS(Games_Raw!$K$2:$K$1232,"Yes",Games_Raw!$I$2:$I$1232,B167,Games_Raw!$J$2:$J$1232,A167)</ns0:f>
        <ns0:v>1</ns0:v>
      </ns0:c>
      <ns0:c r="E167" t="str">
        <ns0:f>C167&amp;"-"&amp;D167</ns0:f>
        <ns0:v>2-1</ns0:v>
      </ns0:c>
      <ns0:c r="F167">
        <ns0:f>COUNTIFS(Games_Raw!$K$2:$K$1232,"Yes",Games_Raw!$I$2:$I$1232,A167)</ns0:f>
        <ns0:v>64</ns0:v>
      </ns0:c>
      <ns0:c r="G167">
        <ns0:f>COUNTIFS(Games_Raw!$K$2:$K$1232,"Yes",Games_Raw!$J$2:$J$1232,A167)</ns0:f>
        <ns0:v>18</ns0:v>
      </ns0:c>
    </ns0:row>
    <ns0:row r="168">
      <ns0:c r="A168" t="inlineStr">
        <ns0:is>
          <ns0:t>Cleveland Cavaliers</ns0:t>
        </ns0:is>
      </ns0:c>
      <ns0:c r="B168" t="inlineStr">
        <ns0:is>
          <ns0:t>Philadelphia 76ers</ns0:t>
        </ns0:is>
      </ns0:c>
      <ns0:c r="C168">
        <ns0:f>COUNTIFS(Games_Raw!$K$2:$K$1232,"Yes",Games_Raw!$I$2:$I$1232,A168,Games_Raw!$J$2:$J$1232,B168)</ns0:f>
        <ns0:v>2</ns0:v>
      </ns0:c>
      <ns0:c r="D168">
        <ns0:f>COUNTIFS(Games_Raw!$K$2:$K$1232,"Yes",Games_Raw!$I$2:$I$1232,B168,Games_Raw!$J$2:$J$1232,A168)</ns0:f>
        <ns0:v>1</ns0:v>
      </ns0:c>
      <ns0:c r="E168" t="str">
        <ns0:f>C168&amp;"-"&amp;D168</ns0:f>
        <ns0:v>2-1</ns0:v>
      </ns0:c>
      <ns0:c r="F168">
        <ns0:f>COUNTIFS(Games_Raw!$K$2:$K$1232,"Yes",Games_Raw!$I$2:$I$1232,A168)</ns0:f>
        <ns0:v>64</ns0:v>
      </ns0:c>
      <ns0:c r="G168">
        <ns0:f>COUNTIFS(Games_Raw!$K$2:$K$1232,"Yes",Games_Raw!$J$2:$J$1232,A168)</ns0:f>
        <ns0:v>18</ns0:v>
      </ns0:c>
    </ns0:row>
    <ns0:row r="169">
      <ns0:c r="A169" t="inlineStr">
        <ns0:is>
          <ns0:t>Cleveland Cavaliers</ns0:t>
        </ns0:is>
      </ns0:c>
      <ns0:c r="B169" t="inlineStr">
        <ns0:is>
          <ns0:t>Phoenix Suns</ns0:t>
        </ns0:is>
      </ns0:c>
      <ns0:c r="C169">
        <ns0:f>COUNTIFS(Games_Raw!$K$2:$K$1232,"Yes",Games_Raw!$I$2:$I$1232,A169,Games_Raw!$J$2:$J$1232,B169)</ns0:f>
        <ns0:v>1</ns0:v>
      </ns0:c>
      <ns0:c r="D169">
        <ns0:f>COUNTIFS(Games_Raw!$K$2:$K$1232,"Yes",Games_Raw!$I$2:$I$1232,B169,Games_Raw!$J$2:$J$1232,A169)</ns0:f>
        <ns0:v>1</ns0:v>
      </ns0:c>
      <ns0:c r="E169" t="str">
        <ns0:f>C169&amp;"-"&amp;D169</ns0:f>
        <ns0:v>1-1</ns0:v>
      </ns0:c>
      <ns0:c r="F169">
        <ns0:f>COUNTIFS(Games_Raw!$K$2:$K$1232,"Yes",Games_Raw!$I$2:$I$1232,A169)</ns0:f>
        <ns0:v>64</ns0:v>
      </ns0:c>
      <ns0:c r="G169">
        <ns0:f>COUNTIFS(Games_Raw!$K$2:$K$1232,"Yes",Games_Raw!$J$2:$J$1232,A169)</ns0:f>
        <ns0:v>18</ns0:v>
      </ns0:c>
    </ns0:row>
    <ns0:row r="170">
      <ns0:c r="A170" t="inlineStr">
        <ns0:is>
          <ns0:t>Cleveland Cavaliers</ns0:t>
        </ns0:is>
      </ns0:c>
      <ns0:c r="B170" t="inlineStr">
        <ns0:is>
          <ns0:t>Portland Trail Blazers</ns0:t>
        </ns0:is>
      </ns0:c>
      <ns0:c r="C170">
        <ns0:f>COUNTIFS(Games_Raw!$K$2:$K$1232,"Yes",Games_Raw!$I$2:$I$1232,A170,Games_Raw!$J$2:$J$1232,B170)</ns0:f>
        <ns0:v>2</ns0:v>
      </ns0:c>
      <ns0:c r="D170">
        <ns0:f>COUNTIFS(Games_Raw!$K$2:$K$1232,"Yes",Games_Raw!$I$2:$I$1232,B170,Games_Raw!$J$2:$J$1232,A170)</ns0:f>
        <ns0:v>0</ns0:v>
      </ns0:c>
      <ns0:c r="E170" t="str">
        <ns0:f>C170&amp;"-"&amp;D170</ns0:f>
        <ns0:v>2-0</ns0:v>
      </ns0:c>
      <ns0:c r="F170">
        <ns0:f>COUNTIFS(Games_Raw!$K$2:$K$1232,"Yes",Games_Raw!$I$2:$I$1232,A170)</ns0:f>
        <ns0:v>64</ns0:v>
      </ns0:c>
      <ns0:c r="G170">
        <ns0:f>COUNTIFS(Games_Raw!$K$2:$K$1232,"Yes",Games_Raw!$J$2:$J$1232,A170)</ns0:f>
        <ns0:v>18</ns0:v>
      </ns0:c>
    </ns0:row>
    <ns0:row r="171">
      <ns0:c r="A171" t="inlineStr">
        <ns0:is>
          <ns0:t>Cleveland Cavaliers</ns0:t>
        </ns0:is>
      </ns0:c>
      <ns0:c r="B171" t="inlineStr">
        <ns0:is>
          <ns0:t>Sacramento Kings</ns0:t>
        </ns0:is>
      </ns0:c>
      <ns0:c r="C171">
        <ns0:f>COUNTIFS(Games_Raw!$K$2:$K$1232,"Yes",Games_Raw!$I$2:$I$1232,A171,Games_Raw!$J$2:$J$1232,B171)</ns0:f>
        <ns0:v>0</ns0:v>
      </ns0:c>
      <ns0:c r="D171">
        <ns0:f>COUNTIFS(Games_Raw!$K$2:$K$1232,"Yes",Games_Raw!$I$2:$I$1232,B171,Games_Raw!$J$2:$J$1232,A171)</ns0:f>
        <ns0:v>2</ns0:v>
      </ns0:c>
      <ns0:c r="E171" t="str">
        <ns0:f>C171&amp;"-"&amp;D171</ns0:f>
        <ns0:v>0-2</ns0:v>
      </ns0:c>
      <ns0:c r="F171">
        <ns0:f>COUNTIFS(Games_Raw!$K$2:$K$1232,"Yes",Games_Raw!$I$2:$I$1232,A171)</ns0:f>
        <ns0:v>64</ns0:v>
      </ns0:c>
      <ns0:c r="G171">
        <ns0:f>COUNTIFS(Games_Raw!$K$2:$K$1232,"Yes",Games_Raw!$J$2:$J$1232,A171)</ns0:f>
        <ns0:v>18</ns0:v>
      </ns0:c>
    </ns0:row>
    <ns0:row r="172">
      <ns0:c r="A172" t="inlineStr">
        <ns0:is>
          <ns0:t>Cleveland Cavaliers</ns0:t>
        </ns0:is>
      </ns0:c>
      <ns0:c r="B172" t="inlineStr">
        <ns0:is>
          <ns0:t>San Antonio Spurs</ns0:t>
        </ns0:is>
      </ns0:c>
      <ns0:c r="C172">
        <ns0:f>COUNTIFS(Games_Raw!$K$2:$K$1232,"Yes",Games_Raw!$I$2:$I$1232,A172,Games_Raw!$J$2:$J$1232,B172)</ns0:f>
        <ns0:v>2</ns0:v>
      </ns0:c>
      <ns0:c r="D172">
        <ns0:f>COUNTIFS(Games_Raw!$K$2:$K$1232,"Yes",Games_Raw!$I$2:$I$1232,B172,Games_Raw!$J$2:$J$1232,A172)</ns0:f>
        <ns0:v>0</ns0:v>
      </ns0:c>
      <ns0:c r="E172" t="str">
        <ns0:f>C172&amp;"-"&amp;D172</ns0:f>
        <ns0:v>2-0</ns0:v>
      </ns0:c>
      <ns0:c r="F172">
        <ns0:f>COUNTIFS(Games_Raw!$K$2:$K$1232,"Yes",Games_Raw!$I$2:$I$1232,A172)</ns0:f>
        <ns0:v>64</ns0:v>
      </ns0:c>
      <ns0:c r="G172">
        <ns0:f>COUNTIFS(Games_Raw!$K$2:$K$1232,"Yes",Games_Raw!$J$2:$J$1232,A172)</ns0:f>
        <ns0:v>18</ns0:v>
      </ns0:c>
    </ns0:row>
    <ns0:row r="173">
      <ns0:c r="A173" t="inlineStr">
        <ns0:is>
          <ns0:t>Cleveland Cavaliers</ns0:t>
        </ns0:is>
      </ns0:c>
      <ns0:c r="B173" t="inlineStr">
        <ns0:is>
          <ns0:t>Toronto Raptors</ns0:t>
        </ns0:is>
      </ns0:c>
      <ns0:c r="C173">
        <ns0:f>COUNTIFS(Games_Raw!$K$2:$K$1232,"Yes",Games_Raw!$I$2:$I$1232,A173,Games_Raw!$J$2:$J$1232,B173)</ns0:f>
        <ns0:v>4</ns0:v>
      </ns0:c>
      <ns0:c r="D173">
        <ns0:f>COUNTIFS(Games_Raw!$K$2:$K$1232,"Yes",Games_Raw!$I$2:$I$1232,B173,Games_Raw!$J$2:$J$1232,A173)</ns0:f>
        <ns0:v>0</ns0:v>
      </ns0:c>
      <ns0:c r="E173" t="str">
        <ns0:f>C173&amp;"-"&amp;D173</ns0:f>
        <ns0:v>4-0</ns0:v>
      </ns0:c>
      <ns0:c r="F173">
        <ns0:f>COUNTIFS(Games_Raw!$K$2:$K$1232,"Yes",Games_Raw!$I$2:$I$1232,A173)</ns0:f>
        <ns0:v>64</ns0:v>
      </ns0:c>
      <ns0:c r="G173">
        <ns0:f>COUNTIFS(Games_Raw!$K$2:$K$1232,"Yes",Games_Raw!$J$2:$J$1232,A173)</ns0:f>
        <ns0:v>18</ns0:v>
      </ns0:c>
    </ns0:row>
    <ns0:row r="174">
      <ns0:c r="A174" t="inlineStr">
        <ns0:is>
          <ns0:t>Cleveland Cavaliers</ns0:t>
        </ns0:is>
      </ns0:c>
      <ns0:c r="B174" t="inlineStr">
        <ns0:is>
          <ns0:t>Utah Jazz</ns0:t>
        </ns0:is>
      </ns0:c>
      <ns0:c r="C174">
        <ns0:f>COUNTIFS(Games_Raw!$K$2:$K$1232,"Yes",Games_Raw!$I$2:$I$1232,A174,Games_Raw!$J$2:$J$1232,B174)</ns0:f>
        <ns0:v>2</ns0:v>
      </ns0:c>
      <ns0:c r="D174">
        <ns0:f>COUNTIFS(Games_Raw!$K$2:$K$1232,"Yes",Games_Raw!$I$2:$I$1232,B174,Games_Raw!$J$2:$J$1232,A174)</ns0:f>
        <ns0:v>0</ns0:v>
      </ns0:c>
      <ns0:c r="E174" t="str">
        <ns0:f>C174&amp;"-"&amp;D174</ns0:f>
        <ns0:v>2-0</ns0:v>
      </ns0:c>
      <ns0:c r="F174">
        <ns0:f>COUNTIFS(Games_Raw!$K$2:$K$1232,"Yes",Games_Raw!$I$2:$I$1232,A174)</ns0:f>
        <ns0:v>64</ns0:v>
      </ns0:c>
      <ns0:c r="G174">
        <ns0:f>COUNTIFS(Games_Raw!$K$2:$K$1232,"Yes",Games_Raw!$J$2:$J$1232,A174)</ns0:f>
        <ns0:v>18</ns0:v>
      </ns0:c>
    </ns0:row>
    <ns0:row r="175">
      <ns0:c r="A175" t="inlineStr">
        <ns0:is>
          <ns0:t>Cleveland Cavaliers</ns0:t>
        </ns0:is>
      </ns0:c>
      <ns0:c r="B175" t="inlineStr">
        <ns0:is>
          <ns0:t>Washington Wizards</ns0:t>
        </ns0:is>
      </ns0:c>
      <ns0:c r="C175">
        <ns0:f>COUNTIFS(Games_Raw!$K$2:$K$1232,"Yes",Games_Raw!$I$2:$I$1232,A175,Games_Raw!$J$2:$J$1232,B175)</ns0:f>
        <ns0:v>4</ns0:v>
      </ns0:c>
      <ns0:c r="D175">
        <ns0:f>COUNTIFS(Games_Raw!$K$2:$K$1232,"Yes",Games_Raw!$I$2:$I$1232,B175,Games_Raw!$J$2:$J$1232,A175)</ns0:f>
        <ns0:v>0</ns0:v>
      </ns0:c>
      <ns0:c r="E175" t="str">
        <ns0:f>C175&amp;"-"&amp;D175</ns0:f>
        <ns0:v>4-0</ns0:v>
      </ns0:c>
      <ns0:c r="F175">
        <ns0:f>COUNTIFS(Games_Raw!$K$2:$K$1232,"Yes",Games_Raw!$I$2:$I$1232,A175)</ns0:f>
        <ns0:v>64</ns0:v>
      </ns0:c>
      <ns0:c r="G175">
        <ns0:f>COUNTIFS(Games_Raw!$K$2:$K$1232,"Yes",Games_Raw!$J$2:$J$1232,A175)</ns0:f>
        <ns0:v>18</ns0:v>
      </ns0:c>
    </ns0:row>
    <ns0:row r="176">
      <ns0:c r="A176" t="inlineStr">
        <ns0:is>
          <ns0:t>Dallas Mavericks</ns0:t>
        </ns0:is>
      </ns0:c>
      <ns0:c r="B176" t="inlineStr">
        <ns0:is>
          <ns0:t>Atlanta Hawks</ns0:t>
        </ns0:is>
      </ns0:c>
      <ns0:c r="C176">
        <ns0:f>COUNTIFS(Games_Raw!$K$2:$K$1232,"Yes",Games_Raw!$I$2:$I$1232,A176,Games_Raw!$J$2:$J$1232,B176)</ns0:f>
        <ns0:v>2</ns0:v>
      </ns0:c>
      <ns0:c r="D176">
        <ns0:f>COUNTIFS(Games_Raw!$K$2:$K$1232,"Yes",Games_Raw!$I$2:$I$1232,B176,Games_Raw!$J$2:$J$1232,A176)</ns0:f>
        <ns0:v>0</ns0:v>
      </ns0:c>
      <ns0:c r="E176" t="str">
        <ns0:f>C176&amp;"-"&amp;D176</ns0:f>
        <ns0:v>2-0</ns0:v>
      </ns0:c>
      <ns0:c r="F176">
        <ns0:f>COUNTIFS(Games_Raw!$K$2:$K$1232,"Yes",Games_Raw!$I$2:$I$1232,A176)</ns0:f>
        <ns0:v>39</ns0:v>
      </ns0:c>
      <ns0:c r="G176">
        <ns0:f>COUNTIFS(Games_Raw!$K$2:$K$1232,"Yes",Games_Raw!$J$2:$J$1232,A176)</ns0:f>
        <ns0:v>43</ns0:v>
      </ns0:c>
    </ns0:row>
    <ns0:row r="177">
      <ns0:c r="A177" t="inlineStr">
        <ns0:is>
          <ns0:t>Dallas Mavericks</ns0:t>
        </ns0:is>
      </ns0:c>
      <ns0:c r="B177" t="inlineStr">
        <ns0:is>
          <ns0:t>Boston Celtics</ns0:t>
        </ns0:is>
      </ns0:c>
      <ns0:c r="C177">
        <ns0:f>COUNTIFS(Games_Raw!$K$2:$K$1232,"Yes",Games_Raw!$I$2:$I$1232,A177,Games_Raw!$J$2:$J$1232,B177)</ns0:f>
        <ns0:v>1</ns0:v>
      </ns0:c>
      <ns0:c r="D177">
        <ns0:f>COUNTIFS(Games_Raw!$K$2:$K$1232,"Yes",Games_Raw!$I$2:$I$1232,B177,Games_Raw!$J$2:$J$1232,A177)</ns0:f>
        <ns0:v>1</ns0:v>
      </ns0:c>
      <ns0:c r="E177" t="str">
        <ns0:f>C177&amp;"-"&amp;D177</ns0:f>
        <ns0:v>1-1</ns0:v>
      </ns0:c>
      <ns0:c r="F177">
        <ns0:f>COUNTIFS(Games_Raw!$K$2:$K$1232,"Yes",Games_Raw!$I$2:$I$1232,A177)</ns0:f>
        <ns0:v>39</ns0:v>
      </ns0:c>
      <ns0:c r="G177">
        <ns0:f>COUNTIFS(Games_Raw!$K$2:$K$1232,"Yes",Games_Raw!$J$2:$J$1232,A177)</ns0:f>
        <ns0:v>43</ns0:v>
      </ns0:c>
    </ns0:row>
    <ns0:row r="178">
      <ns0:c r="A178" t="inlineStr">
        <ns0:is>
          <ns0:t>Dallas Mavericks</ns0:t>
        </ns0:is>
      </ns0:c>
      <ns0:c r="B178" t="inlineStr">
        <ns0:is>
          <ns0:t>Brooklyn Nets</ns0:t>
        </ns0:is>
      </ns0:c>
      <ns0:c r="C178">
        <ns0:f>COUNTIFS(Games_Raw!$K$2:$K$1232,"Yes",Games_Raw!$I$2:$I$1232,A178,Games_Raw!$J$2:$J$1232,B178)</ns0:f>
        <ns0:v>1</ns0:v>
      </ns0:c>
      <ns0:c r="D178">
        <ns0:f>COUNTIFS(Games_Raw!$K$2:$K$1232,"Yes",Games_Raw!$I$2:$I$1232,B178,Games_Raw!$J$2:$J$1232,A178)</ns0:f>
        <ns0:v>1</ns0:v>
      </ns0:c>
      <ns0:c r="E178" t="str">
        <ns0:f>C178&amp;"-"&amp;D178</ns0:f>
        <ns0:v>1-1</ns0:v>
      </ns0:c>
      <ns0:c r="F178">
        <ns0:f>COUNTIFS(Games_Raw!$K$2:$K$1232,"Yes",Games_Raw!$I$2:$I$1232,A178)</ns0:f>
        <ns0:v>39</ns0:v>
      </ns0:c>
      <ns0:c r="G178">
        <ns0:f>COUNTIFS(Games_Raw!$K$2:$K$1232,"Yes",Games_Raw!$J$2:$J$1232,A178)</ns0:f>
        <ns0:v>43</ns0:v>
      </ns0:c>
    </ns0:row>
    <ns0:row r="179">
      <ns0:c r="A179" t="inlineStr">
        <ns0:is>
          <ns0:t>Dallas Mavericks</ns0:t>
        </ns0:is>
      </ns0:c>
      <ns0:c r="B179" t="inlineStr">
        <ns0:is>
          <ns0:t>Charlotte Hornets</ns0:t>
        </ns0:is>
      </ns0:c>
      <ns0:c r="C179">
        <ns0:f>COUNTIFS(Games_Raw!$K$2:$K$1232,"Yes",Games_Raw!$I$2:$I$1232,A179,Games_Raw!$J$2:$J$1232,B179)</ns0:f>
        <ns0:v>1</ns0:v>
      </ns0:c>
      <ns0:c r="D179">
        <ns0:f>COUNTIFS(Games_Raw!$K$2:$K$1232,"Yes",Games_Raw!$I$2:$I$1232,B179,Games_Raw!$J$2:$J$1232,A179)</ns0:f>
        <ns0:v>1</ns0:v>
      </ns0:c>
      <ns0:c r="E179" t="str">
        <ns0:f>C179&amp;"-"&amp;D179</ns0:f>
        <ns0:v>1-1</ns0:v>
      </ns0:c>
      <ns0:c r="F179">
        <ns0:f>COUNTIFS(Games_Raw!$K$2:$K$1232,"Yes",Games_Raw!$I$2:$I$1232,A179)</ns0:f>
        <ns0:v>39</ns0:v>
      </ns0:c>
      <ns0:c r="G179">
        <ns0:f>COUNTIFS(Games_Raw!$K$2:$K$1232,"Yes",Games_Raw!$J$2:$J$1232,A179)</ns0:f>
        <ns0:v>43</ns0:v>
      </ns0:c>
    </ns0:row>
    <ns0:row r="180">
      <ns0:c r="A180" t="inlineStr">
        <ns0:is>
          <ns0:t>Dallas Mavericks</ns0:t>
        </ns0:is>
      </ns0:c>
      <ns0:c r="B180" t="inlineStr">
        <ns0:is>
          <ns0:t>Chicago Bulls</ns0:t>
        </ns0:is>
      </ns0:c>
      <ns0:c r="C180">
        <ns0:f>COUNTIFS(Games_Raw!$K$2:$K$1232,"Yes",Games_Raw!$I$2:$I$1232,A180,Games_Raw!$J$2:$J$1232,B180)</ns0:f>
        <ns0:v>2</ns0:v>
      </ns0:c>
      <ns0:c r="D180">
        <ns0:f>COUNTIFS(Games_Raw!$K$2:$K$1232,"Yes",Games_Raw!$I$2:$I$1232,B180,Games_Raw!$J$2:$J$1232,A180)</ns0:f>
        <ns0:v>0</ns0:v>
      </ns0:c>
      <ns0:c r="E180" t="str">
        <ns0:f>C180&amp;"-"&amp;D180</ns0:f>
        <ns0:v>2-0</ns0:v>
      </ns0:c>
      <ns0:c r="F180">
        <ns0:f>COUNTIFS(Games_Raw!$K$2:$K$1232,"Yes",Games_Raw!$I$2:$I$1232,A180)</ns0:f>
        <ns0:v>39</ns0:v>
      </ns0:c>
      <ns0:c r="G180">
        <ns0:f>COUNTIFS(Games_Raw!$K$2:$K$1232,"Yes",Games_Raw!$J$2:$J$1232,A180)</ns0:f>
        <ns0:v>43</ns0:v>
      </ns0:c>
    </ns0:row>
    <ns0:row r="181">
      <ns0:c r="A181" t="inlineStr">
        <ns0:is>
          <ns0:t>Dallas Mavericks</ns0:t>
        </ns0:is>
      </ns0:c>
      <ns0:c r="B181" t="inlineStr">
        <ns0:is>
          <ns0:t>Cleveland Cavaliers</ns0:t>
        </ns0:is>
      </ns0:c>
      <ns0:c r="C181">
        <ns0:f>COUNTIFS(Games_Raw!$K$2:$K$1232,"Yes",Games_Raw!$I$2:$I$1232,A181,Games_Raw!$J$2:$J$1232,B181)</ns0:f>
        <ns0:v>0</ns0:v>
      </ns0:c>
      <ns0:c r="D181">
        <ns0:f>COUNTIFS(Games_Raw!$K$2:$K$1232,"Yes",Games_Raw!$I$2:$I$1232,B181,Games_Raw!$J$2:$J$1232,A181)</ns0:f>
        <ns0:v>2</ns0:v>
      </ns0:c>
      <ns0:c r="E181" t="str">
        <ns0:f>C181&amp;"-"&amp;D181</ns0:f>
        <ns0:v>0-2</ns0:v>
      </ns0:c>
      <ns0:c r="F181">
        <ns0:f>COUNTIFS(Games_Raw!$K$2:$K$1232,"Yes",Games_Raw!$I$2:$I$1232,A181)</ns0:f>
        <ns0:v>39</ns0:v>
      </ns0:c>
      <ns0:c r="G181">
        <ns0:f>COUNTIFS(Games_Raw!$K$2:$K$1232,"Yes",Games_Raw!$J$2:$J$1232,A181)</ns0:f>
        <ns0:v>43</ns0:v>
      </ns0:c>
    </ns0:row>
    <ns0:row r="182">
      <ns0:c r="A182" t="inlineStr">
        <ns0:is>
          <ns0:t>Dallas Mavericks</ns0:t>
        </ns0:is>
      </ns0:c>
      <ns0:c r="B182" t="inlineStr">
        <ns0:is>
          <ns0:t>Denver Nuggets</ns0:t>
        </ns0:is>
      </ns0:c>
      <ns0:c r="C182">
        <ns0:f>COUNTIFS(Games_Raw!$K$2:$K$1232,"Yes",Games_Raw!$I$2:$I$1232,A182,Games_Raw!$J$2:$J$1232,B182)</ns0:f>
        <ns0:v>1</ns0:v>
      </ns0:c>
      <ns0:c r="D182">
        <ns0:f>COUNTIFS(Games_Raw!$K$2:$K$1232,"Yes",Games_Raw!$I$2:$I$1232,B182,Games_Raw!$J$2:$J$1232,A182)</ns0:f>
        <ns0:v>3</ns0:v>
      </ns0:c>
      <ns0:c r="E182" t="str">
        <ns0:f>C182&amp;"-"&amp;D182</ns0:f>
        <ns0:v>1-3</ns0:v>
      </ns0:c>
      <ns0:c r="F182">
        <ns0:f>COUNTIFS(Games_Raw!$K$2:$K$1232,"Yes",Games_Raw!$I$2:$I$1232,A182)</ns0:f>
        <ns0:v>39</ns0:v>
      </ns0:c>
      <ns0:c r="G182">
        <ns0:f>COUNTIFS(Games_Raw!$K$2:$K$1232,"Yes",Games_Raw!$J$2:$J$1232,A182)</ns0:f>
        <ns0:v>43</ns0:v>
      </ns0:c>
    </ns0:row>
    <ns0:row r="183">
      <ns0:c r="A183" t="inlineStr">
        <ns0:is>
          <ns0:t>Dallas Mavericks</ns0:t>
        </ns0:is>
      </ns0:c>
      <ns0:c r="B183" t="inlineStr">
        <ns0:is>
          <ns0:t>Detroit Pistons</ns0:t>
        </ns0:is>
      </ns0:c>
      <ns0:c r="C183">
        <ns0:f>COUNTIFS(Games_Raw!$K$2:$K$1232,"Yes",Games_Raw!$I$2:$I$1232,A183,Games_Raw!$J$2:$J$1232,B183)</ns0:f>
        <ns0:v>1</ns0:v>
      </ns0:c>
      <ns0:c r="D183">
        <ns0:f>COUNTIFS(Games_Raw!$K$2:$K$1232,"Yes",Games_Raw!$I$2:$I$1232,B183,Games_Raw!$J$2:$J$1232,A183)</ns0:f>
        <ns0:v>1</ns0:v>
      </ns0:c>
      <ns0:c r="E183" t="str">
        <ns0:f>C183&amp;"-"&amp;D183</ns0:f>
        <ns0:v>1-1</ns0:v>
      </ns0:c>
      <ns0:c r="F183">
        <ns0:f>COUNTIFS(Games_Raw!$K$2:$K$1232,"Yes",Games_Raw!$I$2:$I$1232,A183)</ns0:f>
        <ns0:v>39</ns0:v>
      </ns0:c>
      <ns0:c r="G183">
        <ns0:f>COUNTIFS(Games_Raw!$K$2:$K$1232,"Yes",Games_Raw!$J$2:$J$1232,A183)</ns0:f>
        <ns0:v>43</ns0:v>
      </ns0:c>
    </ns0:row>
    <ns0:row r="184">
      <ns0:c r="A184" t="inlineStr">
        <ns0:is>
          <ns0:t>Dallas Mavericks</ns0:t>
        </ns0:is>
      </ns0:c>
      <ns0:c r="B184" t="inlineStr">
        <ns0:is>
          <ns0:t>Golden State Warriors</ns0:t>
        </ns0:is>
      </ns0:c>
      <ns0:c r="C184">
        <ns0:f>COUNTIFS(Games_Raw!$K$2:$K$1232,"Yes",Games_Raw!$I$2:$I$1232,A184,Games_Raw!$J$2:$J$1232,B184)</ns0:f>
        <ns0:v>2</ns0:v>
      </ns0:c>
      <ns0:c r="D184">
        <ns0:f>COUNTIFS(Games_Raw!$K$2:$K$1232,"Yes",Games_Raw!$I$2:$I$1232,B184,Games_Raw!$J$2:$J$1232,A184)</ns0:f>
        <ns0:v>2</ns0:v>
      </ns0:c>
      <ns0:c r="E184" t="str">
        <ns0:f>C184&amp;"-"&amp;D184</ns0:f>
        <ns0:v>2-2</ns0:v>
      </ns0:c>
      <ns0:c r="F184">
        <ns0:f>COUNTIFS(Games_Raw!$K$2:$K$1232,"Yes",Games_Raw!$I$2:$I$1232,A184)</ns0:f>
        <ns0:v>39</ns0:v>
      </ns0:c>
      <ns0:c r="G184">
        <ns0:f>COUNTIFS(Games_Raw!$K$2:$K$1232,"Yes",Games_Raw!$J$2:$J$1232,A184)</ns0:f>
        <ns0:v>43</ns0:v>
      </ns0:c>
    </ns0:row>
    <ns0:row r="185">
      <ns0:c r="A185" t="inlineStr">
        <ns0:is>
          <ns0:t>Dallas Mavericks</ns0:t>
        </ns0:is>
      </ns0:c>
      <ns0:c r="B185" t="inlineStr">
        <ns0:is>
          <ns0:t>Houston Rockets</ns0:t>
        </ns0:is>
      </ns0:c>
      <ns0:c r="C185">
        <ns0:f>COUNTIFS(Games_Raw!$K$2:$K$1232,"Yes",Games_Raw!$I$2:$I$1232,A185,Games_Raw!$J$2:$J$1232,B185)</ns0:f>
        <ns0:v>1</ns0:v>
      </ns0:c>
      <ns0:c r="D185">
        <ns0:f>COUNTIFS(Games_Raw!$K$2:$K$1232,"Yes",Games_Raw!$I$2:$I$1232,B185,Games_Raw!$J$2:$J$1232,A185)</ns0:f>
        <ns0:v>3</ns0:v>
      </ns0:c>
      <ns0:c r="E185" t="str">
        <ns0:f>C185&amp;"-"&amp;D185</ns0:f>
        <ns0:v>1-3</ns0:v>
      </ns0:c>
      <ns0:c r="F185">
        <ns0:f>COUNTIFS(Games_Raw!$K$2:$K$1232,"Yes",Games_Raw!$I$2:$I$1232,A185)</ns0:f>
        <ns0:v>39</ns0:v>
      </ns0:c>
      <ns0:c r="G185">
        <ns0:f>COUNTIFS(Games_Raw!$K$2:$K$1232,"Yes",Games_Raw!$J$2:$J$1232,A185)</ns0:f>
        <ns0:v>43</ns0:v>
      </ns0:c>
    </ns0:row>
    <ns0:row r="186">
      <ns0:c r="A186" t="inlineStr">
        <ns0:is>
          <ns0:t>Dallas Mavericks</ns0:t>
        </ns0:is>
      </ns0:c>
      <ns0:c r="B186" t="inlineStr">
        <ns0:is>
          <ns0:t>Indiana Pacers</ns0:t>
        </ns0:is>
      </ns0:c>
      <ns0:c r="C186">
        <ns0:f>COUNTIFS(Games_Raw!$K$2:$K$1232,"Yes",Games_Raw!$I$2:$I$1232,A186,Games_Raw!$J$2:$J$1232,B186)</ns0:f>
        <ns0:v>0</ns0:v>
      </ns0:c>
      <ns0:c r="D186">
        <ns0:f>COUNTIFS(Games_Raw!$K$2:$K$1232,"Yes",Games_Raw!$I$2:$I$1232,B186,Games_Raw!$J$2:$J$1232,A186)</ns0:f>
        <ns0:v>2</ns0:v>
      </ns0:c>
      <ns0:c r="E186" t="str">
        <ns0:f>C186&amp;"-"&amp;D186</ns0:f>
        <ns0:v>0-2</ns0:v>
      </ns0:c>
      <ns0:c r="F186">
        <ns0:f>COUNTIFS(Games_Raw!$K$2:$K$1232,"Yes",Games_Raw!$I$2:$I$1232,A186)</ns0:f>
        <ns0:v>39</ns0:v>
      </ns0:c>
      <ns0:c r="G186">
        <ns0:f>COUNTIFS(Games_Raw!$K$2:$K$1232,"Yes",Games_Raw!$J$2:$J$1232,A186)</ns0:f>
        <ns0:v>43</ns0:v>
      </ns0:c>
    </ns0:row>
    <ns0:row r="187">
      <ns0:c r="A187" t="inlineStr">
        <ns0:is>
          <ns0:t>Dallas Mavericks</ns0:t>
        </ns0:is>
      </ns0:c>
      <ns0:c r="B187" t="inlineStr">
        <ns0:is>
          <ns0:t>LA Clippers</ns0:t>
        </ns0:is>
      </ns0:c>
      <ns0:c r="C187">
        <ns0:f>COUNTIFS(Games_Raw!$K$2:$K$1232,"Yes",Games_Raw!$I$2:$I$1232,A187,Games_Raw!$J$2:$J$1232,B187)</ns0:f>
        <ns0:v>1</ns0:v>
      </ns0:c>
      <ns0:c r="D187">
        <ns0:f>COUNTIFS(Games_Raw!$K$2:$K$1232,"Yes",Games_Raw!$I$2:$I$1232,B187,Games_Raw!$J$2:$J$1232,A187)</ns0:f>
        <ns0:v>3</ns0:v>
      </ns0:c>
      <ns0:c r="E187" t="str">
        <ns0:f>C187&amp;"-"&amp;D187</ns0:f>
        <ns0:v>1-3</ns0:v>
      </ns0:c>
      <ns0:c r="F187">
        <ns0:f>COUNTIFS(Games_Raw!$K$2:$K$1232,"Yes",Games_Raw!$I$2:$I$1232,A187)</ns0:f>
        <ns0:v>39</ns0:v>
      </ns0:c>
      <ns0:c r="G187">
        <ns0:f>COUNTIFS(Games_Raw!$K$2:$K$1232,"Yes",Games_Raw!$J$2:$J$1232,A187)</ns0:f>
        <ns0:v>43</ns0:v>
      </ns0:c>
    </ns0:row>
    <ns0:row r="188">
      <ns0:c r="A188" t="inlineStr">
        <ns0:is>
          <ns0:t>Dallas Mavericks</ns0:t>
        </ns0:is>
      </ns0:c>
      <ns0:c r="B188" t="inlineStr">
        <ns0:is>
          <ns0:t>Los Angeles Lakers</ns0:t>
        </ns0:is>
      </ns0:c>
      <ns0:c r="C188">
        <ns0:f>COUNTIFS(Games_Raw!$K$2:$K$1232,"Yes",Games_Raw!$I$2:$I$1232,A188,Games_Raw!$J$2:$J$1232,B188)</ns0:f>
        <ns0:v>1</ns0:v>
      </ns0:c>
      <ns0:c r="D188">
        <ns0:f>COUNTIFS(Games_Raw!$K$2:$K$1232,"Yes",Games_Raw!$I$2:$I$1232,B188,Games_Raw!$J$2:$J$1232,A188)</ns0:f>
        <ns0:v>2</ns0:v>
      </ns0:c>
      <ns0:c r="E188" t="str">
        <ns0:f>C188&amp;"-"&amp;D188</ns0:f>
        <ns0:v>1-2</ns0:v>
      </ns0:c>
      <ns0:c r="F188">
        <ns0:f>COUNTIFS(Games_Raw!$K$2:$K$1232,"Yes",Games_Raw!$I$2:$I$1232,A188)</ns0:f>
        <ns0:v>39</ns0:v>
      </ns0:c>
      <ns0:c r="G188">
        <ns0:f>COUNTIFS(Games_Raw!$K$2:$K$1232,"Yes",Games_Raw!$J$2:$J$1232,A188)</ns0:f>
        <ns0:v>43</ns0:v>
      </ns0:c>
    </ns0:row>
    <ns0:row r="189">
      <ns0:c r="A189" t="inlineStr">
        <ns0:is>
          <ns0:t>Dallas Mavericks</ns0:t>
        </ns0:is>
      </ns0:c>
      <ns0:c r="B189" t="inlineStr">
        <ns0:is>
          <ns0:t>Memphis Grizzlies</ns0:t>
        </ns0:is>
      </ns0:c>
      <ns0:c r="C189">
        <ns0:f>COUNTIFS(Games_Raw!$K$2:$K$1232,"Yes",Games_Raw!$I$2:$I$1232,A189,Games_Raw!$J$2:$J$1232,B189)</ns0:f>
        <ns0:v>1</ns0:v>
      </ns0:c>
      <ns0:c r="D189">
        <ns0:f>COUNTIFS(Games_Raw!$K$2:$K$1232,"Yes",Games_Raw!$I$2:$I$1232,B189,Games_Raw!$J$2:$J$1232,A189)</ns0:f>
        <ns0:v>3</ns0:v>
      </ns0:c>
      <ns0:c r="E189" t="str">
        <ns0:f>C189&amp;"-"&amp;D189</ns0:f>
        <ns0:v>1-3</ns0:v>
      </ns0:c>
      <ns0:c r="F189">
        <ns0:f>COUNTIFS(Games_Raw!$K$2:$K$1232,"Yes",Games_Raw!$I$2:$I$1232,A189)</ns0:f>
        <ns0:v>39</ns0:v>
      </ns0:c>
      <ns0:c r="G189">
        <ns0:f>COUNTIFS(Games_Raw!$K$2:$K$1232,"Yes",Games_Raw!$J$2:$J$1232,A189)</ns0:f>
        <ns0:v>43</ns0:v>
      </ns0:c>
    </ns0:row>
    <ns0:row r="190">
      <ns0:c r="A190" t="inlineStr">
        <ns0:is>
          <ns0:t>Dallas Mavericks</ns0:t>
        </ns0:is>
      </ns0:c>
      <ns0:c r="B190" t="inlineStr">
        <ns0:is>
          <ns0:t>Miami Heat</ns0:t>
        </ns0:is>
      </ns0:c>
      <ns0:c r="C190">
        <ns0:f>COUNTIFS(Games_Raw!$K$2:$K$1232,"Yes",Games_Raw!$I$2:$I$1232,A190,Games_Raw!$J$2:$J$1232,B190)</ns0:f>
        <ns0:v>1</ns0:v>
      </ns0:c>
      <ns0:c r="D190">
        <ns0:f>COUNTIFS(Games_Raw!$K$2:$K$1232,"Yes",Games_Raw!$I$2:$I$1232,B190,Games_Raw!$J$2:$J$1232,A190)</ns0:f>
        <ns0:v>1</ns0:v>
      </ns0:c>
      <ns0:c r="E190" t="str">
        <ns0:f>C190&amp;"-"&amp;D190</ns0:f>
        <ns0:v>1-1</ns0:v>
      </ns0:c>
      <ns0:c r="F190">
        <ns0:f>COUNTIFS(Games_Raw!$K$2:$K$1232,"Yes",Games_Raw!$I$2:$I$1232,A190)</ns0:f>
        <ns0:v>39</ns0:v>
      </ns0:c>
      <ns0:c r="G190">
        <ns0:f>COUNTIFS(Games_Raw!$K$2:$K$1232,"Yes",Games_Raw!$J$2:$J$1232,A190)</ns0:f>
        <ns0:v>43</ns0:v>
      </ns0:c>
    </ns0:row>
    <ns0:row r="191">
      <ns0:c r="A191" t="inlineStr">
        <ns0:is>
          <ns0:t>Dallas Mavericks</ns0:t>
        </ns0:is>
      </ns0:c>
      <ns0:c r="B191" t="inlineStr">
        <ns0:is>
          <ns0:t>Milwaukee Bucks</ns0:t>
        </ns0:is>
      </ns0:c>
      <ns0:c r="C191">
        <ns0:f>COUNTIFS(Games_Raw!$K$2:$K$1232,"Yes",Games_Raw!$I$2:$I$1232,A191,Games_Raw!$J$2:$J$1232,B191)</ns0:f>
        <ns0:v>0</ns0:v>
      </ns0:c>
      <ns0:c r="D191">
        <ns0:f>COUNTIFS(Games_Raw!$K$2:$K$1232,"Yes",Games_Raw!$I$2:$I$1232,B191,Games_Raw!$J$2:$J$1232,A191)</ns0:f>
        <ns0:v>2</ns0:v>
      </ns0:c>
      <ns0:c r="E191" t="str">
        <ns0:f>C191&amp;"-"&amp;D191</ns0:f>
        <ns0:v>0-2</ns0:v>
      </ns0:c>
      <ns0:c r="F191">
        <ns0:f>COUNTIFS(Games_Raw!$K$2:$K$1232,"Yes",Games_Raw!$I$2:$I$1232,A191)</ns0:f>
        <ns0:v>39</ns0:v>
      </ns0:c>
      <ns0:c r="G191">
        <ns0:f>COUNTIFS(Games_Raw!$K$2:$K$1232,"Yes",Games_Raw!$J$2:$J$1232,A191)</ns0:f>
        <ns0:v>43</ns0:v>
      </ns0:c>
    </ns0:row>
    <ns0:row r="192">
      <ns0:c r="A192" t="inlineStr">
        <ns0:is>
          <ns0:t>Dallas Mavericks</ns0:t>
        </ns0:is>
      </ns0:c>
      <ns0:c r="B192" t="inlineStr">
        <ns0:is>
          <ns0:t>Minnesota Timberwolves</ns0:t>
        </ns0:is>
      </ns0:c>
      <ns0:c r="C192">
        <ns0:f>COUNTIFS(Games_Raw!$K$2:$K$1232,"Yes",Games_Raw!$I$2:$I$1232,A192,Games_Raw!$J$2:$J$1232,B192)</ns0:f>
        <ns0:v>1</ns0:v>
      </ns0:c>
      <ns0:c r="D192">
        <ns0:f>COUNTIFS(Games_Raw!$K$2:$K$1232,"Yes",Games_Raw!$I$2:$I$1232,B192,Games_Raw!$J$2:$J$1232,A192)</ns0:f>
        <ns0:v>2</ns0:v>
      </ns0:c>
      <ns0:c r="E192" t="str">
        <ns0:f>C192&amp;"-"&amp;D192</ns0:f>
        <ns0:v>1-2</ns0:v>
      </ns0:c>
      <ns0:c r="F192">
        <ns0:f>COUNTIFS(Games_Raw!$K$2:$K$1232,"Yes",Games_Raw!$I$2:$I$1232,A192)</ns0:f>
        <ns0:v>39</ns0:v>
      </ns0:c>
      <ns0:c r="G192">
        <ns0:f>COUNTIFS(Games_Raw!$K$2:$K$1232,"Yes",Games_Raw!$J$2:$J$1232,A192)</ns0:f>
        <ns0:v>43</ns0:v>
      </ns0:c>
    </ns0:row>
    <ns0:row r="193">
      <ns0:c r="A193" t="inlineStr">
        <ns0:is>
          <ns0:t>Dallas Mavericks</ns0:t>
        </ns0:is>
      </ns0:c>
      <ns0:c r="B193" t="inlineStr">
        <ns0:is>
          <ns0:t>New Orleans Pelicans</ns0:t>
        </ns0:is>
      </ns0:c>
      <ns0:c r="C193">
        <ns0:f>COUNTIFS(Games_Raw!$K$2:$K$1232,"Yes",Games_Raw!$I$2:$I$1232,A193,Games_Raw!$J$2:$J$1232,B193)</ns0:f>
        <ns0:v>3</ns0:v>
      </ns0:c>
      <ns0:c r="D193">
        <ns0:f>COUNTIFS(Games_Raw!$K$2:$K$1232,"Yes",Games_Raw!$I$2:$I$1232,B193,Games_Raw!$J$2:$J$1232,A193)</ns0:f>
        <ns0:v>1</ns0:v>
      </ns0:c>
      <ns0:c r="E193" t="str">
        <ns0:f>C193&amp;"-"&amp;D193</ns0:f>
        <ns0:v>3-1</ns0:v>
      </ns0:c>
      <ns0:c r="F193">
        <ns0:f>COUNTIFS(Games_Raw!$K$2:$K$1232,"Yes",Games_Raw!$I$2:$I$1232,A193)</ns0:f>
        <ns0:v>39</ns0:v>
      </ns0:c>
      <ns0:c r="G193">
        <ns0:f>COUNTIFS(Games_Raw!$K$2:$K$1232,"Yes",Games_Raw!$J$2:$J$1232,A193)</ns0:f>
        <ns0:v>43</ns0:v>
      </ns0:c>
    </ns0:row>
    <ns0:row r="194">
      <ns0:c r="A194" t="inlineStr">
        <ns0:is>
          <ns0:t>Dallas Mavericks</ns0:t>
        </ns0:is>
      </ns0:c>
      <ns0:c r="B194" t="inlineStr">
        <ns0:is>
          <ns0:t>New York Knicks</ns0:t>
        </ns0:is>
      </ns0:c>
      <ns0:c r="C194">
        <ns0:f>COUNTIFS(Games_Raw!$K$2:$K$1232,"Yes",Games_Raw!$I$2:$I$1232,A194,Games_Raw!$J$2:$J$1232,B194)</ns0:f>
        <ns0:v>1</ns0:v>
      </ns0:c>
      <ns0:c r="D194">
        <ns0:f>COUNTIFS(Games_Raw!$K$2:$K$1232,"Yes",Games_Raw!$I$2:$I$1232,B194,Games_Raw!$J$2:$J$1232,A194)</ns0:f>
        <ns0:v>1</ns0:v>
      </ns0:c>
      <ns0:c r="E194" t="str">
        <ns0:f>C194&amp;"-"&amp;D194</ns0:f>
        <ns0:v>1-1</ns0:v>
      </ns0:c>
      <ns0:c r="F194">
        <ns0:f>COUNTIFS(Games_Raw!$K$2:$K$1232,"Yes",Games_Raw!$I$2:$I$1232,A194)</ns0:f>
        <ns0:v>39</ns0:v>
      </ns0:c>
      <ns0:c r="G194">
        <ns0:f>COUNTIFS(Games_Raw!$K$2:$K$1232,"Yes",Games_Raw!$J$2:$J$1232,A194)</ns0:f>
        <ns0:v>43</ns0:v>
      </ns0:c>
    </ns0:row>
    <ns0:row r="195">
      <ns0:c r="A195" t="inlineStr">
        <ns0:is>
          <ns0:t>Dallas Mavericks</ns0:t>
        </ns0:is>
      </ns0:c>
      <ns0:c r="B195" t="inlineStr">
        <ns0:is>
          <ns0:t>Oklahoma City Thunder</ns0:t>
        </ns0:is>
      </ns0:c>
      <ns0:c r="C195">
        <ns0:f>COUNTIFS(Games_Raw!$K$2:$K$1232,"Yes",Games_Raw!$I$2:$I$1232,A195,Games_Raw!$J$2:$J$1232,B195)</ns0:f>
        <ns0:v>3</ns0:v>
      </ns0:c>
      <ns0:c r="D195">
        <ns0:f>COUNTIFS(Games_Raw!$K$2:$K$1232,"Yes",Games_Raw!$I$2:$I$1232,B195,Games_Raw!$J$2:$J$1232,A195)</ns0:f>
        <ns0:v>1</ns0:v>
      </ns0:c>
      <ns0:c r="E195" t="str">
        <ns0:f>C195&amp;"-"&amp;D195</ns0:f>
        <ns0:v>3-1</ns0:v>
      </ns0:c>
      <ns0:c r="F195">
        <ns0:f>COUNTIFS(Games_Raw!$K$2:$K$1232,"Yes",Games_Raw!$I$2:$I$1232,A195)</ns0:f>
        <ns0:v>39</ns0:v>
      </ns0:c>
      <ns0:c r="G195">
        <ns0:f>COUNTIFS(Games_Raw!$K$2:$K$1232,"Yes",Games_Raw!$J$2:$J$1232,A195)</ns0:f>
        <ns0:v>43</ns0:v>
      </ns0:c>
    </ns0:row>
    <ns0:row r="196">
      <ns0:c r="A196" t="inlineStr">
        <ns0:is>
          <ns0:t>Dallas Mavericks</ns0:t>
        </ns0:is>
      </ns0:c>
      <ns0:c r="B196" t="inlineStr">
        <ns0:is>
          <ns0:t>Orlando Magic</ns0:t>
        </ns0:is>
      </ns0:c>
      <ns0:c r="C196">
        <ns0:f>COUNTIFS(Games_Raw!$K$2:$K$1232,"Yes",Games_Raw!$I$2:$I$1232,A196,Games_Raw!$J$2:$J$1232,B196)</ns0:f>
        <ns0:v>2</ns0:v>
      </ns0:c>
      <ns0:c r="D196">
        <ns0:f>COUNTIFS(Games_Raw!$K$2:$K$1232,"Yes",Games_Raw!$I$2:$I$1232,B196,Games_Raw!$J$2:$J$1232,A196)</ns0:f>
        <ns0:v>0</ns0:v>
      </ns0:c>
      <ns0:c r="E196" t="str">
        <ns0:f>C196&amp;"-"&amp;D196</ns0:f>
        <ns0:v>2-0</ns0:v>
      </ns0:c>
      <ns0:c r="F196">
        <ns0:f>COUNTIFS(Games_Raw!$K$2:$K$1232,"Yes",Games_Raw!$I$2:$I$1232,A196)</ns0:f>
        <ns0:v>39</ns0:v>
      </ns0:c>
      <ns0:c r="G196">
        <ns0:f>COUNTIFS(Games_Raw!$K$2:$K$1232,"Yes",Games_Raw!$J$2:$J$1232,A196)</ns0:f>
        <ns0:v>43</ns0:v>
      </ns0:c>
    </ns0:row>
    <ns0:row r="197">
      <ns0:c r="A197" t="inlineStr">
        <ns0:is>
          <ns0:t>Dallas Mavericks</ns0:t>
        </ns0:is>
      </ns0:c>
      <ns0:c r="B197" t="inlineStr">
        <ns0:is>
          <ns0:t>Philadelphia 76ers</ns0:t>
        </ns0:is>
      </ns0:c>
      <ns0:c r="C197">
        <ns0:f>COUNTIFS(Games_Raw!$K$2:$K$1232,"Yes",Games_Raw!$I$2:$I$1232,A197,Games_Raw!$J$2:$J$1232,B197)</ns0:f>
        <ns0:v>0</ns0:v>
      </ns0:c>
      <ns0:c r="D197">
        <ns0:f>COUNTIFS(Games_Raw!$K$2:$K$1232,"Yes",Games_Raw!$I$2:$I$1232,B197,Games_Raw!$J$2:$J$1232,A197)</ns0:f>
        <ns0:v>2</ns0:v>
      </ns0:c>
      <ns0:c r="E197" t="str">
        <ns0:f>C197&amp;"-"&amp;D197</ns0:f>
        <ns0:v>0-2</ns0:v>
      </ns0:c>
      <ns0:c r="F197">
        <ns0:f>COUNTIFS(Games_Raw!$K$2:$K$1232,"Yes",Games_Raw!$I$2:$I$1232,A197)</ns0:f>
        <ns0:v>39</ns0:v>
      </ns0:c>
      <ns0:c r="G197">
        <ns0:f>COUNTIFS(Games_Raw!$K$2:$K$1232,"Yes",Games_Raw!$J$2:$J$1232,A197)</ns0:f>
        <ns0:v>43</ns0:v>
      </ns0:c>
    </ns0:row>
    <ns0:row r="198">
      <ns0:c r="A198" t="inlineStr">
        <ns0:is>
          <ns0:t>Dallas Mavericks</ns0:t>
        </ns0:is>
      </ns0:c>
      <ns0:c r="B198" t="inlineStr">
        <ns0:is>
          <ns0:t>Phoenix Suns</ns0:t>
        </ns0:is>
      </ns0:c>
      <ns0:c r="C198">
        <ns0:f>COUNTIFS(Games_Raw!$K$2:$K$1232,"Yes",Games_Raw!$I$2:$I$1232,A198,Games_Raw!$J$2:$J$1232,B198)</ns0:f>
        <ns0:v>1</ns0:v>
      </ns0:c>
      <ns0:c r="D198">
        <ns0:f>COUNTIFS(Games_Raw!$K$2:$K$1232,"Yes",Games_Raw!$I$2:$I$1232,B198,Games_Raw!$J$2:$J$1232,A198)</ns0:f>
        <ns0:v>3</ns0:v>
      </ns0:c>
      <ns0:c r="E198" t="str">
        <ns0:f>C198&amp;"-"&amp;D198</ns0:f>
        <ns0:v>1-3</ns0:v>
      </ns0:c>
      <ns0:c r="F198">
        <ns0:f>COUNTIFS(Games_Raw!$K$2:$K$1232,"Yes",Games_Raw!$I$2:$I$1232,A198)</ns0:f>
        <ns0:v>39</ns0:v>
      </ns0:c>
      <ns0:c r="G198">
        <ns0:f>COUNTIFS(Games_Raw!$K$2:$K$1232,"Yes",Games_Raw!$J$2:$J$1232,A198)</ns0:f>
        <ns0:v>43</ns0:v>
      </ns0:c>
    </ns0:row>
    <ns0:row r="199">
      <ns0:c r="A199" t="inlineStr">
        <ns0:is>
          <ns0:t>Dallas Mavericks</ns0:t>
        </ns0:is>
      </ns0:c>
      <ns0:c r="B199" t="inlineStr">
        <ns0:is>
          <ns0:t>Portland Trail Blazers</ns0:t>
        </ns0:is>
      </ns0:c>
      <ns0:c r="C199">
        <ns0:f>COUNTIFS(Games_Raw!$K$2:$K$1232,"Yes",Games_Raw!$I$2:$I$1232,A199,Games_Raw!$J$2:$J$1232,B199)</ns0:f>
        <ns0:v>3</ns0:v>
      </ns0:c>
      <ns0:c r="D199">
        <ns0:f>COUNTIFS(Games_Raw!$K$2:$K$1232,"Yes",Games_Raw!$I$2:$I$1232,B199,Games_Raw!$J$2:$J$1232,A199)</ns0:f>
        <ns0:v>1</ns0:v>
      </ns0:c>
      <ns0:c r="E199" t="str">
        <ns0:f>C199&amp;"-"&amp;D199</ns0:f>
        <ns0:v>3-1</ns0:v>
      </ns0:c>
      <ns0:c r="F199">
        <ns0:f>COUNTIFS(Games_Raw!$K$2:$K$1232,"Yes",Games_Raw!$I$2:$I$1232,A199)</ns0:f>
        <ns0:v>39</ns0:v>
      </ns0:c>
      <ns0:c r="G199">
        <ns0:f>COUNTIFS(Games_Raw!$K$2:$K$1232,"Yes",Games_Raw!$J$2:$J$1232,A199)</ns0:f>
        <ns0:v>43</ns0:v>
      </ns0:c>
    </ns0:row>
    <ns0:row r="200">
      <ns0:c r="A200" t="inlineStr">
        <ns0:is>
          <ns0:t>Dallas Mavericks</ns0:t>
        </ns0:is>
      </ns0:c>
      <ns0:c r="B200" t="inlineStr">
        <ns0:is>
          <ns0:t>Sacramento Kings</ns0:t>
        </ns0:is>
      </ns0:c>
      <ns0:c r="C200">
        <ns0:f>COUNTIFS(Games_Raw!$K$2:$K$1232,"Yes",Games_Raw!$I$2:$I$1232,A200,Games_Raw!$J$2:$J$1232,B200)</ns0:f>
        <ns0:v>0</ns0:v>
      </ns0:c>
      <ns0:c r="D200">
        <ns0:f>COUNTIFS(Games_Raw!$K$2:$K$1232,"Yes",Games_Raw!$I$2:$I$1232,B200,Games_Raw!$J$2:$J$1232,A200)</ns0:f>
        <ns0:v>3</ns0:v>
      </ns0:c>
      <ns0:c r="E200" t="str">
        <ns0:f>C200&amp;"-"&amp;D200</ns0:f>
        <ns0:v>0-3</ns0:v>
      </ns0:c>
      <ns0:c r="F200">
        <ns0:f>COUNTIFS(Games_Raw!$K$2:$K$1232,"Yes",Games_Raw!$I$2:$I$1232,A200)</ns0:f>
        <ns0:v>39</ns0:v>
      </ns0:c>
      <ns0:c r="G200">
        <ns0:f>COUNTIFS(Games_Raw!$K$2:$K$1232,"Yes",Games_Raw!$J$2:$J$1232,A200)</ns0:f>
        <ns0:v>43</ns0:v>
      </ns0:c>
    </ns0:row>
    <ns0:row r="201">
      <ns0:c r="A201" t="inlineStr">
        <ns0:is>
          <ns0:t>Dallas Mavericks</ns0:t>
        </ns0:is>
      </ns0:c>
      <ns0:c r="B201" t="inlineStr">
        <ns0:is>
          <ns0:t>San Antonio Spurs</ns0:t>
        </ns0:is>
      </ns0:c>
      <ns0:c r="C201">
        <ns0:f>COUNTIFS(Games_Raw!$K$2:$K$1232,"Yes",Games_Raw!$I$2:$I$1232,A201,Games_Raw!$J$2:$J$1232,B201)</ns0:f>
        <ns0:v>3</ns0:v>
      </ns0:c>
      <ns0:c r="D201">
        <ns0:f>COUNTIFS(Games_Raw!$K$2:$K$1232,"Yes",Games_Raw!$I$2:$I$1232,B201,Games_Raw!$J$2:$J$1232,A201)</ns0:f>
        <ns0:v>1</ns0:v>
      </ns0:c>
      <ns0:c r="E201" t="str">
        <ns0:f>C201&amp;"-"&amp;D201</ns0:f>
        <ns0:v>3-1</ns0:v>
      </ns0:c>
      <ns0:c r="F201">
        <ns0:f>COUNTIFS(Games_Raw!$K$2:$K$1232,"Yes",Games_Raw!$I$2:$I$1232,A201)</ns0:f>
        <ns0:v>39</ns0:v>
      </ns0:c>
      <ns0:c r="G201">
        <ns0:f>COUNTIFS(Games_Raw!$K$2:$K$1232,"Yes",Games_Raw!$J$2:$J$1232,A201)</ns0:f>
        <ns0:v>43</ns0:v>
      </ns0:c>
    </ns0:row>
    <ns0:row r="202">
      <ns0:c r="A202" t="inlineStr">
        <ns0:is>
          <ns0:t>Dallas Mavericks</ns0:t>
        </ns0:is>
      </ns0:c>
      <ns0:c r="B202" t="inlineStr">
        <ns0:is>
          <ns0:t>Toronto Raptors</ns0:t>
        </ns0:is>
      </ns0:c>
      <ns0:c r="C202">
        <ns0:f>COUNTIFS(Games_Raw!$K$2:$K$1232,"Yes",Games_Raw!$I$2:$I$1232,A202,Games_Raw!$J$2:$J$1232,B202)</ns0:f>
        <ns0:v>2</ns0:v>
      </ns0:c>
      <ns0:c r="D202">
        <ns0:f>COUNTIFS(Games_Raw!$K$2:$K$1232,"Yes",Games_Raw!$I$2:$I$1232,B202,Games_Raw!$J$2:$J$1232,A202)</ns0:f>
        <ns0:v>0</ns0:v>
      </ns0:c>
      <ns0:c r="E202" t="str">
        <ns0:f>C202&amp;"-"&amp;D202</ns0:f>
        <ns0:v>2-0</ns0:v>
      </ns0:c>
      <ns0:c r="F202">
        <ns0:f>COUNTIFS(Games_Raw!$K$2:$K$1232,"Yes",Games_Raw!$I$2:$I$1232,A202)</ns0:f>
        <ns0:v>39</ns0:v>
      </ns0:c>
      <ns0:c r="G202">
        <ns0:f>COUNTIFS(Games_Raw!$K$2:$K$1232,"Yes",Games_Raw!$J$2:$J$1232,A202)</ns0:f>
        <ns0:v>43</ns0:v>
      </ns0:c>
    </ns0:row>
    <ns0:row r="203">
      <ns0:c r="A203" t="inlineStr">
        <ns0:is>
          <ns0:t>Dallas Mavericks</ns0:t>
        </ns0:is>
      </ns0:c>
      <ns0:c r="B203" t="inlineStr">
        <ns0:is>
          <ns0:t>Utah Jazz</ns0:t>
        </ns0:is>
      </ns0:c>
      <ns0:c r="C203">
        <ns0:f>COUNTIFS(Games_Raw!$K$2:$K$1232,"Yes",Games_Raw!$I$2:$I$1232,A203,Games_Raw!$J$2:$J$1232,B203)</ns0:f>
        <ns0:v>2</ns0:v>
      </ns0:c>
      <ns0:c r="D203">
        <ns0:f>COUNTIFS(Games_Raw!$K$2:$K$1232,"Yes",Games_Raw!$I$2:$I$1232,B203,Games_Raw!$J$2:$J$1232,A203)</ns0:f>
        <ns0:v>1</ns0:v>
      </ns0:c>
      <ns0:c r="E203" t="str">
        <ns0:f>C203&amp;"-"&amp;D203</ns0:f>
        <ns0:v>2-1</ns0:v>
      </ns0:c>
      <ns0:c r="F203">
        <ns0:f>COUNTIFS(Games_Raw!$K$2:$K$1232,"Yes",Games_Raw!$I$2:$I$1232,A203)</ns0:f>
        <ns0:v>39</ns0:v>
      </ns0:c>
      <ns0:c r="G203">
        <ns0:f>COUNTIFS(Games_Raw!$K$2:$K$1232,"Yes",Games_Raw!$J$2:$J$1232,A203)</ns0:f>
        <ns0:v>43</ns0:v>
      </ns0:c>
    </ns0:row>
    <ns0:row r="204">
      <ns0:c r="A204" t="inlineStr">
        <ns0:is>
          <ns0:t>Dallas Mavericks</ns0:t>
        </ns0:is>
      </ns0:c>
      <ns0:c r="B204" t="inlineStr">
        <ns0:is>
          <ns0:t>Washington Wizards</ns0:t>
        </ns0:is>
      </ns0:c>
      <ns0:c r="C204">
        <ns0:f>COUNTIFS(Games_Raw!$K$2:$K$1232,"Yes",Games_Raw!$I$2:$I$1232,A204,Games_Raw!$J$2:$J$1232,B204)</ns0:f>
        <ns0:v>2</ns0:v>
      </ns0:c>
      <ns0:c r="D204">
        <ns0:f>COUNTIFS(Games_Raw!$K$2:$K$1232,"Yes",Games_Raw!$I$2:$I$1232,B204,Games_Raw!$J$2:$J$1232,A204)</ns0:f>
        <ns0:v>0</ns0:v>
      </ns0:c>
      <ns0:c r="E204" t="str">
        <ns0:f>C204&amp;"-"&amp;D204</ns0:f>
        <ns0:v>2-0</ns0:v>
      </ns0:c>
      <ns0:c r="F204">
        <ns0:f>COUNTIFS(Games_Raw!$K$2:$K$1232,"Yes",Games_Raw!$I$2:$I$1232,A204)</ns0:f>
        <ns0:v>39</ns0:v>
      </ns0:c>
      <ns0:c r="G204">
        <ns0:f>COUNTIFS(Games_Raw!$K$2:$K$1232,"Yes",Games_Raw!$J$2:$J$1232,A204)</ns0:f>
        <ns0:v>43</ns0:v>
      </ns0:c>
    </ns0:row>
    <ns0:row r="205">
      <ns0:c r="A205" t="inlineStr">
        <ns0:is>
          <ns0:t>Denver Nuggets</ns0:t>
        </ns0:is>
      </ns0:c>
      <ns0:c r="B205" t="inlineStr">
        <ns0:is>
          <ns0:t>Atlanta Hawks</ns0:t>
        </ns0:is>
      </ns0:c>
      <ns0:c r="C205">
        <ns0:f>COUNTIFS(Games_Raw!$K$2:$K$1232,"Yes",Games_Raw!$I$2:$I$1232,A205,Games_Raw!$J$2:$J$1232,B205)</ns0:f>
        <ns0:v>2</ns0:v>
      </ns0:c>
      <ns0:c r="D205">
        <ns0:f>COUNTIFS(Games_Raw!$K$2:$K$1232,"Yes",Games_Raw!$I$2:$I$1232,B205,Games_Raw!$J$2:$J$1232,A205)</ns0:f>
        <ns0:v>0</ns0:v>
      </ns0:c>
      <ns0:c r="E205" t="str">
        <ns0:f>C205&amp;"-"&amp;D205</ns0:f>
        <ns0:v>2-0</ns0:v>
      </ns0:c>
      <ns0:c r="F205">
        <ns0:f>COUNTIFS(Games_Raw!$K$2:$K$1232,"Yes",Games_Raw!$I$2:$I$1232,A205)</ns0:f>
        <ns0:v>50</ns0:v>
      </ns0:c>
      <ns0:c r="G205">
        <ns0:f>COUNTIFS(Games_Raw!$K$2:$K$1232,"Yes",Games_Raw!$J$2:$J$1232,A205)</ns0:f>
        <ns0:v>32</ns0:v>
      </ns0:c>
    </ns0:row>
    <ns0:row r="206">
      <ns0:c r="A206" t="inlineStr">
        <ns0:is>
          <ns0:t>Denver Nuggets</ns0:t>
        </ns0:is>
      </ns0:c>
      <ns0:c r="B206" t="inlineStr">
        <ns0:is>
          <ns0:t>Boston Celtics</ns0:t>
        </ns0:is>
      </ns0:c>
      <ns0:c r="C206">
        <ns0:f>COUNTIFS(Games_Raw!$K$2:$K$1232,"Yes",Games_Raw!$I$2:$I$1232,A206,Games_Raw!$J$2:$J$1232,B206)</ns0:f>
        <ns0:v>0</ns0:v>
      </ns0:c>
      <ns0:c r="D206">
        <ns0:f>COUNTIFS(Games_Raw!$K$2:$K$1232,"Yes",Games_Raw!$I$2:$I$1232,B206,Games_Raw!$J$2:$J$1232,A206)</ns0:f>
        <ns0:v>2</ns0:v>
      </ns0:c>
      <ns0:c r="E206" t="str">
        <ns0:f>C206&amp;"-"&amp;D206</ns0:f>
        <ns0:v>0-2</ns0:v>
      </ns0:c>
      <ns0:c r="F206">
        <ns0:f>COUNTIFS(Games_Raw!$K$2:$K$1232,"Yes",Games_Raw!$I$2:$I$1232,A206)</ns0:f>
        <ns0:v>50</ns0:v>
      </ns0:c>
      <ns0:c r="G206">
        <ns0:f>COUNTIFS(Games_Raw!$K$2:$K$1232,"Yes",Games_Raw!$J$2:$J$1232,A206)</ns0:f>
        <ns0:v>32</ns0:v>
      </ns0:c>
    </ns0:row>
    <ns0:row r="207">
      <ns0:c r="A207" t="inlineStr">
        <ns0:is>
          <ns0:t>Denver Nuggets</ns0:t>
        </ns0:is>
      </ns0:c>
      <ns0:c r="B207" t="inlineStr">
        <ns0:is>
          <ns0:t>Brooklyn Nets</ns0:t>
        </ns0:is>
      </ns0:c>
      <ns0:c r="C207">
        <ns0:f>COUNTIFS(Games_Raw!$K$2:$K$1232,"Yes",Games_Raw!$I$2:$I$1232,A207,Games_Raw!$J$2:$J$1232,B207)</ns0:f>
        <ns0:v>2</ns0:v>
      </ns0:c>
      <ns0:c r="D207">
        <ns0:f>COUNTIFS(Games_Raw!$K$2:$K$1232,"Yes",Games_Raw!$I$2:$I$1232,B207,Games_Raw!$J$2:$J$1232,A207)</ns0:f>
        <ns0:v>0</ns0:v>
      </ns0:c>
      <ns0:c r="E207" t="str">
        <ns0:f>C207&amp;"-"&amp;D207</ns0:f>
        <ns0:v>2-0</ns0:v>
      </ns0:c>
      <ns0:c r="F207">
        <ns0:f>COUNTIFS(Games_Raw!$K$2:$K$1232,"Yes",Games_Raw!$I$2:$I$1232,A207)</ns0:f>
        <ns0:v>50</ns0:v>
      </ns0:c>
      <ns0:c r="G207">
        <ns0:f>COUNTIFS(Games_Raw!$K$2:$K$1232,"Yes",Games_Raw!$J$2:$J$1232,A207)</ns0:f>
        <ns0:v>32</ns0:v>
      </ns0:c>
    </ns0:row>
    <ns0:row r="208">
      <ns0:c r="A208" t="inlineStr">
        <ns0:is>
          <ns0:t>Denver Nuggets</ns0:t>
        </ns0:is>
      </ns0:c>
      <ns0:c r="B208" t="inlineStr">
        <ns0:is>
          <ns0:t>Charlotte Hornets</ns0:t>
        </ns0:is>
      </ns0:c>
      <ns0:c r="C208">
        <ns0:f>COUNTIFS(Games_Raw!$K$2:$K$1232,"Yes",Games_Raw!$I$2:$I$1232,A208,Games_Raw!$J$2:$J$1232,B208)</ns0:f>
        <ns0:v>2</ns0:v>
      </ns0:c>
      <ns0:c r="D208">
        <ns0:f>COUNTIFS(Games_Raw!$K$2:$K$1232,"Yes",Games_Raw!$I$2:$I$1232,B208,Games_Raw!$J$2:$J$1232,A208)</ns0:f>
        <ns0:v>0</ns0:v>
      </ns0:c>
      <ns0:c r="E208" t="str">
        <ns0:f>C208&amp;"-"&amp;D208</ns0:f>
        <ns0:v>2-0</ns0:v>
      </ns0:c>
      <ns0:c r="F208">
        <ns0:f>COUNTIFS(Games_Raw!$K$2:$K$1232,"Yes",Games_Raw!$I$2:$I$1232,A208)</ns0:f>
        <ns0:v>50</ns0:v>
      </ns0:c>
      <ns0:c r="G208">
        <ns0:f>COUNTIFS(Games_Raw!$K$2:$K$1232,"Yes",Games_Raw!$J$2:$J$1232,A208)</ns0:f>
        <ns0:v>32</ns0:v>
      </ns0:c>
    </ns0:row>
    <ns0:row r="209">
      <ns0:c r="A209" t="inlineStr">
        <ns0:is>
          <ns0:t>Denver Nuggets</ns0:t>
        </ns0:is>
      </ns0:c>
      <ns0:c r="B209" t="inlineStr">
        <ns0:is>
          <ns0:t>Chicago Bulls</ns0:t>
        </ns0:is>
      </ns0:c>
      <ns0:c r="C209">
        <ns0:f>COUNTIFS(Games_Raw!$K$2:$K$1232,"Yes",Games_Raw!$I$2:$I$1232,A209,Games_Raw!$J$2:$J$1232,B209)</ns0:f>
        <ns0:v>0</ns0:v>
      </ns0:c>
      <ns0:c r="D209">
        <ns0:f>COUNTIFS(Games_Raw!$K$2:$K$1232,"Yes",Games_Raw!$I$2:$I$1232,B209,Games_Raw!$J$2:$J$1232,A209)</ns0:f>
        <ns0:v>2</ns0:v>
      </ns0:c>
      <ns0:c r="E209" t="str">
        <ns0:f>C209&amp;"-"&amp;D209</ns0:f>
        <ns0:v>0-2</ns0:v>
      </ns0:c>
      <ns0:c r="F209">
        <ns0:f>COUNTIFS(Games_Raw!$K$2:$K$1232,"Yes",Games_Raw!$I$2:$I$1232,A209)</ns0:f>
        <ns0:v>50</ns0:v>
      </ns0:c>
      <ns0:c r="G209">
        <ns0:f>COUNTIFS(Games_Raw!$K$2:$K$1232,"Yes",Games_Raw!$J$2:$J$1232,A209)</ns0:f>
        <ns0:v>32</ns0:v>
      </ns0:c>
    </ns0:row>
    <ns0:row r="210">
      <ns0:c r="A210" t="inlineStr">
        <ns0:is>
          <ns0:t>Denver Nuggets</ns0:t>
        </ns0:is>
      </ns0:c>
      <ns0:c r="B210" t="inlineStr">
        <ns0:is>
          <ns0:t>Cleveland Cavaliers</ns0:t>
        </ns0:is>
      </ns0:c>
      <ns0:c r="C210">
        <ns0:f>COUNTIFS(Games_Raw!$K$2:$K$1232,"Yes",Games_Raw!$I$2:$I$1232,A210,Games_Raw!$J$2:$J$1232,B210)</ns0:f>
        <ns0:v>0</ns0:v>
      </ns0:c>
      <ns0:c r="D210">
        <ns0:f>COUNTIFS(Games_Raw!$K$2:$K$1232,"Yes",Games_Raw!$I$2:$I$1232,B210,Games_Raw!$J$2:$J$1232,A210)</ns0:f>
        <ns0:v>2</ns0:v>
      </ns0:c>
      <ns0:c r="E210" t="str">
        <ns0:f>C210&amp;"-"&amp;D210</ns0:f>
        <ns0:v>0-2</ns0:v>
      </ns0:c>
      <ns0:c r="F210">
        <ns0:f>COUNTIFS(Games_Raw!$K$2:$K$1232,"Yes",Games_Raw!$I$2:$I$1232,A210)</ns0:f>
        <ns0:v>50</ns0:v>
      </ns0:c>
      <ns0:c r="G210">
        <ns0:f>COUNTIFS(Games_Raw!$K$2:$K$1232,"Yes",Games_Raw!$J$2:$J$1232,A210)</ns0:f>
        <ns0:v>32</ns0:v>
      </ns0:c>
    </ns0:row>
    <ns0:row r="211">
      <ns0:c r="A211" t="inlineStr">
        <ns0:is>
          <ns0:t>Denver Nuggets</ns0:t>
        </ns0:is>
      </ns0:c>
      <ns0:c r="B211" t="inlineStr">
        <ns0:is>
          <ns0:t>Dallas Mavericks</ns0:t>
        </ns0:is>
      </ns0:c>
      <ns0:c r="C211">
        <ns0:f>COUNTIFS(Games_Raw!$K$2:$K$1232,"Yes",Games_Raw!$I$2:$I$1232,A211,Games_Raw!$J$2:$J$1232,B211)</ns0:f>
        <ns0:v>3</ns0:v>
      </ns0:c>
      <ns0:c r="D211">
        <ns0:f>COUNTIFS(Games_Raw!$K$2:$K$1232,"Yes",Games_Raw!$I$2:$I$1232,B211,Games_Raw!$J$2:$J$1232,A211)</ns0:f>
        <ns0:v>1</ns0:v>
      </ns0:c>
      <ns0:c r="E211" t="str">
        <ns0:f>C211&amp;"-"&amp;D211</ns0:f>
        <ns0:v>3-1</ns0:v>
      </ns0:c>
      <ns0:c r="F211">
        <ns0:f>COUNTIFS(Games_Raw!$K$2:$K$1232,"Yes",Games_Raw!$I$2:$I$1232,A211)</ns0:f>
        <ns0:v>50</ns0:v>
      </ns0:c>
      <ns0:c r="G211">
        <ns0:f>COUNTIFS(Games_Raw!$K$2:$K$1232,"Yes",Games_Raw!$J$2:$J$1232,A211)</ns0:f>
        <ns0:v>32</ns0:v>
      </ns0:c>
    </ns0:row>
    <ns0:row r="212">
      <ns0:c r="A212" t="inlineStr">
        <ns0:is>
          <ns0:t>Denver Nuggets</ns0:t>
        </ns0:is>
      </ns0:c>
      <ns0:c r="B212" t="inlineStr">
        <ns0:is>
          <ns0:t>Detroit Pistons</ns0:t>
        </ns0:is>
      </ns0:c>
      <ns0:c r="C212">
        <ns0:f>COUNTIFS(Games_Raw!$K$2:$K$1232,"Yes",Games_Raw!$I$2:$I$1232,A212,Games_Raw!$J$2:$J$1232,B212)</ns0:f>
        <ns0:v>2</ns0:v>
      </ns0:c>
      <ns0:c r="D212">
        <ns0:f>COUNTIFS(Games_Raw!$K$2:$K$1232,"Yes",Games_Raw!$I$2:$I$1232,B212,Games_Raw!$J$2:$J$1232,A212)</ns0:f>
        <ns0:v>0</ns0:v>
      </ns0:c>
      <ns0:c r="E212" t="str">
        <ns0:f>C212&amp;"-"&amp;D212</ns0:f>
        <ns0:v>2-0</ns0:v>
      </ns0:c>
      <ns0:c r="F212">
        <ns0:f>COUNTIFS(Games_Raw!$K$2:$K$1232,"Yes",Games_Raw!$I$2:$I$1232,A212)</ns0:f>
        <ns0:v>50</ns0:v>
      </ns0:c>
      <ns0:c r="G212">
        <ns0:f>COUNTIFS(Games_Raw!$K$2:$K$1232,"Yes",Games_Raw!$J$2:$J$1232,A212)</ns0:f>
        <ns0:v>32</ns0:v>
      </ns0:c>
    </ns0:row>
    <ns0:row r="213">
      <ns0:c r="A213" t="inlineStr">
        <ns0:is>
          <ns0:t>Denver Nuggets</ns0:t>
        </ns0:is>
      </ns0:c>
      <ns0:c r="B213" t="inlineStr">
        <ns0:is>
          <ns0:t>Golden State Warriors</ns0:t>
        </ns0:is>
      </ns0:c>
      <ns0:c r="C213">
        <ns0:f>COUNTIFS(Games_Raw!$K$2:$K$1232,"Yes",Games_Raw!$I$2:$I$1232,A213,Games_Raw!$J$2:$J$1232,B213)</ns0:f>
        <ns0:v>2</ns0:v>
      </ns0:c>
      <ns0:c r="D213">
        <ns0:f>COUNTIFS(Games_Raw!$K$2:$K$1232,"Yes",Games_Raw!$I$2:$I$1232,B213,Games_Raw!$J$2:$J$1232,A213)</ns0:f>
        <ns0:v>1</ns0:v>
      </ns0:c>
      <ns0:c r="E213" t="str">
        <ns0:f>C213&amp;"-"&amp;D213</ns0:f>
        <ns0:v>2-1</ns0:v>
      </ns0:c>
      <ns0:c r="F213">
        <ns0:f>COUNTIFS(Games_Raw!$K$2:$K$1232,"Yes",Games_Raw!$I$2:$I$1232,A213)</ns0:f>
        <ns0:v>50</ns0:v>
      </ns0:c>
      <ns0:c r="G213">
        <ns0:f>COUNTIFS(Games_Raw!$K$2:$K$1232,"Yes",Games_Raw!$J$2:$J$1232,A213)</ns0:f>
        <ns0:v>32</ns0:v>
      </ns0:c>
    </ns0:row>
    <ns0:row r="214">
      <ns0:c r="A214" t="inlineStr">
        <ns0:is>
          <ns0:t>Denver Nuggets</ns0:t>
        </ns0:is>
      </ns0:c>
      <ns0:c r="B214" t="inlineStr">
        <ns0:is>
          <ns0:t>Houston Rockets</ns0:t>
        </ns0:is>
      </ns0:c>
      <ns0:c r="C214">
        <ns0:f>COUNTIFS(Games_Raw!$K$2:$K$1232,"Yes",Games_Raw!$I$2:$I$1232,A214,Games_Raw!$J$2:$J$1232,B214)</ns0:f>
        <ns0:v>2</ns0:v>
      </ns0:c>
      <ns0:c r="D214">
        <ns0:f>COUNTIFS(Games_Raw!$K$2:$K$1232,"Yes",Games_Raw!$I$2:$I$1232,B214,Games_Raw!$J$2:$J$1232,A214)</ns0:f>
        <ns0:v>1</ns0:v>
      </ns0:c>
      <ns0:c r="E214" t="str">
        <ns0:f>C214&amp;"-"&amp;D214</ns0:f>
        <ns0:v>2-1</ns0:v>
      </ns0:c>
      <ns0:c r="F214">
        <ns0:f>COUNTIFS(Games_Raw!$K$2:$K$1232,"Yes",Games_Raw!$I$2:$I$1232,A214)</ns0:f>
        <ns0:v>50</ns0:v>
      </ns0:c>
      <ns0:c r="G214">
        <ns0:f>COUNTIFS(Games_Raw!$K$2:$K$1232,"Yes",Games_Raw!$J$2:$J$1232,A214)</ns0:f>
        <ns0:v>32</ns0:v>
      </ns0:c>
    </ns0:row>
    <ns0:row r="215">
      <ns0:c r="A215" t="inlineStr">
        <ns0:is>
          <ns0:t>Denver Nuggets</ns0:t>
        </ns0:is>
      </ns0:c>
      <ns0:c r="B215" t="inlineStr">
        <ns0:is>
          <ns0:t>Indiana Pacers</ns0:t>
        </ns0:is>
      </ns0:c>
      <ns0:c r="C215">
        <ns0:f>COUNTIFS(Games_Raw!$K$2:$K$1232,"Yes",Games_Raw!$I$2:$I$1232,A215,Games_Raw!$J$2:$J$1232,B215)</ns0:f>
        <ns0:v>1</ns0:v>
      </ns0:c>
      <ns0:c r="D215">
        <ns0:f>COUNTIFS(Games_Raw!$K$2:$K$1232,"Yes",Games_Raw!$I$2:$I$1232,B215,Games_Raw!$J$2:$J$1232,A215)</ns0:f>
        <ns0:v>1</ns0:v>
      </ns0:c>
      <ns0:c r="E215" t="str">
        <ns0:f>C215&amp;"-"&amp;D215</ns0:f>
        <ns0:v>1-1</ns0:v>
      </ns0:c>
      <ns0:c r="F215">
        <ns0:f>COUNTIFS(Games_Raw!$K$2:$K$1232,"Yes",Games_Raw!$I$2:$I$1232,A215)</ns0:f>
        <ns0:v>50</ns0:v>
      </ns0:c>
      <ns0:c r="G215">
        <ns0:f>COUNTIFS(Games_Raw!$K$2:$K$1232,"Yes",Games_Raw!$J$2:$J$1232,A215)</ns0:f>
        <ns0:v>32</ns0:v>
      </ns0:c>
    </ns0:row>
    <ns0:row r="216">
      <ns0:c r="A216" t="inlineStr">
        <ns0:is>
          <ns0:t>Denver Nuggets</ns0:t>
        </ns0:is>
      </ns0:c>
      <ns0:c r="B216" t="inlineStr">
        <ns0:is>
          <ns0:t>LA Clippers</ns0:t>
        </ns0:is>
      </ns0:c>
      <ns0:c r="C216">
        <ns0:f>COUNTIFS(Games_Raw!$K$2:$K$1232,"Yes",Games_Raw!$I$2:$I$1232,A216,Games_Raw!$J$2:$J$1232,B216)</ns0:f>
        <ns0:v>2</ns0:v>
      </ns0:c>
      <ns0:c r="D216">
        <ns0:f>COUNTIFS(Games_Raw!$K$2:$K$1232,"Yes",Games_Raw!$I$2:$I$1232,B216,Games_Raw!$J$2:$J$1232,A216)</ns0:f>
        <ns0:v>2</ns0:v>
      </ns0:c>
      <ns0:c r="E216" t="str">
        <ns0:f>C216&amp;"-"&amp;D216</ns0:f>
        <ns0:v>2-2</ns0:v>
      </ns0:c>
      <ns0:c r="F216">
        <ns0:f>COUNTIFS(Games_Raw!$K$2:$K$1232,"Yes",Games_Raw!$I$2:$I$1232,A216)</ns0:f>
        <ns0:v>50</ns0:v>
      </ns0:c>
      <ns0:c r="G216">
        <ns0:f>COUNTIFS(Games_Raw!$K$2:$K$1232,"Yes",Games_Raw!$J$2:$J$1232,A216)</ns0:f>
        <ns0:v>32</ns0:v>
      </ns0:c>
    </ns0:row>
    <ns0:row r="217">
      <ns0:c r="A217" t="inlineStr">
        <ns0:is>
          <ns0:t>Denver Nuggets</ns0:t>
        </ns0:is>
      </ns0:c>
      <ns0:c r="B217" t="inlineStr">
        <ns0:is>
          <ns0:t>Los Angeles Lakers</ns0:t>
        </ns0:is>
      </ns0:c>
      <ns0:c r="C217">
        <ns0:f>COUNTIFS(Games_Raw!$K$2:$K$1232,"Yes",Games_Raw!$I$2:$I$1232,A217,Games_Raw!$J$2:$J$1232,B217)</ns0:f>
        <ns0:v>2</ns0:v>
      </ns0:c>
      <ns0:c r="D217">
        <ns0:f>COUNTIFS(Games_Raw!$K$2:$K$1232,"Yes",Games_Raw!$I$2:$I$1232,B217,Games_Raw!$J$2:$J$1232,A217)</ns0:f>
        <ns0:v>2</ns0:v>
      </ns0:c>
      <ns0:c r="E217" t="str">
        <ns0:f>C217&amp;"-"&amp;D217</ns0:f>
        <ns0:v>2-2</ns0:v>
      </ns0:c>
      <ns0:c r="F217">
        <ns0:f>COUNTIFS(Games_Raw!$K$2:$K$1232,"Yes",Games_Raw!$I$2:$I$1232,A217)</ns0:f>
        <ns0:v>50</ns0:v>
      </ns0:c>
      <ns0:c r="G217">
        <ns0:f>COUNTIFS(Games_Raw!$K$2:$K$1232,"Yes",Games_Raw!$J$2:$J$1232,A217)</ns0:f>
        <ns0:v>32</ns0:v>
      </ns0:c>
    </ns0:row>
    <ns0:row r="218">
      <ns0:c r="A218" t="inlineStr">
        <ns0:is>
          <ns0:t>Denver Nuggets</ns0:t>
        </ns0:is>
      </ns0:c>
      <ns0:c r="B218" t="inlineStr">
        <ns0:is>
          <ns0:t>Memphis Grizzlies</ns0:t>
        </ns0:is>
      </ns0:c>
      <ns0:c r="C218">
        <ns0:f>COUNTIFS(Games_Raw!$K$2:$K$1232,"Yes",Games_Raw!$I$2:$I$1232,A218,Games_Raw!$J$2:$J$1232,B218)</ns0:f>
        <ns0:v>2</ns0:v>
      </ns0:c>
      <ns0:c r="D218">
        <ns0:f>COUNTIFS(Games_Raw!$K$2:$K$1232,"Yes",Games_Raw!$I$2:$I$1232,B218,Games_Raw!$J$2:$J$1232,A218)</ns0:f>
        <ns0:v>1</ns0:v>
      </ns0:c>
      <ns0:c r="E218" t="str">
        <ns0:f>C218&amp;"-"&amp;D218</ns0:f>
        <ns0:v>2-1</ns0:v>
      </ns0:c>
      <ns0:c r="F218">
        <ns0:f>COUNTIFS(Games_Raw!$K$2:$K$1232,"Yes",Games_Raw!$I$2:$I$1232,A218)</ns0:f>
        <ns0:v>50</ns0:v>
      </ns0:c>
      <ns0:c r="G218">
        <ns0:f>COUNTIFS(Games_Raw!$K$2:$K$1232,"Yes",Games_Raw!$J$2:$J$1232,A218)</ns0:f>
        <ns0:v>32</ns0:v>
      </ns0:c>
    </ns0:row>
    <ns0:row r="219">
      <ns0:c r="A219" t="inlineStr">
        <ns0:is>
          <ns0:t>Denver Nuggets</ns0:t>
        </ns0:is>
      </ns0:c>
      <ns0:c r="B219" t="inlineStr">
        <ns0:is>
          <ns0:t>Miami Heat</ns0:t>
        </ns0:is>
      </ns0:c>
      <ns0:c r="C219">
        <ns0:f>COUNTIFS(Games_Raw!$K$2:$K$1232,"Yes",Games_Raw!$I$2:$I$1232,A219,Games_Raw!$J$2:$J$1232,B219)</ns0:f>
        <ns0:v>2</ns0:v>
      </ns0:c>
      <ns0:c r="D219">
        <ns0:f>COUNTIFS(Games_Raw!$K$2:$K$1232,"Yes",Games_Raw!$I$2:$I$1232,B219,Games_Raw!$J$2:$J$1232,A219)</ns0:f>
        <ns0:v>0</ns0:v>
      </ns0:c>
      <ns0:c r="E219" t="str">
        <ns0:f>C219&amp;"-"&amp;D219</ns0:f>
        <ns0:v>2-0</ns0:v>
      </ns0:c>
      <ns0:c r="F219">
        <ns0:f>COUNTIFS(Games_Raw!$K$2:$K$1232,"Yes",Games_Raw!$I$2:$I$1232,A219)</ns0:f>
        <ns0:v>50</ns0:v>
      </ns0:c>
      <ns0:c r="G219">
        <ns0:f>COUNTIFS(Games_Raw!$K$2:$K$1232,"Yes",Games_Raw!$J$2:$J$1232,A219)</ns0:f>
        <ns0:v>32</ns0:v>
      </ns0:c>
    </ns0:row>
    <ns0:row r="220">
      <ns0:c r="A220" t="inlineStr">
        <ns0:is>
          <ns0:t>Denver Nuggets</ns0:t>
        </ns0:is>
      </ns0:c>
      <ns0:c r="B220" t="inlineStr">
        <ns0:is>
          <ns0:t>Milwaukee Bucks</ns0:t>
        </ns0:is>
      </ns0:c>
      <ns0:c r="C220">
        <ns0:f>COUNTIFS(Games_Raw!$K$2:$K$1232,"Yes",Games_Raw!$I$2:$I$1232,A220,Games_Raw!$J$2:$J$1232,B220)</ns0:f>
        <ns0:v>1</ns0:v>
      </ns0:c>
      <ns0:c r="D220">
        <ns0:f>COUNTIFS(Games_Raw!$K$2:$K$1232,"Yes",Games_Raw!$I$2:$I$1232,B220,Games_Raw!$J$2:$J$1232,A220)</ns0:f>
        <ns0:v>1</ns0:v>
      </ns0:c>
      <ns0:c r="E220" t="str">
        <ns0:f>C220&amp;"-"&amp;D220</ns0:f>
        <ns0:v>1-1</ns0:v>
      </ns0:c>
      <ns0:c r="F220">
        <ns0:f>COUNTIFS(Games_Raw!$K$2:$K$1232,"Yes",Games_Raw!$I$2:$I$1232,A220)</ns0:f>
        <ns0:v>50</ns0:v>
      </ns0:c>
      <ns0:c r="G220">
        <ns0:f>COUNTIFS(Games_Raw!$K$2:$K$1232,"Yes",Games_Raw!$J$2:$J$1232,A220)</ns0:f>
        <ns0:v>32</ns0:v>
      </ns0:c>
    </ns0:row>
    <ns0:row r="221">
      <ns0:c r="A221" t="inlineStr">
        <ns0:is>
          <ns0:t>Denver Nuggets</ns0:t>
        </ns0:is>
      </ns0:c>
      <ns0:c r="B221" t="inlineStr">
        <ns0:is>
          <ns0:t>Minnesota Timberwolves</ns0:t>
        </ns0:is>
      </ns0:c>
      <ns0:c r="C221">
        <ns0:f>COUNTIFS(Games_Raw!$K$2:$K$1232,"Yes",Games_Raw!$I$2:$I$1232,A221,Games_Raw!$J$2:$J$1232,B221)</ns0:f>
        <ns0:v>0</ns0:v>
      </ns0:c>
      <ns0:c r="D221">
        <ns0:f>COUNTIFS(Games_Raw!$K$2:$K$1232,"Yes",Games_Raw!$I$2:$I$1232,B221,Games_Raw!$J$2:$J$1232,A221)</ns0:f>
        <ns0:v>4</ns0:v>
      </ns0:c>
      <ns0:c r="E221" t="str">
        <ns0:f>C221&amp;"-"&amp;D221</ns0:f>
        <ns0:v>0-4</ns0:v>
      </ns0:c>
      <ns0:c r="F221">
        <ns0:f>COUNTIFS(Games_Raw!$K$2:$K$1232,"Yes",Games_Raw!$I$2:$I$1232,A221)</ns0:f>
        <ns0:v>50</ns0:v>
      </ns0:c>
      <ns0:c r="G221">
        <ns0:f>COUNTIFS(Games_Raw!$K$2:$K$1232,"Yes",Games_Raw!$J$2:$J$1232,A221)</ns0:f>
        <ns0:v>32</ns0:v>
      </ns0:c>
    </ns0:row>
    <ns0:row r="222">
      <ns0:c r="A222" t="inlineStr">
        <ns0:is>
          <ns0:t>Denver Nuggets</ns0:t>
        </ns0:is>
      </ns0:c>
      <ns0:c r="B222" t="inlineStr">
        <ns0:is>
          <ns0:t>New Orleans Pelicans</ns0:t>
        </ns0:is>
      </ns0:c>
      <ns0:c r="C222">
        <ns0:f>COUNTIFS(Games_Raw!$K$2:$K$1232,"Yes",Games_Raw!$I$2:$I$1232,A222,Games_Raw!$J$2:$J$1232,B222)</ns0:f>
        <ns0:v>3</ns0:v>
      </ns0:c>
      <ns0:c r="D222">
        <ns0:f>COUNTIFS(Games_Raw!$K$2:$K$1232,"Yes",Games_Raw!$I$2:$I$1232,B222,Games_Raw!$J$2:$J$1232,A222)</ns0:f>
        <ns0:v>1</ns0:v>
      </ns0:c>
      <ns0:c r="E222" t="str">
        <ns0:f>C222&amp;"-"&amp;D222</ns0:f>
        <ns0:v>3-1</ns0:v>
      </ns0:c>
      <ns0:c r="F222">
        <ns0:f>COUNTIFS(Games_Raw!$K$2:$K$1232,"Yes",Games_Raw!$I$2:$I$1232,A222)</ns0:f>
        <ns0:v>50</ns0:v>
      </ns0:c>
      <ns0:c r="G222">
        <ns0:f>COUNTIFS(Games_Raw!$K$2:$K$1232,"Yes",Games_Raw!$J$2:$J$1232,A222)</ns0:f>
        <ns0:v>32</ns0:v>
      </ns0:c>
    </ns0:row>
    <ns0:row r="223">
      <ns0:c r="A223" t="inlineStr">
        <ns0:is>
          <ns0:t>Denver Nuggets</ns0:t>
        </ns0:is>
      </ns0:c>
      <ns0:c r="B223" t="inlineStr">
        <ns0:is>
          <ns0:t>New York Knicks</ns0:t>
        </ns0:is>
      </ns0:c>
      <ns0:c r="C223">
        <ns0:f>COUNTIFS(Games_Raw!$K$2:$K$1232,"Yes",Games_Raw!$I$2:$I$1232,A223,Games_Raw!$J$2:$J$1232,B223)</ns0:f>
        <ns0:v>0</ns0:v>
      </ns0:c>
      <ns0:c r="D223">
        <ns0:f>COUNTIFS(Games_Raw!$K$2:$K$1232,"Yes",Games_Raw!$I$2:$I$1232,B223,Games_Raw!$J$2:$J$1232,A223)</ns0:f>
        <ns0:v>2</ns0:v>
      </ns0:c>
      <ns0:c r="E223" t="str">
        <ns0:f>C223&amp;"-"&amp;D223</ns0:f>
        <ns0:v>0-2</ns0:v>
      </ns0:c>
      <ns0:c r="F223">
        <ns0:f>COUNTIFS(Games_Raw!$K$2:$K$1232,"Yes",Games_Raw!$I$2:$I$1232,A223)</ns0:f>
        <ns0:v>50</ns0:v>
      </ns0:c>
      <ns0:c r="G223">
        <ns0:f>COUNTIFS(Games_Raw!$K$2:$K$1232,"Yes",Games_Raw!$J$2:$J$1232,A223)</ns0:f>
        <ns0:v>32</ns0:v>
      </ns0:c>
    </ns0:row>
    <ns0:row r="224">
      <ns0:c r="A224" t="inlineStr">
        <ns0:is>
          <ns0:t>Denver Nuggets</ns0:t>
        </ns0:is>
      </ns0:c>
      <ns0:c r="B224" t="inlineStr">
        <ns0:is>
          <ns0:t>Oklahoma City Thunder</ns0:t>
        </ns0:is>
      </ns0:c>
      <ns0:c r="C224">
        <ns0:f>COUNTIFS(Games_Raw!$K$2:$K$1232,"Yes",Games_Raw!$I$2:$I$1232,A224,Games_Raw!$J$2:$J$1232,B224)</ns0:f>
        <ns0:v>2</ns0:v>
      </ns0:c>
      <ns0:c r="D224">
        <ns0:f>COUNTIFS(Games_Raw!$K$2:$K$1232,"Yes",Games_Raw!$I$2:$I$1232,B224,Games_Raw!$J$2:$J$1232,A224)</ns0:f>
        <ns0:v>2</ns0:v>
      </ns0:c>
      <ns0:c r="E224" t="str">
        <ns0:f>C224&amp;"-"&amp;D224</ns0:f>
        <ns0:v>2-2</ns0:v>
      </ns0:c>
      <ns0:c r="F224">
        <ns0:f>COUNTIFS(Games_Raw!$K$2:$K$1232,"Yes",Games_Raw!$I$2:$I$1232,A224)</ns0:f>
        <ns0:v>50</ns0:v>
      </ns0:c>
      <ns0:c r="G224">
        <ns0:f>COUNTIFS(Games_Raw!$K$2:$K$1232,"Yes",Games_Raw!$J$2:$J$1232,A224)</ns0:f>
        <ns0:v>32</ns0:v>
      </ns0:c>
    </ns0:row>
    <ns0:row r="225">
      <ns0:c r="A225" t="inlineStr">
        <ns0:is>
          <ns0:t>Denver Nuggets</ns0:t>
        </ns0:is>
      </ns0:c>
      <ns0:c r="B225" t="inlineStr">
        <ns0:is>
          <ns0:t>Orlando Magic</ns0:t>
        </ns0:is>
      </ns0:c>
      <ns0:c r="C225">
        <ns0:f>COUNTIFS(Games_Raw!$K$2:$K$1232,"Yes",Games_Raw!$I$2:$I$1232,A225,Games_Raw!$J$2:$J$1232,B225)</ns0:f>
        <ns0:v>2</ns0:v>
      </ns0:c>
      <ns0:c r="D225">
        <ns0:f>COUNTIFS(Games_Raw!$K$2:$K$1232,"Yes",Games_Raw!$I$2:$I$1232,B225,Games_Raw!$J$2:$J$1232,A225)</ns0:f>
        <ns0:v>0</ns0:v>
      </ns0:c>
      <ns0:c r="E225" t="str">
        <ns0:f>C225&amp;"-"&amp;D225</ns0:f>
        <ns0:v>2-0</ns0:v>
      </ns0:c>
      <ns0:c r="F225">
        <ns0:f>COUNTIFS(Games_Raw!$K$2:$K$1232,"Yes",Games_Raw!$I$2:$I$1232,A225)</ns0:f>
        <ns0:v>50</ns0:v>
      </ns0:c>
      <ns0:c r="G225">
        <ns0:f>COUNTIFS(Games_Raw!$K$2:$K$1232,"Yes",Games_Raw!$J$2:$J$1232,A225)</ns0:f>
        <ns0:v>32</ns0:v>
      </ns0:c>
    </ns0:row>
    <ns0:row r="226">
      <ns0:c r="A226" t="inlineStr">
        <ns0:is>
          <ns0:t>Denver Nuggets</ns0:t>
        </ns0:is>
      </ns0:c>
      <ns0:c r="B226" t="inlineStr">
        <ns0:is>
          <ns0:t>Philadelphia 76ers</ns0:t>
        </ns0:is>
      </ns0:c>
      <ns0:c r="C226">
        <ns0:f>COUNTIFS(Games_Raw!$K$2:$K$1232,"Yes",Games_Raw!$I$2:$I$1232,A226,Games_Raw!$J$2:$J$1232,B226)</ns0:f>
        <ns0:v>2</ns0:v>
      </ns0:c>
      <ns0:c r="D226">
        <ns0:f>COUNTIFS(Games_Raw!$K$2:$K$1232,"Yes",Games_Raw!$I$2:$I$1232,B226,Games_Raw!$J$2:$J$1232,A226)</ns0:f>
        <ns0:v>0</ns0:v>
      </ns0:c>
      <ns0:c r="E226" t="str">
        <ns0:f>C226&amp;"-"&amp;D226</ns0:f>
        <ns0:v>2-0</ns0:v>
      </ns0:c>
      <ns0:c r="F226">
        <ns0:f>COUNTIFS(Games_Raw!$K$2:$K$1232,"Yes",Games_Raw!$I$2:$I$1232,A226)</ns0:f>
        <ns0:v>50</ns0:v>
      </ns0:c>
      <ns0:c r="G226">
        <ns0:f>COUNTIFS(Games_Raw!$K$2:$K$1232,"Yes",Games_Raw!$J$2:$J$1232,A226)</ns0:f>
        <ns0:v>32</ns0:v>
      </ns0:c>
    </ns0:row>
    <ns0:row r="227">
      <ns0:c r="A227" t="inlineStr">
        <ns0:is>
          <ns0:t>Denver Nuggets</ns0:t>
        </ns0:is>
      </ns0:c>
      <ns0:c r="B227" t="inlineStr">
        <ns0:is>
          <ns0:t>Phoenix Suns</ns0:t>
        </ns0:is>
      </ns0:c>
      <ns0:c r="C227">
        <ns0:f>COUNTIFS(Games_Raw!$K$2:$K$1232,"Yes",Games_Raw!$I$2:$I$1232,A227,Games_Raw!$J$2:$J$1232,B227)</ns0:f>
        <ns0:v>3</ns0:v>
      </ns0:c>
      <ns0:c r="D227">
        <ns0:f>COUNTIFS(Games_Raw!$K$2:$K$1232,"Yes",Games_Raw!$I$2:$I$1232,B227,Games_Raw!$J$2:$J$1232,A227)</ns0:f>
        <ns0:v>1</ns0:v>
      </ns0:c>
      <ns0:c r="E227" t="str">
        <ns0:f>C227&amp;"-"&amp;D227</ns0:f>
        <ns0:v>3-1</ns0:v>
      </ns0:c>
      <ns0:c r="F227">
        <ns0:f>COUNTIFS(Games_Raw!$K$2:$K$1232,"Yes",Games_Raw!$I$2:$I$1232,A227)</ns0:f>
        <ns0:v>50</ns0:v>
      </ns0:c>
      <ns0:c r="G227">
        <ns0:f>COUNTIFS(Games_Raw!$K$2:$K$1232,"Yes",Games_Raw!$J$2:$J$1232,A227)</ns0:f>
        <ns0:v>32</ns0:v>
      </ns0:c>
    </ns0:row>
    <ns0:row r="228">
      <ns0:c r="A228" t="inlineStr">
        <ns0:is>
          <ns0:t>Denver Nuggets</ns0:t>
        </ns0:is>
      </ns0:c>
      <ns0:c r="B228" t="inlineStr">
        <ns0:is>
          <ns0:t>Portland Trail Blazers</ns0:t>
        </ns0:is>
      </ns0:c>
      <ns0:c r="C228">
        <ns0:f>COUNTIFS(Games_Raw!$K$2:$K$1232,"Yes",Games_Raw!$I$2:$I$1232,A228,Games_Raw!$J$2:$J$1232,B228)</ns0:f>
        <ns0:v>2</ns0:v>
      </ns0:c>
      <ns0:c r="D228">
        <ns0:f>COUNTIFS(Games_Raw!$K$2:$K$1232,"Yes",Games_Raw!$I$2:$I$1232,B228,Games_Raw!$J$2:$J$1232,A228)</ns0:f>
        <ns0:v>2</ns0:v>
      </ns0:c>
      <ns0:c r="E228" t="str">
        <ns0:f>C228&amp;"-"&amp;D228</ns0:f>
        <ns0:v>2-2</ns0:v>
      </ns0:c>
      <ns0:c r="F228">
        <ns0:f>COUNTIFS(Games_Raw!$K$2:$K$1232,"Yes",Games_Raw!$I$2:$I$1232,A228)</ns0:f>
        <ns0:v>50</ns0:v>
      </ns0:c>
      <ns0:c r="G228">
        <ns0:f>COUNTIFS(Games_Raw!$K$2:$K$1232,"Yes",Games_Raw!$J$2:$J$1232,A228)</ns0:f>
        <ns0:v>32</ns0:v>
      </ns0:c>
    </ns0:row>
    <ns0:row r="229">
      <ns0:c r="A229" t="inlineStr">
        <ns0:is>
          <ns0:t>Denver Nuggets</ns0:t>
        </ns0:is>
      </ns0:c>
      <ns0:c r="B229" t="inlineStr">
        <ns0:is>
          <ns0:t>Sacramento Kings</ns0:t>
        </ns0:is>
      </ns0:c>
      <ns0:c r="C229">
        <ns0:f>COUNTIFS(Games_Raw!$K$2:$K$1232,"Yes",Games_Raw!$I$2:$I$1232,A229,Games_Raw!$J$2:$J$1232,B229)</ns0:f>
        <ns0:v>4</ns0:v>
      </ns0:c>
      <ns0:c r="D229">
        <ns0:f>COUNTIFS(Games_Raw!$K$2:$K$1232,"Yes",Games_Raw!$I$2:$I$1232,B229,Games_Raw!$J$2:$J$1232,A229)</ns0:f>
        <ns0:v>0</ns0:v>
      </ns0:c>
      <ns0:c r="E229" t="str">
        <ns0:f>C229&amp;"-"&amp;D229</ns0:f>
        <ns0:v>4-0</ns0:v>
      </ns0:c>
      <ns0:c r="F229">
        <ns0:f>COUNTIFS(Games_Raw!$K$2:$K$1232,"Yes",Games_Raw!$I$2:$I$1232,A229)</ns0:f>
        <ns0:v>50</ns0:v>
      </ns0:c>
      <ns0:c r="G229">
        <ns0:f>COUNTIFS(Games_Raw!$K$2:$K$1232,"Yes",Games_Raw!$J$2:$J$1232,A229)</ns0:f>
        <ns0:v>32</ns0:v>
      </ns0:c>
    </ns0:row>
    <ns0:row r="230">
      <ns0:c r="A230" t="inlineStr">
        <ns0:is>
          <ns0:t>Denver Nuggets</ns0:t>
        </ns0:is>
      </ns0:c>
      <ns0:c r="B230" t="inlineStr">
        <ns0:is>
          <ns0:t>San Antonio Spurs</ns0:t>
        </ns0:is>
      </ns0:c>
      <ns0:c r="C230">
        <ns0:f>COUNTIFS(Games_Raw!$K$2:$K$1232,"Yes",Games_Raw!$I$2:$I$1232,A230,Games_Raw!$J$2:$J$1232,B230)</ns0:f>
        <ns0:v>1</ns0:v>
      </ns0:c>
      <ns0:c r="D230">
        <ns0:f>COUNTIFS(Games_Raw!$K$2:$K$1232,"Yes",Games_Raw!$I$2:$I$1232,B230,Games_Raw!$J$2:$J$1232,A230)</ns0:f>
        <ns0:v>2</ns0:v>
      </ns0:c>
      <ns0:c r="E230" t="str">
        <ns0:f>C230&amp;"-"&amp;D230</ns0:f>
        <ns0:v>1-2</ns0:v>
      </ns0:c>
      <ns0:c r="F230">
        <ns0:f>COUNTIFS(Games_Raw!$K$2:$K$1232,"Yes",Games_Raw!$I$2:$I$1232,A230)</ns0:f>
        <ns0:v>50</ns0:v>
      </ns0:c>
      <ns0:c r="G230">
        <ns0:f>COUNTIFS(Games_Raw!$K$2:$K$1232,"Yes",Games_Raw!$J$2:$J$1232,A230)</ns0:f>
        <ns0:v>32</ns0:v>
      </ns0:c>
    </ns0:row>
    <ns0:row r="231">
      <ns0:c r="A231" t="inlineStr">
        <ns0:is>
          <ns0:t>Denver Nuggets</ns0:t>
        </ns0:is>
      </ns0:c>
      <ns0:c r="B231" t="inlineStr">
        <ns0:is>
          <ns0:t>Toronto Raptors</ns0:t>
        </ns0:is>
      </ns0:c>
      <ns0:c r="C231">
        <ns0:f>COUNTIFS(Games_Raw!$K$2:$K$1232,"Yes",Games_Raw!$I$2:$I$1232,A231,Games_Raw!$J$2:$J$1232,B231)</ns0:f>
        <ns0:v>2</ns0:v>
      </ns0:c>
      <ns0:c r="D231">
        <ns0:f>COUNTIFS(Games_Raw!$K$2:$K$1232,"Yes",Games_Raw!$I$2:$I$1232,B231,Games_Raw!$J$2:$J$1232,A231)</ns0:f>
        <ns0:v>0</ns0:v>
      </ns0:c>
      <ns0:c r="E231" t="str">
        <ns0:f>C231&amp;"-"&amp;D231</ns0:f>
        <ns0:v>2-0</ns0:v>
      </ns0:c>
      <ns0:c r="F231">
        <ns0:f>COUNTIFS(Games_Raw!$K$2:$K$1232,"Yes",Games_Raw!$I$2:$I$1232,A231)</ns0:f>
        <ns0:v>50</ns0:v>
      </ns0:c>
      <ns0:c r="G231">
        <ns0:f>COUNTIFS(Games_Raw!$K$2:$K$1232,"Yes",Games_Raw!$J$2:$J$1232,A231)</ns0:f>
        <ns0:v>32</ns0:v>
      </ns0:c>
    </ns0:row>
    <ns0:row r="232">
      <ns0:c r="A232" t="inlineStr">
        <ns0:is>
          <ns0:t>Denver Nuggets</ns0:t>
        </ns0:is>
      </ns0:c>
      <ns0:c r="B232" t="inlineStr">
        <ns0:is>
          <ns0:t>Utah Jazz</ns0:t>
        </ns0:is>
      </ns0:c>
      <ns0:c r="C232">
        <ns0:f>COUNTIFS(Games_Raw!$K$2:$K$1232,"Yes",Games_Raw!$I$2:$I$1232,A232,Games_Raw!$J$2:$J$1232,B232)</ns0:f>
        <ns0:v>4</ns0:v>
      </ns0:c>
      <ns0:c r="D232">
        <ns0:f>COUNTIFS(Games_Raw!$K$2:$K$1232,"Yes",Games_Raw!$I$2:$I$1232,B232,Games_Raw!$J$2:$J$1232,A232)</ns0:f>
        <ns0:v>0</ns0:v>
      </ns0:c>
      <ns0:c r="E232" t="str">
        <ns0:f>C232&amp;"-"&amp;D232</ns0:f>
        <ns0:v>4-0</ns0:v>
      </ns0:c>
      <ns0:c r="F232">
        <ns0:f>COUNTIFS(Games_Raw!$K$2:$K$1232,"Yes",Games_Raw!$I$2:$I$1232,A232)</ns0:f>
        <ns0:v>50</ns0:v>
      </ns0:c>
      <ns0:c r="G232">
        <ns0:f>COUNTIFS(Games_Raw!$K$2:$K$1232,"Yes",Games_Raw!$J$2:$J$1232,A232)</ns0:f>
        <ns0:v>32</ns0:v>
      </ns0:c>
    </ns0:row>
    <ns0:row r="233">
      <ns0:c r="A233" t="inlineStr">
        <ns0:is>
          <ns0:t>Denver Nuggets</ns0:t>
        </ns0:is>
      </ns0:c>
      <ns0:c r="B233" t="inlineStr">
        <ns0:is>
          <ns0:t>Washington Wizards</ns0:t>
        </ns0:is>
      </ns0:c>
      <ns0:c r="C233">
        <ns0:f>COUNTIFS(Games_Raw!$K$2:$K$1232,"Yes",Games_Raw!$I$2:$I$1232,A233,Games_Raw!$J$2:$J$1232,B233)</ns0:f>
        <ns0:v>0</ns0:v>
      </ns0:c>
      <ns0:c r="D233">
        <ns0:f>COUNTIFS(Games_Raw!$K$2:$K$1232,"Yes",Games_Raw!$I$2:$I$1232,B233,Games_Raw!$J$2:$J$1232,A233)</ns0:f>
        <ns0:v>2</ns0:v>
      </ns0:c>
      <ns0:c r="E233" t="str">
        <ns0:f>C233&amp;"-"&amp;D233</ns0:f>
        <ns0:v>0-2</ns0:v>
      </ns0:c>
      <ns0:c r="F233">
        <ns0:f>COUNTIFS(Games_Raw!$K$2:$K$1232,"Yes",Games_Raw!$I$2:$I$1232,A233)</ns0:f>
        <ns0:v>50</ns0:v>
      </ns0:c>
      <ns0:c r="G233">
        <ns0:f>COUNTIFS(Games_Raw!$K$2:$K$1232,"Yes",Games_Raw!$J$2:$J$1232,A233)</ns0:f>
        <ns0:v>32</ns0:v>
      </ns0:c>
    </ns0:row>
    <ns0:row r="234">
      <ns0:c r="A234" t="inlineStr">
        <ns0:is>
          <ns0:t>Detroit Pistons</ns0:t>
        </ns0:is>
      </ns0:c>
      <ns0:c r="B234" t="inlineStr">
        <ns0:is>
          <ns0:t>Atlanta Hawks</ns0:t>
        </ns0:is>
      </ns0:c>
      <ns0:c r="C234">
        <ns0:f>COUNTIFS(Games_Raw!$K$2:$K$1232,"Yes",Games_Raw!$I$2:$I$1232,A234,Games_Raw!$J$2:$J$1232,B234)</ns0:f>
        <ns0:v>3</ns0:v>
      </ns0:c>
      <ns0:c r="D234">
        <ns0:f>COUNTIFS(Games_Raw!$K$2:$K$1232,"Yes",Games_Raw!$I$2:$I$1232,B234,Games_Raw!$J$2:$J$1232,A234)</ns0:f>
        <ns0:v>1</ns0:v>
      </ns0:c>
      <ns0:c r="E234" t="str">
        <ns0:f>C234&amp;"-"&amp;D234</ns0:f>
        <ns0:v>3-1</ns0:v>
      </ns0:c>
      <ns0:c r="F234">
        <ns0:f>COUNTIFS(Games_Raw!$K$2:$K$1232,"Yes",Games_Raw!$I$2:$I$1232,A234)</ns0:f>
        <ns0:v>44</ns0:v>
      </ns0:c>
      <ns0:c r="G234">
        <ns0:f>COUNTIFS(Games_Raw!$K$2:$K$1232,"Yes",Games_Raw!$J$2:$J$1232,A234)</ns0:f>
        <ns0:v>38</ns0:v>
      </ns0:c>
    </ns0:row>
    <ns0:row r="235">
      <ns0:c r="A235" t="inlineStr">
        <ns0:is>
          <ns0:t>Detroit Pistons</ns0:t>
        </ns0:is>
      </ns0:c>
      <ns0:c r="B235" t="inlineStr">
        <ns0:is>
          <ns0:t>Boston Celtics</ns0:t>
        </ns0:is>
      </ns0:c>
      <ns0:c r="C235">
        <ns0:f>COUNTIFS(Games_Raw!$K$2:$K$1232,"Yes",Games_Raw!$I$2:$I$1232,A235,Games_Raw!$J$2:$J$1232,B235)</ns0:f>
        <ns0:v>1</ns0:v>
      </ns0:c>
      <ns0:c r="D235">
        <ns0:f>COUNTIFS(Games_Raw!$K$2:$K$1232,"Yes",Games_Raw!$I$2:$I$1232,B235,Games_Raw!$J$2:$J$1232,A235)</ns0:f>
        <ns0:v>3</ns0:v>
      </ns0:c>
      <ns0:c r="E235" t="str">
        <ns0:f>C235&amp;"-"&amp;D235</ns0:f>
        <ns0:v>1-3</ns0:v>
      </ns0:c>
      <ns0:c r="F235">
        <ns0:f>COUNTIFS(Games_Raw!$K$2:$K$1232,"Yes",Games_Raw!$I$2:$I$1232,A235)</ns0:f>
        <ns0:v>44</ns0:v>
      </ns0:c>
      <ns0:c r="G235">
        <ns0:f>COUNTIFS(Games_Raw!$K$2:$K$1232,"Yes",Games_Raw!$J$2:$J$1232,A235)</ns0:f>
        <ns0:v>38</ns0:v>
      </ns0:c>
    </ns0:row>
    <ns0:row r="236">
      <ns0:c r="A236" t="inlineStr">
        <ns0:is>
          <ns0:t>Detroit Pistons</ns0:t>
        </ns0:is>
      </ns0:c>
      <ns0:c r="B236" t="inlineStr">
        <ns0:is>
          <ns0:t>Brooklyn Nets</ns0:t>
        </ns0:is>
      </ns0:c>
      <ns0:c r="C236">
        <ns0:f>COUNTIFS(Games_Raw!$K$2:$K$1232,"Yes",Games_Raw!$I$2:$I$1232,A236,Games_Raw!$J$2:$J$1232,B236)</ns0:f>
        <ns0:v>3</ns0:v>
      </ns0:c>
      <ns0:c r="D236">
        <ns0:f>COUNTIFS(Games_Raw!$K$2:$K$1232,"Yes",Games_Raw!$I$2:$I$1232,B236,Games_Raw!$J$2:$J$1232,A236)</ns0:f>
        <ns0:v>0</ns0:v>
      </ns0:c>
      <ns0:c r="E236" t="str">
        <ns0:f>C236&amp;"-"&amp;D236</ns0:f>
        <ns0:v>3-0</ns0:v>
      </ns0:c>
      <ns0:c r="F236">
        <ns0:f>COUNTIFS(Games_Raw!$K$2:$K$1232,"Yes",Games_Raw!$I$2:$I$1232,A236)</ns0:f>
        <ns0:v>44</ns0:v>
      </ns0:c>
      <ns0:c r="G236">
        <ns0:f>COUNTIFS(Games_Raw!$K$2:$K$1232,"Yes",Games_Raw!$J$2:$J$1232,A236)</ns0:f>
        <ns0:v>38</ns0:v>
      </ns0:c>
    </ns0:row>
    <ns0:row r="237">
      <ns0:c r="A237" t="inlineStr">
        <ns0:is>
          <ns0:t>Detroit Pistons</ns0:t>
        </ns0:is>
      </ns0:c>
      <ns0:c r="B237" t="inlineStr">
        <ns0:is>
          <ns0:t>Charlotte Hornets</ns0:t>
        </ns0:is>
      </ns0:c>
      <ns0:c r="C237">
        <ns0:f>COUNTIFS(Games_Raw!$K$2:$K$1232,"Yes",Games_Raw!$I$2:$I$1232,A237,Games_Raw!$J$2:$J$1232,B237)</ns0:f>
        <ns0:v>2</ns0:v>
      </ns0:c>
      <ns0:c r="D237">
        <ns0:f>COUNTIFS(Games_Raw!$K$2:$K$1232,"Yes",Games_Raw!$I$2:$I$1232,B237,Games_Raw!$J$2:$J$1232,A237)</ns0:f>
        <ns0:v>2</ns0:v>
      </ns0:c>
      <ns0:c r="E237" t="str">
        <ns0:f>C237&amp;"-"&amp;D237</ns0:f>
        <ns0:v>2-2</ns0:v>
      </ns0:c>
      <ns0:c r="F237">
        <ns0:f>COUNTIFS(Games_Raw!$K$2:$K$1232,"Yes",Games_Raw!$I$2:$I$1232,A237)</ns0:f>
        <ns0:v>44</ns0:v>
      </ns0:c>
      <ns0:c r="G237">
        <ns0:f>COUNTIFS(Games_Raw!$K$2:$K$1232,"Yes",Games_Raw!$J$2:$J$1232,A237)</ns0:f>
        <ns0:v>38</ns0:v>
      </ns0:c>
    </ns0:row>
    <ns0:row r="238">
      <ns0:c r="A238" t="inlineStr">
        <ns0:is>
          <ns0:t>Detroit Pistons</ns0:t>
        </ns0:is>
      </ns0:c>
      <ns0:c r="B238" t="inlineStr">
        <ns0:is>
          <ns0:t>Chicago Bulls</ns0:t>
        </ns0:is>
      </ns0:c>
      <ns0:c r="C238">
        <ns0:f>COUNTIFS(Games_Raw!$K$2:$K$1232,"Yes",Games_Raw!$I$2:$I$1232,A238,Games_Raw!$J$2:$J$1232,B238)</ns0:f>
        <ns0:v>3</ns0:v>
      </ns0:c>
      <ns0:c r="D238">
        <ns0:f>COUNTIFS(Games_Raw!$K$2:$K$1232,"Yes",Games_Raw!$I$2:$I$1232,B238,Games_Raw!$J$2:$J$1232,A238)</ns0:f>
        <ns0:v>1</ns0:v>
      </ns0:c>
      <ns0:c r="E238" t="str">
        <ns0:f>C238&amp;"-"&amp;D238</ns0:f>
        <ns0:v>3-1</ns0:v>
      </ns0:c>
      <ns0:c r="F238">
        <ns0:f>COUNTIFS(Games_Raw!$K$2:$K$1232,"Yes",Games_Raw!$I$2:$I$1232,A238)</ns0:f>
        <ns0:v>44</ns0:v>
      </ns0:c>
      <ns0:c r="G238">
        <ns0:f>COUNTIFS(Games_Raw!$K$2:$K$1232,"Yes",Games_Raw!$J$2:$J$1232,A238)</ns0:f>
        <ns0:v>38</ns0:v>
      </ns0:c>
    </ns0:row>
    <ns0:row r="239">
      <ns0:c r="A239" t="inlineStr">
        <ns0:is>
          <ns0:t>Detroit Pistons</ns0:t>
        </ns0:is>
      </ns0:c>
      <ns0:c r="B239" t="inlineStr">
        <ns0:is>
          <ns0:t>Cleveland Cavaliers</ns0:t>
        </ns0:is>
      </ns0:c>
      <ns0:c r="C239">
        <ns0:f>COUNTIFS(Games_Raw!$K$2:$K$1232,"Yes",Games_Raw!$I$2:$I$1232,A239,Games_Raw!$J$2:$J$1232,B239)</ns0:f>
        <ns0:v>1</ns0:v>
      </ns0:c>
      <ns0:c r="D239">
        <ns0:f>COUNTIFS(Games_Raw!$K$2:$K$1232,"Yes",Games_Raw!$I$2:$I$1232,B239,Games_Raw!$J$2:$J$1232,A239)</ns0:f>
        <ns0:v>3</ns0:v>
      </ns0:c>
      <ns0:c r="E239" t="str">
        <ns0:f>C239&amp;"-"&amp;D239</ns0:f>
        <ns0:v>1-3</ns0:v>
      </ns0:c>
      <ns0:c r="F239">
        <ns0:f>COUNTIFS(Games_Raw!$K$2:$K$1232,"Yes",Games_Raw!$I$2:$I$1232,A239)</ns0:f>
        <ns0:v>44</ns0:v>
      </ns0:c>
      <ns0:c r="G239">
        <ns0:f>COUNTIFS(Games_Raw!$K$2:$K$1232,"Yes",Games_Raw!$J$2:$J$1232,A239)</ns0:f>
        <ns0:v>38</ns0:v>
      </ns0:c>
    </ns0:row>
    <ns0:row r="240">
      <ns0:c r="A240" t="inlineStr">
        <ns0:is>
          <ns0:t>Detroit Pistons</ns0:t>
        </ns0:is>
      </ns0:c>
      <ns0:c r="B240" t="inlineStr">
        <ns0:is>
          <ns0:t>Dallas Mavericks</ns0:t>
        </ns0:is>
      </ns0:c>
      <ns0:c r="C240">
        <ns0:f>COUNTIFS(Games_Raw!$K$2:$K$1232,"Yes",Games_Raw!$I$2:$I$1232,A240,Games_Raw!$J$2:$J$1232,B240)</ns0:f>
        <ns0:v>1</ns0:v>
      </ns0:c>
      <ns0:c r="D240">
        <ns0:f>COUNTIFS(Games_Raw!$K$2:$K$1232,"Yes",Games_Raw!$I$2:$I$1232,B240,Games_Raw!$J$2:$J$1232,A240)</ns0:f>
        <ns0:v>1</ns0:v>
      </ns0:c>
      <ns0:c r="E240" t="str">
        <ns0:f>C240&amp;"-"&amp;D240</ns0:f>
        <ns0:v>1-1</ns0:v>
      </ns0:c>
      <ns0:c r="F240">
        <ns0:f>COUNTIFS(Games_Raw!$K$2:$K$1232,"Yes",Games_Raw!$I$2:$I$1232,A240)</ns0:f>
        <ns0:v>44</ns0:v>
      </ns0:c>
      <ns0:c r="G240">
        <ns0:f>COUNTIFS(Games_Raw!$K$2:$K$1232,"Yes",Games_Raw!$J$2:$J$1232,A240)</ns0:f>
        <ns0:v>38</ns0:v>
      </ns0:c>
    </ns0:row>
    <ns0:row r="241">
      <ns0:c r="A241" t="inlineStr">
        <ns0:is>
          <ns0:t>Detroit Pistons</ns0:t>
        </ns0:is>
      </ns0:c>
      <ns0:c r="B241" t="inlineStr">
        <ns0:is>
          <ns0:t>Denver Nuggets</ns0:t>
        </ns0:is>
      </ns0:c>
      <ns0:c r="C241">
        <ns0:f>COUNTIFS(Games_Raw!$K$2:$K$1232,"Yes",Games_Raw!$I$2:$I$1232,A241,Games_Raw!$J$2:$J$1232,B241)</ns0:f>
        <ns0:v>0</ns0:v>
      </ns0:c>
      <ns0:c r="D241">
        <ns0:f>COUNTIFS(Games_Raw!$K$2:$K$1232,"Yes",Games_Raw!$I$2:$I$1232,B241,Games_Raw!$J$2:$J$1232,A241)</ns0:f>
        <ns0:v>2</ns0:v>
      </ns0:c>
      <ns0:c r="E241" t="str">
        <ns0:f>C241&amp;"-"&amp;D241</ns0:f>
        <ns0:v>0-2</ns0:v>
      </ns0:c>
      <ns0:c r="F241">
        <ns0:f>COUNTIFS(Games_Raw!$K$2:$K$1232,"Yes",Games_Raw!$I$2:$I$1232,A241)</ns0:f>
        <ns0:v>44</ns0:v>
      </ns0:c>
      <ns0:c r="G241">
        <ns0:f>COUNTIFS(Games_Raw!$K$2:$K$1232,"Yes",Games_Raw!$J$2:$J$1232,A241)</ns0:f>
        <ns0:v>38</ns0:v>
      </ns0:c>
    </ns0:row>
    <ns0:row r="242">
      <ns0:c r="A242" t="inlineStr">
        <ns0:is>
          <ns0:t>Detroit Pistons</ns0:t>
        </ns0:is>
      </ns0:c>
      <ns0:c r="B242" t="inlineStr">
        <ns0:is>
          <ns0:t>Golden State Warriors</ns0:t>
        </ns0:is>
      </ns0:c>
      <ns0:c r="C242">
        <ns0:f>COUNTIFS(Games_Raw!$K$2:$K$1232,"Yes",Games_Raw!$I$2:$I$1232,A242,Games_Raw!$J$2:$J$1232,B242)</ns0:f>
        <ns0:v>0</ns0:v>
      </ns0:c>
      <ns0:c r="D242">
        <ns0:f>COUNTIFS(Games_Raw!$K$2:$K$1232,"Yes",Games_Raw!$I$2:$I$1232,B242,Games_Raw!$J$2:$J$1232,A242)</ns0:f>
        <ns0:v>2</ns0:v>
      </ns0:c>
      <ns0:c r="E242" t="str">
        <ns0:f>C242&amp;"-"&amp;D242</ns0:f>
        <ns0:v>0-2</ns0:v>
      </ns0:c>
      <ns0:c r="F242">
        <ns0:f>COUNTIFS(Games_Raw!$K$2:$K$1232,"Yes",Games_Raw!$I$2:$I$1232,A242)</ns0:f>
        <ns0:v>44</ns0:v>
      </ns0:c>
      <ns0:c r="G242">
        <ns0:f>COUNTIFS(Games_Raw!$K$2:$K$1232,"Yes",Games_Raw!$J$2:$J$1232,A242)</ns0:f>
        <ns0:v>38</ns0:v>
      </ns0:c>
    </ns0:row>
    <ns0:row r="243">
      <ns0:c r="A243" t="inlineStr">
        <ns0:is>
          <ns0:t>Detroit Pistons</ns0:t>
        </ns0:is>
      </ns0:c>
      <ns0:c r="B243" t="inlineStr">
        <ns0:is>
          <ns0:t>Houston Rockets</ns0:t>
        </ns0:is>
      </ns0:c>
      <ns0:c r="C243">
        <ns0:f>COUNTIFS(Games_Raw!$K$2:$K$1232,"Yes",Games_Raw!$I$2:$I$1232,A243,Games_Raw!$J$2:$J$1232,B243)</ns0:f>
        <ns0:v>1</ns0:v>
      </ns0:c>
      <ns0:c r="D243">
        <ns0:f>COUNTIFS(Games_Raw!$K$2:$K$1232,"Yes",Games_Raw!$I$2:$I$1232,B243,Games_Raw!$J$2:$J$1232,A243)</ns0:f>
        <ns0:v>1</ns0:v>
      </ns0:c>
      <ns0:c r="E243" t="str">
        <ns0:f>C243&amp;"-"&amp;D243</ns0:f>
        <ns0:v>1-1</ns0:v>
      </ns0:c>
      <ns0:c r="F243">
        <ns0:f>COUNTIFS(Games_Raw!$K$2:$K$1232,"Yes",Games_Raw!$I$2:$I$1232,A243)</ns0:f>
        <ns0:v>44</ns0:v>
      </ns0:c>
      <ns0:c r="G243">
        <ns0:f>COUNTIFS(Games_Raw!$K$2:$K$1232,"Yes",Games_Raw!$J$2:$J$1232,A243)</ns0:f>
        <ns0:v>38</ns0:v>
      </ns0:c>
    </ns0:row>
    <ns0:row r="244">
      <ns0:c r="A244" t="inlineStr">
        <ns0:is>
          <ns0:t>Detroit Pistons</ns0:t>
        </ns0:is>
      </ns0:c>
      <ns0:c r="B244" t="inlineStr">
        <ns0:is>
          <ns0:t>Indiana Pacers</ns0:t>
        </ns0:is>
      </ns0:c>
      <ns0:c r="C244">
        <ns0:f>COUNTIFS(Games_Raw!$K$2:$K$1232,"Yes",Games_Raw!$I$2:$I$1232,A244,Games_Raw!$J$2:$J$1232,B244)</ns0:f>
        <ns0:v>1</ns0:v>
      </ns0:c>
      <ns0:c r="D244">
        <ns0:f>COUNTIFS(Games_Raw!$K$2:$K$1232,"Yes",Games_Raw!$I$2:$I$1232,B244,Games_Raw!$J$2:$J$1232,A244)</ns0:f>
        <ns0:v>3</ns0:v>
      </ns0:c>
      <ns0:c r="E244" t="str">
        <ns0:f>C244&amp;"-"&amp;D244</ns0:f>
        <ns0:v>1-3</ns0:v>
      </ns0:c>
      <ns0:c r="F244">
        <ns0:f>COUNTIFS(Games_Raw!$K$2:$K$1232,"Yes",Games_Raw!$I$2:$I$1232,A244)</ns0:f>
        <ns0:v>44</ns0:v>
      </ns0:c>
      <ns0:c r="G244">
        <ns0:f>COUNTIFS(Games_Raw!$K$2:$K$1232,"Yes",Games_Raw!$J$2:$J$1232,A244)</ns0:f>
        <ns0:v>38</ns0:v>
      </ns0:c>
    </ns0:row>
    <ns0:row r="245">
      <ns0:c r="A245" t="inlineStr">
        <ns0:is>
          <ns0:t>Detroit Pistons</ns0:t>
        </ns0:is>
      </ns0:c>
      <ns0:c r="B245" t="inlineStr">
        <ns0:is>
          <ns0:t>LA Clippers</ns0:t>
        </ns0:is>
      </ns0:c>
      <ns0:c r="C245">
        <ns0:f>COUNTIFS(Games_Raw!$K$2:$K$1232,"Yes",Games_Raw!$I$2:$I$1232,A245,Games_Raw!$J$2:$J$1232,B245)</ns0:f>
        <ns0:v>1</ns0:v>
      </ns0:c>
      <ns0:c r="D245">
        <ns0:f>COUNTIFS(Games_Raw!$K$2:$K$1232,"Yes",Games_Raw!$I$2:$I$1232,B245,Games_Raw!$J$2:$J$1232,A245)</ns0:f>
        <ns0:v>1</ns0:v>
      </ns0:c>
      <ns0:c r="E245" t="str">
        <ns0:f>C245&amp;"-"&amp;D245</ns0:f>
        <ns0:v>1-1</ns0:v>
      </ns0:c>
      <ns0:c r="F245">
        <ns0:f>COUNTIFS(Games_Raw!$K$2:$K$1232,"Yes",Games_Raw!$I$2:$I$1232,A245)</ns0:f>
        <ns0:v>44</ns0:v>
      </ns0:c>
      <ns0:c r="G245">
        <ns0:f>COUNTIFS(Games_Raw!$K$2:$K$1232,"Yes",Games_Raw!$J$2:$J$1232,A245)</ns0:f>
        <ns0:v>38</ns0:v>
      </ns0:c>
    </ns0:row>
    <ns0:row r="246">
      <ns0:c r="A246" t="inlineStr">
        <ns0:is>
          <ns0:t>Detroit Pistons</ns0:t>
        </ns0:is>
      </ns0:c>
      <ns0:c r="B246" t="inlineStr">
        <ns0:is>
          <ns0:t>Los Angeles Lakers</ns0:t>
        </ns0:is>
      </ns0:c>
      <ns0:c r="C246">
        <ns0:f>COUNTIFS(Games_Raw!$K$2:$K$1232,"Yes",Games_Raw!$I$2:$I$1232,A246,Games_Raw!$J$2:$J$1232,B246)</ns0:f>
        <ns0:v>2</ns0:v>
      </ns0:c>
      <ns0:c r="D246">
        <ns0:f>COUNTIFS(Games_Raw!$K$2:$K$1232,"Yes",Games_Raw!$I$2:$I$1232,B246,Games_Raw!$J$2:$J$1232,A246)</ns0:f>
        <ns0:v>0</ns0:v>
      </ns0:c>
      <ns0:c r="E246" t="str">
        <ns0:f>C246&amp;"-"&amp;D246</ns0:f>
        <ns0:v>2-0</ns0:v>
      </ns0:c>
      <ns0:c r="F246">
        <ns0:f>COUNTIFS(Games_Raw!$K$2:$K$1232,"Yes",Games_Raw!$I$2:$I$1232,A246)</ns0:f>
        <ns0:v>44</ns0:v>
      </ns0:c>
      <ns0:c r="G246">
        <ns0:f>COUNTIFS(Games_Raw!$K$2:$K$1232,"Yes",Games_Raw!$J$2:$J$1232,A246)</ns0:f>
        <ns0:v>38</ns0:v>
      </ns0:c>
    </ns0:row>
    <ns0:row r="247">
      <ns0:c r="A247" t="inlineStr">
        <ns0:is>
          <ns0:t>Detroit Pistons</ns0:t>
        </ns0:is>
      </ns0:c>
      <ns0:c r="B247" t="inlineStr">
        <ns0:is>
          <ns0:t>Memphis Grizzlies</ns0:t>
        </ns0:is>
      </ns0:c>
      <ns0:c r="C247">
        <ns0:f>COUNTIFS(Games_Raw!$K$2:$K$1232,"Yes",Games_Raw!$I$2:$I$1232,A247,Games_Raw!$J$2:$J$1232,B247)</ns0:f>
        <ns0:v>0</ns0:v>
      </ns0:c>
      <ns0:c r="D247">
        <ns0:f>COUNTIFS(Games_Raw!$K$2:$K$1232,"Yes",Games_Raw!$I$2:$I$1232,B247,Games_Raw!$J$2:$J$1232,A247)</ns0:f>
        <ns0:v>2</ns0:v>
      </ns0:c>
      <ns0:c r="E247" t="str">
        <ns0:f>C247&amp;"-"&amp;D247</ns0:f>
        <ns0:v>0-2</ns0:v>
      </ns0:c>
      <ns0:c r="F247">
        <ns0:f>COUNTIFS(Games_Raw!$K$2:$K$1232,"Yes",Games_Raw!$I$2:$I$1232,A247)</ns0:f>
        <ns0:v>44</ns0:v>
      </ns0:c>
      <ns0:c r="G247">
        <ns0:f>COUNTIFS(Games_Raw!$K$2:$K$1232,"Yes",Games_Raw!$J$2:$J$1232,A247)</ns0:f>
        <ns0:v>38</ns0:v>
      </ns0:c>
    </ns0:row>
    <ns0:row r="248">
      <ns0:c r="A248" t="inlineStr">
        <ns0:is>
          <ns0:t>Detroit Pistons</ns0:t>
        </ns0:is>
      </ns0:c>
      <ns0:c r="B248" t="inlineStr">
        <ns0:is>
          <ns0:t>Miami Heat</ns0:t>
        </ns0:is>
      </ns0:c>
      <ns0:c r="C248">
        <ns0:f>COUNTIFS(Games_Raw!$K$2:$K$1232,"Yes",Games_Raw!$I$2:$I$1232,A248,Games_Raw!$J$2:$J$1232,B248)</ns0:f>
        <ns0:v>3</ns0:v>
      </ns0:c>
      <ns0:c r="D248">
        <ns0:f>COUNTIFS(Games_Raw!$K$2:$K$1232,"Yes",Games_Raw!$I$2:$I$1232,B248,Games_Raw!$J$2:$J$1232,A248)</ns0:f>
        <ns0:v>1</ns0:v>
      </ns0:c>
      <ns0:c r="E248" t="str">
        <ns0:f>C248&amp;"-"&amp;D248</ns0:f>
        <ns0:v>3-1</ns0:v>
      </ns0:c>
      <ns0:c r="F248">
        <ns0:f>COUNTIFS(Games_Raw!$K$2:$K$1232,"Yes",Games_Raw!$I$2:$I$1232,A248)</ns0:f>
        <ns0:v>44</ns0:v>
      </ns0:c>
      <ns0:c r="G248">
        <ns0:f>COUNTIFS(Games_Raw!$K$2:$K$1232,"Yes",Games_Raw!$J$2:$J$1232,A248)</ns0:f>
        <ns0:v>38</ns0:v>
      </ns0:c>
    </ns0:row>
    <ns0:row r="249">
      <ns0:c r="A249" t="inlineStr">
        <ns0:is>
          <ns0:t>Detroit Pistons</ns0:t>
        </ns0:is>
      </ns0:c>
      <ns0:c r="B249" t="inlineStr">
        <ns0:is>
          <ns0:t>Milwaukee Bucks</ns0:t>
        </ns0:is>
      </ns0:c>
      <ns0:c r="C249">
        <ns0:f>COUNTIFS(Games_Raw!$K$2:$K$1232,"Yes",Games_Raw!$I$2:$I$1232,A249,Games_Raw!$J$2:$J$1232,B249)</ns0:f>
        <ns0:v>0</ns0:v>
      </ns0:c>
      <ns0:c r="D249">
        <ns0:f>COUNTIFS(Games_Raw!$K$2:$K$1232,"Yes",Games_Raw!$I$2:$I$1232,B249,Games_Raw!$J$2:$J$1232,A249)</ns0:f>
        <ns0:v>4</ns0:v>
      </ns0:c>
      <ns0:c r="E249" t="str">
        <ns0:f>C249&amp;"-"&amp;D249</ns0:f>
        <ns0:v>0-4</ns0:v>
      </ns0:c>
      <ns0:c r="F249">
        <ns0:f>COUNTIFS(Games_Raw!$K$2:$K$1232,"Yes",Games_Raw!$I$2:$I$1232,A249)</ns0:f>
        <ns0:v>44</ns0:v>
      </ns0:c>
      <ns0:c r="G249">
        <ns0:f>COUNTIFS(Games_Raw!$K$2:$K$1232,"Yes",Games_Raw!$J$2:$J$1232,A249)</ns0:f>
        <ns0:v>38</ns0:v>
      </ns0:c>
    </ns0:row>
    <ns0:row r="250">
      <ns0:c r="A250" t="inlineStr">
        <ns0:is>
          <ns0:t>Detroit Pistons</ns0:t>
        </ns0:is>
      </ns0:c>
      <ns0:c r="B250" t="inlineStr">
        <ns0:is>
          <ns0:t>Minnesota Timberwolves</ns0:t>
        </ns0:is>
      </ns0:c>
      <ns0:c r="C250">
        <ns0:f>COUNTIFS(Games_Raw!$K$2:$K$1232,"Yes",Games_Raw!$I$2:$I$1232,A250,Games_Raw!$J$2:$J$1232,B250)</ns0:f>
        <ns0:v>1</ns0:v>
      </ns0:c>
      <ns0:c r="D250">
        <ns0:f>COUNTIFS(Games_Raw!$K$2:$K$1232,"Yes",Games_Raw!$I$2:$I$1232,B250,Games_Raw!$J$2:$J$1232,A250)</ns0:f>
        <ns0:v>1</ns0:v>
      </ns0:c>
      <ns0:c r="E250" t="str">
        <ns0:f>C250&amp;"-"&amp;D250</ns0:f>
        <ns0:v>1-1</ns0:v>
      </ns0:c>
      <ns0:c r="F250">
        <ns0:f>COUNTIFS(Games_Raw!$K$2:$K$1232,"Yes",Games_Raw!$I$2:$I$1232,A250)</ns0:f>
        <ns0:v>44</ns0:v>
      </ns0:c>
      <ns0:c r="G250">
        <ns0:f>COUNTIFS(Games_Raw!$K$2:$K$1232,"Yes",Games_Raw!$J$2:$J$1232,A250)</ns0:f>
        <ns0:v>38</ns0:v>
      </ns0:c>
    </ns0:row>
    <ns0:row r="251">
      <ns0:c r="A251" t="inlineStr">
        <ns0:is>
          <ns0:t>Detroit Pistons</ns0:t>
        </ns0:is>
      </ns0:c>
      <ns0:c r="B251" t="inlineStr">
        <ns0:is>
          <ns0:t>New Orleans Pelicans</ns0:t>
        </ns0:is>
      </ns0:c>
      <ns0:c r="C251">
        <ns0:f>COUNTIFS(Games_Raw!$K$2:$K$1232,"Yes",Games_Raw!$I$2:$I$1232,A251,Games_Raw!$J$2:$J$1232,B251)</ns0:f>
        <ns0:v>2</ns0:v>
      </ns0:c>
      <ns0:c r="D251">
        <ns0:f>COUNTIFS(Games_Raw!$K$2:$K$1232,"Yes",Games_Raw!$I$2:$I$1232,B251,Games_Raw!$J$2:$J$1232,A251)</ns0:f>
        <ns0:v>0</ns0:v>
      </ns0:c>
      <ns0:c r="E251" t="str">
        <ns0:f>C251&amp;"-"&amp;D251</ns0:f>
        <ns0:v>2-0</ns0:v>
      </ns0:c>
      <ns0:c r="F251">
        <ns0:f>COUNTIFS(Games_Raw!$K$2:$K$1232,"Yes",Games_Raw!$I$2:$I$1232,A251)</ns0:f>
        <ns0:v>44</ns0:v>
      </ns0:c>
      <ns0:c r="G251">
        <ns0:f>COUNTIFS(Games_Raw!$K$2:$K$1232,"Yes",Games_Raw!$J$2:$J$1232,A251)</ns0:f>
        <ns0:v>38</ns0:v>
      </ns0:c>
    </ns0:row>
    <ns0:row r="252">
      <ns0:c r="A252" t="inlineStr">
        <ns0:is>
          <ns0:t>Detroit Pistons</ns0:t>
        </ns0:is>
      </ns0:c>
      <ns0:c r="B252" t="inlineStr">
        <ns0:is>
          <ns0:t>New York Knicks</ns0:t>
        </ns0:is>
      </ns0:c>
      <ns0:c r="C252">
        <ns0:f>COUNTIFS(Games_Raw!$K$2:$K$1232,"Yes",Games_Raw!$I$2:$I$1232,A252,Games_Raw!$J$2:$J$1232,B252)</ns0:f>
        <ns0:v>3</ns0:v>
      </ns0:c>
      <ns0:c r="D252">
        <ns0:f>COUNTIFS(Games_Raw!$K$2:$K$1232,"Yes",Games_Raw!$I$2:$I$1232,B252,Games_Raw!$J$2:$J$1232,A252)</ns0:f>
        <ns0:v>1</ns0:v>
      </ns0:c>
      <ns0:c r="E252" t="str">
        <ns0:f>C252&amp;"-"&amp;D252</ns0:f>
        <ns0:v>3-1</ns0:v>
      </ns0:c>
      <ns0:c r="F252">
        <ns0:f>COUNTIFS(Games_Raw!$K$2:$K$1232,"Yes",Games_Raw!$I$2:$I$1232,A252)</ns0:f>
        <ns0:v>44</ns0:v>
      </ns0:c>
      <ns0:c r="G252">
        <ns0:f>COUNTIFS(Games_Raw!$K$2:$K$1232,"Yes",Games_Raw!$J$2:$J$1232,A252)</ns0:f>
        <ns0:v>38</ns0:v>
      </ns0:c>
    </ns0:row>
    <ns0:row r="253">
      <ns0:c r="A253" t="inlineStr">
        <ns0:is>
          <ns0:t>Detroit Pistons</ns0:t>
        </ns0:is>
      </ns0:c>
      <ns0:c r="B253" t="inlineStr">
        <ns0:is>
          <ns0:t>Oklahoma City Thunder</ns0:t>
        </ns0:is>
      </ns0:c>
      <ns0:c r="C253">
        <ns0:f>COUNTIFS(Games_Raw!$K$2:$K$1232,"Yes",Games_Raw!$I$2:$I$1232,A253,Games_Raw!$J$2:$J$1232,B253)</ns0:f>
        <ns0:v>0</ns0:v>
      </ns0:c>
      <ns0:c r="D253">
        <ns0:f>COUNTIFS(Games_Raw!$K$2:$K$1232,"Yes",Games_Raw!$I$2:$I$1232,B253,Games_Raw!$J$2:$J$1232,A253)</ns0:f>
        <ns0:v>2</ns0:v>
      </ns0:c>
      <ns0:c r="E253" t="str">
        <ns0:f>C253&amp;"-"&amp;D253</ns0:f>
        <ns0:v>0-2</ns0:v>
      </ns0:c>
      <ns0:c r="F253">
        <ns0:f>COUNTIFS(Games_Raw!$K$2:$K$1232,"Yes",Games_Raw!$I$2:$I$1232,A253)</ns0:f>
        <ns0:v>44</ns0:v>
      </ns0:c>
      <ns0:c r="G253">
        <ns0:f>COUNTIFS(Games_Raw!$K$2:$K$1232,"Yes",Games_Raw!$J$2:$J$1232,A253)</ns0:f>
        <ns0:v>38</ns0:v>
      </ns0:c>
    </ns0:row>
    <ns0:row r="254">
      <ns0:c r="A254" t="inlineStr">
        <ns0:is>
          <ns0:t>Detroit Pistons</ns0:t>
        </ns0:is>
      </ns0:c>
      <ns0:c r="B254" t="inlineStr">
        <ns0:is>
          <ns0:t>Orlando Magic</ns0:t>
        </ns0:is>
      </ns0:c>
      <ns0:c r="C254">
        <ns0:f>COUNTIFS(Games_Raw!$K$2:$K$1232,"Yes",Games_Raw!$I$2:$I$1232,A254,Games_Raw!$J$2:$J$1232,B254)</ns0:f>
        <ns0:v>1</ns0:v>
      </ns0:c>
      <ns0:c r="D254">
        <ns0:f>COUNTIFS(Games_Raw!$K$2:$K$1232,"Yes",Games_Raw!$I$2:$I$1232,B254,Games_Raw!$J$2:$J$1232,A254)</ns0:f>
        <ns0:v>2</ns0:v>
      </ns0:c>
      <ns0:c r="E254" t="str">
        <ns0:f>C254&amp;"-"&amp;D254</ns0:f>
        <ns0:v>1-2</ns0:v>
      </ns0:c>
      <ns0:c r="F254">
        <ns0:f>COUNTIFS(Games_Raw!$K$2:$K$1232,"Yes",Games_Raw!$I$2:$I$1232,A254)</ns0:f>
        <ns0:v>44</ns0:v>
      </ns0:c>
      <ns0:c r="G254">
        <ns0:f>COUNTIFS(Games_Raw!$K$2:$K$1232,"Yes",Games_Raw!$J$2:$J$1232,A254)</ns0:f>
        <ns0:v>38</ns0:v>
      </ns0:c>
    </ns0:row>
    <ns0:row r="255">
      <ns0:c r="A255" t="inlineStr">
        <ns0:is>
          <ns0:t>Detroit Pistons</ns0:t>
        </ns0:is>
      </ns0:c>
      <ns0:c r="B255" t="inlineStr">
        <ns0:is>
          <ns0:t>Philadelphia 76ers</ns0:t>
        </ns0:is>
      </ns0:c>
      <ns0:c r="C255">
        <ns0:f>COUNTIFS(Games_Raw!$K$2:$K$1232,"Yes",Games_Raw!$I$2:$I$1232,A255,Games_Raw!$J$2:$J$1232,B255)</ns0:f>
        <ns0:v>2</ns0:v>
      </ns0:c>
      <ns0:c r="D255">
        <ns0:f>COUNTIFS(Games_Raw!$K$2:$K$1232,"Yes",Games_Raw!$I$2:$I$1232,B255,Games_Raw!$J$2:$J$1232,A255)</ns0:f>
        <ns0:v>1</ns0:v>
      </ns0:c>
      <ns0:c r="E255" t="str">
        <ns0:f>C255&amp;"-"&amp;D255</ns0:f>
        <ns0:v>2-1</ns0:v>
      </ns0:c>
      <ns0:c r="F255">
        <ns0:f>COUNTIFS(Games_Raw!$K$2:$K$1232,"Yes",Games_Raw!$I$2:$I$1232,A255)</ns0:f>
        <ns0:v>44</ns0:v>
      </ns0:c>
      <ns0:c r="G255">
        <ns0:f>COUNTIFS(Games_Raw!$K$2:$K$1232,"Yes",Games_Raw!$J$2:$J$1232,A255)</ns0:f>
        <ns0:v>38</ns0:v>
      </ns0:c>
    </ns0:row>
    <ns0:row r="256">
      <ns0:c r="A256" t="inlineStr">
        <ns0:is>
          <ns0:t>Detroit Pistons</ns0:t>
        </ns0:is>
      </ns0:c>
      <ns0:c r="B256" t="inlineStr">
        <ns0:is>
          <ns0:t>Phoenix Suns</ns0:t>
        </ns0:is>
      </ns0:c>
      <ns0:c r="C256">
        <ns0:f>COUNTIFS(Games_Raw!$K$2:$K$1232,"Yes",Games_Raw!$I$2:$I$1232,A256,Games_Raw!$J$2:$J$1232,B256)</ns0:f>
        <ns0:v>1</ns0:v>
      </ns0:c>
      <ns0:c r="D256">
        <ns0:f>COUNTIFS(Games_Raw!$K$2:$K$1232,"Yes",Games_Raw!$I$2:$I$1232,B256,Games_Raw!$J$2:$J$1232,A256)</ns0:f>
        <ns0:v>1</ns0:v>
      </ns0:c>
      <ns0:c r="E256" t="str">
        <ns0:f>C256&amp;"-"&amp;D256</ns0:f>
        <ns0:v>1-1</ns0:v>
      </ns0:c>
      <ns0:c r="F256">
        <ns0:f>COUNTIFS(Games_Raw!$K$2:$K$1232,"Yes",Games_Raw!$I$2:$I$1232,A256)</ns0:f>
        <ns0:v>44</ns0:v>
      </ns0:c>
      <ns0:c r="G256">
        <ns0:f>COUNTIFS(Games_Raw!$K$2:$K$1232,"Yes",Games_Raw!$J$2:$J$1232,A256)</ns0:f>
        <ns0:v>38</ns0:v>
      </ns0:c>
    </ns0:row>
    <ns0:row r="257">
      <ns0:c r="A257" t="inlineStr">
        <ns0:is>
          <ns0:t>Detroit Pistons</ns0:t>
        </ns0:is>
      </ns0:c>
      <ns0:c r="B257" t="inlineStr">
        <ns0:is>
          <ns0:t>Portland Trail Blazers</ns0:t>
        </ns0:is>
      </ns0:c>
      <ns0:c r="C257">
        <ns0:f>COUNTIFS(Games_Raw!$K$2:$K$1232,"Yes",Games_Raw!$I$2:$I$1232,A257,Games_Raw!$J$2:$J$1232,B257)</ns0:f>
        <ns0:v>2</ns0:v>
      </ns0:c>
      <ns0:c r="D257">
        <ns0:f>COUNTIFS(Games_Raw!$K$2:$K$1232,"Yes",Games_Raw!$I$2:$I$1232,B257,Games_Raw!$J$2:$J$1232,A257)</ns0:f>
        <ns0:v>0</ns0:v>
      </ns0:c>
      <ns0:c r="E257" t="str">
        <ns0:f>C257&amp;"-"&amp;D257</ns0:f>
        <ns0:v>2-0</ns0:v>
      </ns0:c>
      <ns0:c r="F257">
        <ns0:f>COUNTIFS(Games_Raw!$K$2:$K$1232,"Yes",Games_Raw!$I$2:$I$1232,A257)</ns0:f>
        <ns0:v>44</ns0:v>
      </ns0:c>
      <ns0:c r="G257">
        <ns0:f>COUNTIFS(Games_Raw!$K$2:$K$1232,"Yes",Games_Raw!$J$2:$J$1232,A257)</ns0:f>
        <ns0:v>38</ns0:v>
      </ns0:c>
    </ns0:row>
    <ns0:row r="258">
      <ns0:c r="A258" t="inlineStr">
        <ns0:is>
          <ns0:t>Detroit Pistons</ns0:t>
        </ns0:is>
      </ns0:c>
      <ns0:c r="B258" t="inlineStr">
        <ns0:is>
          <ns0:t>Sacramento Kings</ns0:t>
        </ns0:is>
      </ns0:c>
      <ns0:c r="C258">
        <ns0:f>COUNTIFS(Games_Raw!$K$2:$K$1232,"Yes",Games_Raw!$I$2:$I$1232,A258,Games_Raw!$J$2:$J$1232,B258)</ns0:f>
        <ns0:v>1</ns0:v>
      </ns0:c>
      <ns0:c r="D258">
        <ns0:f>COUNTIFS(Games_Raw!$K$2:$K$1232,"Yes",Games_Raw!$I$2:$I$1232,B258,Games_Raw!$J$2:$J$1232,A258)</ns0:f>
        <ns0:v>1</ns0:v>
      </ns0:c>
      <ns0:c r="E258" t="str">
        <ns0:f>C258&amp;"-"&amp;D258</ns0:f>
        <ns0:v>1-1</ns0:v>
      </ns0:c>
      <ns0:c r="F258">
        <ns0:f>COUNTIFS(Games_Raw!$K$2:$K$1232,"Yes",Games_Raw!$I$2:$I$1232,A258)</ns0:f>
        <ns0:v>44</ns0:v>
      </ns0:c>
      <ns0:c r="G258">
        <ns0:f>COUNTIFS(Games_Raw!$K$2:$K$1232,"Yes",Games_Raw!$J$2:$J$1232,A258)</ns0:f>
        <ns0:v>38</ns0:v>
      </ns0:c>
    </ns0:row>
    <ns0:row r="259">
      <ns0:c r="A259" t="inlineStr">
        <ns0:is>
          <ns0:t>Detroit Pistons</ns0:t>
        </ns0:is>
      </ns0:c>
      <ns0:c r="B259" t="inlineStr">
        <ns0:is>
          <ns0:t>San Antonio Spurs</ns0:t>
        </ns0:is>
      </ns0:c>
      <ns0:c r="C259">
        <ns0:f>COUNTIFS(Games_Raw!$K$2:$K$1232,"Yes",Games_Raw!$I$2:$I$1232,A259,Games_Raw!$J$2:$J$1232,B259)</ns0:f>
        <ns0:v>2</ns0:v>
      </ns0:c>
      <ns0:c r="D259">
        <ns0:f>COUNTIFS(Games_Raw!$K$2:$K$1232,"Yes",Games_Raw!$I$2:$I$1232,B259,Games_Raw!$J$2:$J$1232,A259)</ns0:f>
        <ns0:v>0</ns0:v>
      </ns0:c>
      <ns0:c r="E259" t="str">
        <ns0:f>C259&amp;"-"&amp;D259</ns0:f>
        <ns0:v>2-0</ns0:v>
      </ns0:c>
      <ns0:c r="F259">
        <ns0:f>COUNTIFS(Games_Raw!$K$2:$K$1232,"Yes",Games_Raw!$I$2:$I$1232,A259)</ns0:f>
        <ns0:v>44</ns0:v>
      </ns0:c>
      <ns0:c r="G259">
        <ns0:f>COUNTIFS(Games_Raw!$K$2:$K$1232,"Yes",Games_Raw!$J$2:$J$1232,A259)</ns0:f>
        <ns0:v>38</ns0:v>
      </ns0:c>
    </ns0:row>
    <ns0:row r="260">
      <ns0:c r="A260" t="inlineStr">
        <ns0:is>
          <ns0:t>Detroit Pistons</ns0:t>
        </ns0:is>
      </ns0:c>
      <ns0:c r="B260" t="inlineStr">
        <ns0:is>
          <ns0:t>Toronto Raptors</ns0:t>
        </ns0:is>
      </ns0:c>
      <ns0:c r="C260">
        <ns0:f>COUNTIFS(Games_Raw!$K$2:$K$1232,"Yes",Games_Raw!$I$2:$I$1232,A260,Games_Raw!$J$2:$J$1232,B260)</ns0:f>
        <ns0:v>4</ns0:v>
      </ns0:c>
      <ns0:c r="D260">
        <ns0:f>COUNTIFS(Games_Raw!$K$2:$K$1232,"Yes",Games_Raw!$I$2:$I$1232,B260,Games_Raw!$J$2:$J$1232,A260)</ns0:f>
        <ns0:v>0</ns0:v>
      </ns0:c>
      <ns0:c r="E260" t="str">
        <ns0:f>C260&amp;"-"&amp;D260</ns0:f>
        <ns0:v>4-0</ns0:v>
      </ns0:c>
      <ns0:c r="F260">
        <ns0:f>COUNTIFS(Games_Raw!$K$2:$K$1232,"Yes",Games_Raw!$I$2:$I$1232,A260)</ns0:f>
        <ns0:v>44</ns0:v>
      </ns0:c>
      <ns0:c r="G260">
        <ns0:f>COUNTIFS(Games_Raw!$K$2:$K$1232,"Yes",Games_Raw!$J$2:$J$1232,A260)</ns0:f>
        <ns0:v>38</ns0:v>
      </ns0:c>
    </ns0:row>
    <ns0:row r="261">
      <ns0:c r="A261" t="inlineStr">
        <ns0:is>
          <ns0:t>Detroit Pistons</ns0:t>
        </ns0:is>
      </ns0:c>
      <ns0:c r="B261" t="inlineStr">
        <ns0:is>
          <ns0:t>Utah Jazz</ns0:t>
        </ns0:is>
      </ns0:c>
      <ns0:c r="C261">
        <ns0:f>COUNTIFS(Games_Raw!$K$2:$K$1232,"Yes",Games_Raw!$I$2:$I$1232,A261,Games_Raw!$J$2:$J$1232,B261)</ns0:f>
        <ns0:v>1</ns0:v>
      </ns0:c>
      <ns0:c r="D261">
        <ns0:f>COUNTIFS(Games_Raw!$K$2:$K$1232,"Yes",Games_Raw!$I$2:$I$1232,B261,Games_Raw!$J$2:$J$1232,A261)</ns0:f>
        <ns0:v>1</ns0:v>
      </ns0:c>
      <ns0:c r="E261" t="str">
        <ns0:f>C261&amp;"-"&amp;D261</ns0:f>
        <ns0:v>1-1</ns0:v>
      </ns0:c>
      <ns0:c r="F261">
        <ns0:f>COUNTIFS(Games_Raw!$K$2:$K$1232,"Yes",Games_Raw!$I$2:$I$1232,A261)</ns0:f>
        <ns0:v>44</ns0:v>
      </ns0:c>
      <ns0:c r="G261">
        <ns0:f>COUNTIFS(Games_Raw!$K$2:$K$1232,"Yes",Games_Raw!$J$2:$J$1232,A261)</ns0:f>
        <ns0:v>38</ns0:v>
      </ns0:c>
    </ns0:row>
    <ns0:row r="262">
      <ns0:c r="A262" t="inlineStr">
        <ns0:is>
          <ns0:t>Detroit Pistons</ns0:t>
        </ns0:is>
      </ns0:c>
      <ns0:c r="B262" t="inlineStr">
        <ns0:is>
          <ns0:t>Washington Wizards</ns0:t>
        </ns0:is>
      </ns0:c>
      <ns0:c r="C262">
        <ns0:f>COUNTIFS(Games_Raw!$K$2:$K$1232,"Yes",Games_Raw!$I$2:$I$1232,A262,Games_Raw!$J$2:$J$1232,B262)</ns0:f>
        <ns0:v>2</ns0:v>
      </ns0:c>
      <ns0:c r="D262">
        <ns0:f>COUNTIFS(Games_Raw!$K$2:$K$1232,"Yes",Games_Raw!$I$2:$I$1232,B262,Games_Raw!$J$2:$J$1232,A262)</ns0:f>
        <ns0:v>1</ns0:v>
      </ns0:c>
      <ns0:c r="E262" t="str">
        <ns0:f>C262&amp;"-"&amp;D262</ns0:f>
        <ns0:v>2-1</ns0:v>
      </ns0:c>
      <ns0:c r="F262">
        <ns0:f>COUNTIFS(Games_Raw!$K$2:$K$1232,"Yes",Games_Raw!$I$2:$I$1232,A262)</ns0:f>
        <ns0:v>44</ns0:v>
      </ns0:c>
      <ns0:c r="G262">
        <ns0:f>COUNTIFS(Games_Raw!$K$2:$K$1232,"Yes",Games_Raw!$J$2:$J$1232,A262)</ns0:f>
        <ns0:v>38</ns0:v>
      </ns0:c>
    </ns0:row>
    <ns0:row r="263">
      <ns0:c r="A263" t="inlineStr">
        <ns0:is>
          <ns0:t>Golden State Warriors</ns0:t>
        </ns0:is>
      </ns0:c>
      <ns0:c r="B263" t="inlineStr">
        <ns0:is>
          <ns0:t>Atlanta Hawks</ns0:t>
        </ns0:is>
      </ns0:c>
      <ns0:c r="C263">
        <ns0:f>COUNTIFS(Games_Raw!$K$2:$K$1232,"Yes",Games_Raw!$I$2:$I$1232,A263,Games_Raw!$J$2:$J$1232,B263)</ns0:f>
        <ns0:v>1</ns0:v>
      </ns0:c>
      <ns0:c r="D263">
        <ns0:f>COUNTIFS(Games_Raw!$K$2:$K$1232,"Yes",Games_Raw!$I$2:$I$1232,B263,Games_Raw!$J$2:$J$1232,A263)</ns0:f>
        <ns0:v>1</ns0:v>
      </ns0:c>
      <ns0:c r="E263" t="str">
        <ns0:f>C263&amp;"-"&amp;D263</ns0:f>
        <ns0:v>1-1</ns0:v>
      </ns0:c>
      <ns0:c r="F263">
        <ns0:f>COUNTIFS(Games_Raw!$K$2:$K$1232,"Yes",Games_Raw!$I$2:$I$1232,A263)</ns0:f>
        <ns0:v>48</ns0:v>
      </ns0:c>
      <ns0:c r="G263">
        <ns0:f>COUNTIFS(Games_Raw!$K$2:$K$1232,"Yes",Games_Raw!$J$2:$J$1232,A263)</ns0:f>
        <ns0:v>34</ns0:v>
      </ns0:c>
    </ns0:row>
    <ns0:row r="264">
      <ns0:c r="A264" t="inlineStr">
        <ns0:is>
          <ns0:t>Golden State Warriors</ns0:t>
        </ns0:is>
      </ns0:c>
      <ns0:c r="B264" t="inlineStr">
        <ns0:is>
          <ns0:t>Boston Celtics</ns0:t>
        </ns0:is>
      </ns0:c>
      <ns0:c r="C264">
        <ns0:f>COUNTIFS(Games_Raw!$K$2:$K$1232,"Yes",Games_Raw!$I$2:$I$1232,A264,Games_Raw!$J$2:$J$1232,B264)</ns0:f>
        <ns0:v>1</ns0:v>
      </ns0:c>
      <ns0:c r="D264">
        <ns0:f>COUNTIFS(Games_Raw!$K$2:$K$1232,"Yes",Games_Raw!$I$2:$I$1232,B264,Games_Raw!$J$2:$J$1232,A264)</ns0:f>
        <ns0:v>1</ns0:v>
      </ns0:c>
      <ns0:c r="E264" t="str">
        <ns0:f>C264&amp;"-"&amp;D264</ns0:f>
        <ns0:v>1-1</ns0:v>
      </ns0:c>
      <ns0:c r="F264">
        <ns0:f>COUNTIFS(Games_Raw!$K$2:$K$1232,"Yes",Games_Raw!$I$2:$I$1232,A264)</ns0:f>
        <ns0:v>48</ns0:v>
      </ns0:c>
      <ns0:c r="G264">
        <ns0:f>COUNTIFS(Games_Raw!$K$2:$K$1232,"Yes",Games_Raw!$J$2:$J$1232,A264)</ns0:f>
        <ns0:v>34</ns0:v>
      </ns0:c>
    </ns0:row>
    <ns0:row r="265">
      <ns0:c r="A265" t="inlineStr">
        <ns0:is>
          <ns0:t>Golden State Warriors</ns0:t>
        </ns0:is>
      </ns0:c>
      <ns0:c r="B265" t="inlineStr">
        <ns0:is>
          <ns0:t>Brooklyn Nets</ns0:t>
        </ns0:is>
      </ns0:c>
      <ns0:c r="C265">
        <ns0:f>COUNTIFS(Games_Raw!$K$2:$K$1232,"Yes",Games_Raw!$I$2:$I$1232,A265,Games_Raw!$J$2:$J$1232,B265)</ns0:f>
        <ns0:v>1</ns0:v>
      </ns0:c>
      <ns0:c r="D265">
        <ns0:f>COUNTIFS(Games_Raw!$K$2:$K$1232,"Yes",Games_Raw!$I$2:$I$1232,B265,Games_Raw!$J$2:$J$1232,A265)</ns0:f>
        <ns0:v>1</ns0:v>
      </ns0:c>
      <ns0:c r="E265" t="str">
        <ns0:f>C265&amp;"-"&amp;D265</ns0:f>
        <ns0:v>1-1</ns0:v>
      </ns0:c>
      <ns0:c r="F265">
        <ns0:f>COUNTIFS(Games_Raw!$K$2:$K$1232,"Yes",Games_Raw!$I$2:$I$1232,A265)</ns0:f>
        <ns0:v>48</ns0:v>
      </ns0:c>
      <ns0:c r="G265">
        <ns0:f>COUNTIFS(Games_Raw!$K$2:$K$1232,"Yes",Games_Raw!$J$2:$J$1232,A265)</ns0:f>
        <ns0:v>34</ns0:v>
      </ns0:c>
    </ns0:row>
    <ns0:row r="266">
      <ns0:c r="A266" t="inlineStr">
        <ns0:is>
          <ns0:t>Golden State Warriors</ns0:t>
        </ns0:is>
      </ns0:c>
      <ns0:c r="B266" t="inlineStr">
        <ns0:is>
          <ns0:t>Charlotte Hornets</ns0:t>
        </ns0:is>
      </ns0:c>
      <ns0:c r="C266">
        <ns0:f>COUNTIFS(Games_Raw!$K$2:$K$1232,"Yes",Games_Raw!$I$2:$I$1232,A266,Games_Raw!$J$2:$J$1232,B266)</ns0:f>
        <ns0:v>2</ns0:v>
      </ns0:c>
      <ns0:c r="D266">
        <ns0:f>COUNTIFS(Games_Raw!$K$2:$K$1232,"Yes",Games_Raw!$I$2:$I$1232,B266,Games_Raw!$J$2:$J$1232,A266)</ns0:f>
        <ns0:v>0</ns0:v>
      </ns0:c>
      <ns0:c r="E266" t="str">
        <ns0:f>C266&amp;"-"&amp;D266</ns0:f>
        <ns0:v>2-0</ns0:v>
      </ns0:c>
      <ns0:c r="F266">
        <ns0:f>COUNTIFS(Games_Raw!$K$2:$K$1232,"Yes",Games_Raw!$I$2:$I$1232,A266)</ns0:f>
        <ns0:v>48</ns0:v>
      </ns0:c>
      <ns0:c r="G266">
        <ns0:f>COUNTIFS(Games_Raw!$K$2:$K$1232,"Yes",Games_Raw!$J$2:$J$1232,A266)</ns0:f>
        <ns0:v>34</ns0:v>
      </ns0:c>
    </ns0:row>
    <ns0:row r="267">
      <ns0:c r="A267" t="inlineStr">
        <ns0:is>
          <ns0:t>Golden State Warriors</ns0:t>
        </ns0:is>
      </ns0:c>
      <ns0:c r="B267" t="inlineStr">
        <ns0:is>
          <ns0:t>Chicago Bulls</ns0:t>
        </ns0:is>
      </ns0:c>
      <ns0:c r="C267">
        <ns0:f>COUNTIFS(Games_Raw!$K$2:$K$1232,"Yes",Games_Raw!$I$2:$I$1232,A267,Games_Raw!$J$2:$J$1232,B267)</ns0:f>
        <ns0:v>2</ns0:v>
      </ns0:c>
      <ns0:c r="D267">
        <ns0:f>COUNTIFS(Games_Raw!$K$2:$K$1232,"Yes",Games_Raw!$I$2:$I$1232,B267,Games_Raw!$J$2:$J$1232,A267)</ns0:f>
        <ns0:v>0</ns0:v>
      </ns0:c>
      <ns0:c r="E267" t="str">
        <ns0:f>C267&amp;"-"&amp;D267</ns0:f>
        <ns0:v>2-0</ns0:v>
      </ns0:c>
      <ns0:c r="F267">
        <ns0:f>COUNTIFS(Games_Raw!$K$2:$K$1232,"Yes",Games_Raw!$I$2:$I$1232,A267)</ns0:f>
        <ns0:v>48</ns0:v>
      </ns0:c>
      <ns0:c r="G267">
        <ns0:f>COUNTIFS(Games_Raw!$K$2:$K$1232,"Yes",Games_Raw!$J$2:$J$1232,A267)</ns0:f>
        <ns0:v>34</ns0:v>
      </ns0:c>
    </ns0:row>
    <ns0:row r="268">
      <ns0:c r="A268" t="inlineStr">
        <ns0:is>
          <ns0:t>Golden State Warriors</ns0:t>
        </ns0:is>
      </ns0:c>
      <ns0:c r="B268" t="inlineStr">
        <ns0:is>
          <ns0:t>Cleveland Cavaliers</ns0:t>
        </ns0:is>
      </ns0:c>
      <ns0:c r="C268">
        <ns0:f>COUNTIFS(Games_Raw!$K$2:$K$1232,"Yes",Games_Raw!$I$2:$I$1232,A268,Games_Raw!$J$2:$J$1232,B268)</ns0:f>
        <ns0:v>0</ns0:v>
      </ns0:c>
      <ns0:c r="D268">
        <ns0:f>COUNTIFS(Games_Raw!$K$2:$K$1232,"Yes",Games_Raw!$I$2:$I$1232,B268,Games_Raw!$J$2:$J$1232,A268)</ns0:f>
        <ns0:v>2</ns0:v>
      </ns0:c>
      <ns0:c r="E268" t="str">
        <ns0:f>C268&amp;"-"&amp;D268</ns0:f>
        <ns0:v>0-2</ns0:v>
      </ns0:c>
      <ns0:c r="F268">
        <ns0:f>COUNTIFS(Games_Raw!$K$2:$K$1232,"Yes",Games_Raw!$I$2:$I$1232,A268)</ns0:f>
        <ns0:v>48</ns0:v>
      </ns0:c>
      <ns0:c r="G268">
        <ns0:f>COUNTIFS(Games_Raw!$K$2:$K$1232,"Yes",Games_Raw!$J$2:$J$1232,A268)</ns0:f>
        <ns0:v>34</ns0:v>
      </ns0:c>
    </ns0:row>
    <ns0:row r="269">
      <ns0:c r="A269" t="inlineStr">
        <ns0:is>
          <ns0:t>Golden State Warriors</ns0:t>
        </ns0:is>
      </ns0:c>
      <ns0:c r="B269" t="inlineStr">
        <ns0:is>
          <ns0:t>Dallas Mavericks</ns0:t>
        </ns0:is>
      </ns0:c>
      <ns0:c r="C269">
        <ns0:f>COUNTIFS(Games_Raw!$K$2:$K$1232,"Yes",Games_Raw!$I$2:$I$1232,A269,Games_Raw!$J$2:$J$1232,B269)</ns0:f>
        <ns0:v>2</ns0:v>
      </ns0:c>
      <ns0:c r="D269">
        <ns0:f>COUNTIFS(Games_Raw!$K$2:$K$1232,"Yes",Games_Raw!$I$2:$I$1232,B269,Games_Raw!$J$2:$J$1232,A269)</ns0:f>
        <ns0:v>2</ns0:v>
      </ns0:c>
      <ns0:c r="E269" t="str">
        <ns0:f>C269&amp;"-"&amp;D269</ns0:f>
        <ns0:v>2-2</ns0:v>
      </ns0:c>
      <ns0:c r="F269">
        <ns0:f>COUNTIFS(Games_Raw!$K$2:$K$1232,"Yes",Games_Raw!$I$2:$I$1232,A269)</ns0:f>
        <ns0:v>48</ns0:v>
      </ns0:c>
      <ns0:c r="G269">
        <ns0:f>COUNTIFS(Games_Raw!$K$2:$K$1232,"Yes",Games_Raw!$J$2:$J$1232,A269)</ns0:f>
        <ns0:v>34</ns0:v>
      </ns0:c>
    </ns0:row>
    <ns0:row r="270">
      <ns0:c r="A270" t="inlineStr">
        <ns0:is>
          <ns0:t>Golden State Warriors</ns0:t>
        </ns0:is>
      </ns0:c>
      <ns0:c r="B270" t="inlineStr">
        <ns0:is>
          <ns0:t>Denver Nuggets</ns0:t>
        </ns0:is>
      </ns0:c>
      <ns0:c r="C270">
        <ns0:f>COUNTIFS(Games_Raw!$K$2:$K$1232,"Yes",Games_Raw!$I$2:$I$1232,A270,Games_Raw!$J$2:$J$1232,B270)</ns0:f>
        <ns0:v>1</ns0:v>
      </ns0:c>
      <ns0:c r="D270">
        <ns0:f>COUNTIFS(Games_Raw!$K$2:$K$1232,"Yes",Games_Raw!$I$2:$I$1232,B270,Games_Raw!$J$2:$J$1232,A270)</ns0:f>
        <ns0:v>2</ns0:v>
      </ns0:c>
      <ns0:c r="E270" t="str">
        <ns0:f>C270&amp;"-"&amp;D270</ns0:f>
        <ns0:v>1-2</ns0:v>
      </ns0:c>
      <ns0:c r="F270">
        <ns0:f>COUNTIFS(Games_Raw!$K$2:$K$1232,"Yes",Games_Raw!$I$2:$I$1232,A270)</ns0:f>
        <ns0:v>48</ns0:v>
      </ns0:c>
      <ns0:c r="G270">
        <ns0:f>COUNTIFS(Games_Raw!$K$2:$K$1232,"Yes",Games_Raw!$J$2:$J$1232,A270)</ns0:f>
        <ns0:v>34</ns0:v>
      </ns0:c>
    </ns0:row>
    <ns0:row r="271">
      <ns0:c r="A271" t="inlineStr">
        <ns0:is>
          <ns0:t>Golden State Warriors</ns0:t>
        </ns0:is>
      </ns0:c>
      <ns0:c r="B271" t="inlineStr">
        <ns0:is>
          <ns0:t>Detroit Pistons</ns0:t>
        </ns0:is>
      </ns0:c>
      <ns0:c r="C271">
        <ns0:f>COUNTIFS(Games_Raw!$K$2:$K$1232,"Yes",Games_Raw!$I$2:$I$1232,A271,Games_Raw!$J$2:$J$1232,B271)</ns0:f>
        <ns0:v>2</ns0:v>
      </ns0:c>
      <ns0:c r="D271">
        <ns0:f>COUNTIFS(Games_Raw!$K$2:$K$1232,"Yes",Games_Raw!$I$2:$I$1232,B271,Games_Raw!$J$2:$J$1232,A271)</ns0:f>
        <ns0:v>0</ns0:v>
      </ns0:c>
      <ns0:c r="E271" t="str">
        <ns0:f>C271&amp;"-"&amp;D271</ns0:f>
        <ns0:v>2-0</ns0:v>
      </ns0:c>
      <ns0:c r="F271">
        <ns0:f>COUNTIFS(Games_Raw!$K$2:$K$1232,"Yes",Games_Raw!$I$2:$I$1232,A271)</ns0:f>
        <ns0:v>48</ns0:v>
      </ns0:c>
      <ns0:c r="G271">
        <ns0:f>COUNTIFS(Games_Raw!$K$2:$K$1232,"Yes",Games_Raw!$J$2:$J$1232,A271)</ns0:f>
        <ns0:v>34</ns0:v>
      </ns0:c>
    </ns0:row>
    <ns0:row r="272">
      <ns0:c r="A272" t="inlineStr">
        <ns0:is>
          <ns0:t>Golden State Warriors</ns0:t>
        </ns0:is>
      </ns0:c>
      <ns0:c r="B272" t="inlineStr">
        <ns0:is>
          <ns0:t>Houston Rockets</ns0:t>
        </ns0:is>
      </ns0:c>
      <ns0:c r="C272">
        <ns0:f>COUNTIFS(Games_Raw!$K$2:$K$1232,"Yes",Games_Raw!$I$2:$I$1232,A272,Games_Raw!$J$2:$J$1232,B272)</ns0:f>
        <ns0:v>3</ns0:v>
      </ns0:c>
      <ns0:c r="D272">
        <ns0:f>COUNTIFS(Games_Raw!$K$2:$K$1232,"Yes",Games_Raw!$I$2:$I$1232,B272,Games_Raw!$J$2:$J$1232,A272)</ns0:f>
        <ns0:v>2</ns0:v>
      </ns0:c>
      <ns0:c r="E272" t="str">
        <ns0:f>C272&amp;"-"&amp;D272</ns0:f>
        <ns0:v>3-2</ns0:v>
      </ns0:c>
      <ns0:c r="F272">
        <ns0:f>COUNTIFS(Games_Raw!$K$2:$K$1232,"Yes",Games_Raw!$I$2:$I$1232,A272)</ns0:f>
        <ns0:v>48</ns0:v>
      </ns0:c>
      <ns0:c r="G272">
        <ns0:f>COUNTIFS(Games_Raw!$K$2:$K$1232,"Yes",Games_Raw!$J$2:$J$1232,A272)</ns0:f>
        <ns0:v>34</ns0:v>
      </ns0:c>
    </ns0:row>
    <ns0:row r="273">
      <ns0:c r="A273" t="inlineStr">
        <ns0:is>
          <ns0:t>Golden State Warriors</ns0:t>
        </ns0:is>
      </ns0:c>
      <ns0:c r="B273" t="inlineStr">
        <ns0:is>
          <ns0:t>Indiana Pacers</ns0:t>
        </ns0:is>
      </ns0:c>
      <ns0:c r="C273">
        <ns0:f>COUNTIFS(Games_Raw!$K$2:$K$1232,"Yes",Games_Raw!$I$2:$I$1232,A273,Games_Raw!$J$2:$J$1232,B273)</ns0:f>
        <ns0:v>0</ns0:v>
      </ns0:c>
      <ns0:c r="D273">
        <ns0:f>COUNTIFS(Games_Raw!$K$2:$K$1232,"Yes",Games_Raw!$I$2:$I$1232,B273,Games_Raw!$J$2:$J$1232,A273)</ns0:f>
        <ns0:v>2</ns0:v>
      </ns0:c>
      <ns0:c r="E273" t="str">
        <ns0:f>C273&amp;"-"&amp;D273</ns0:f>
        <ns0:v>0-2</ns0:v>
      </ns0:c>
      <ns0:c r="F273">
        <ns0:f>COUNTIFS(Games_Raw!$K$2:$K$1232,"Yes",Games_Raw!$I$2:$I$1232,A273)</ns0:f>
        <ns0:v>48</ns0:v>
      </ns0:c>
      <ns0:c r="G273">
        <ns0:f>COUNTIFS(Games_Raw!$K$2:$K$1232,"Yes",Games_Raw!$J$2:$J$1232,A273)</ns0:f>
        <ns0:v>34</ns0:v>
      </ns0:c>
    </ns0:row>
    <ns0:row r="274">
      <ns0:c r="A274" t="inlineStr">
        <ns0:is>
          <ns0:t>Golden State Warriors</ns0:t>
        </ns0:is>
      </ns0:c>
      <ns0:c r="B274" t="inlineStr">
        <ns0:is>
          <ns0:t>LA Clippers</ns0:t>
        </ns0:is>
      </ns0:c>
      <ns0:c r="C274">
        <ns0:f>COUNTIFS(Games_Raw!$K$2:$K$1232,"Yes",Games_Raw!$I$2:$I$1232,A274,Games_Raw!$J$2:$J$1232,B274)</ns0:f>
        <ns0:v>0</ns0:v>
      </ns0:c>
      <ns0:c r="D274">
        <ns0:f>COUNTIFS(Games_Raw!$K$2:$K$1232,"Yes",Games_Raw!$I$2:$I$1232,B274,Games_Raw!$J$2:$J$1232,A274)</ns0:f>
        <ns0:v>4</ns0:v>
      </ns0:c>
      <ns0:c r="E274" t="str">
        <ns0:f>C274&amp;"-"&amp;D274</ns0:f>
        <ns0:v>0-4</ns0:v>
      </ns0:c>
      <ns0:c r="F274">
        <ns0:f>COUNTIFS(Games_Raw!$K$2:$K$1232,"Yes",Games_Raw!$I$2:$I$1232,A274)</ns0:f>
        <ns0:v>48</ns0:v>
      </ns0:c>
      <ns0:c r="G274">
        <ns0:f>COUNTIFS(Games_Raw!$K$2:$K$1232,"Yes",Games_Raw!$J$2:$J$1232,A274)</ns0:f>
        <ns0:v>34</ns0:v>
      </ns0:c>
    </ns0:row>
    <ns0:row r="275">
      <ns0:c r="A275" t="inlineStr">
        <ns0:is>
          <ns0:t>Golden State Warriors</ns0:t>
        </ns0:is>
      </ns0:c>
      <ns0:c r="B275" t="inlineStr">
        <ns0:is>
          <ns0:t>Los Angeles Lakers</ns0:t>
        </ns0:is>
      </ns0:c>
      <ns0:c r="C275">
        <ns0:f>COUNTIFS(Games_Raw!$K$2:$K$1232,"Yes",Games_Raw!$I$2:$I$1232,A275,Games_Raw!$J$2:$J$1232,B275)</ns0:f>
        <ns0:v>1</ns0:v>
      </ns0:c>
      <ns0:c r="D275">
        <ns0:f>COUNTIFS(Games_Raw!$K$2:$K$1232,"Yes",Games_Raw!$I$2:$I$1232,B275,Games_Raw!$J$2:$J$1232,A275)</ns0:f>
        <ns0:v>3</ns0:v>
      </ns0:c>
      <ns0:c r="E275" t="str">
        <ns0:f>C275&amp;"-"&amp;D275</ns0:f>
        <ns0:v>1-3</ns0:v>
      </ns0:c>
      <ns0:c r="F275">
        <ns0:f>COUNTIFS(Games_Raw!$K$2:$K$1232,"Yes",Games_Raw!$I$2:$I$1232,A275)</ns0:f>
        <ns0:v>48</ns0:v>
      </ns0:c>
      <ns0:c r="G275">
        <ns0:f>COUNTIFS(Games_Raw!$K$2:$K$1232,"Yes",Games_Raw!$J$2:$J$1232,A275)</ns0:f>
        <ns0:v>34</ns0:v>
      </ns0:c>
    </ns0:row>
    <ns0:row r="276">
      <ns0:c r="A276" t="inlineStr">
        <ns0:is>
          <ns0:t>Golden State Warriors</ns0:t>
        </ns0:is>
      </ns0:c>
      <ns0:c r="B276" t="inlineStr">
        <ns0:is>
          <ns0:t>Memphis Grizzlies</ns0:t>
        </ns0:is>
      </ns0:c>
      <ns0:c r="C276">
        <ns0:f>COUNTIFS(Games_Raw!$K$2:$K$1232,"Yes",Games_Raw!$I$2:$I$1232,A276,Games_Raw!$J$2:$J$1232,B276)</ns0:f>
        <ns0:v>3</ns0:v>
      </ns0:c>
      <ns0:c r="D276">
        <ns0:f>COUNTIFS(Games_Raw!$K$2:$K$1232,"Yes",Games_Raw!$I$2:$I$1232,B276,Games_Raw!$J$2:$J$1232,A276)</ns0:f>
        <ns0:v>1</ns0:v>
      </ns0:c>
      <ns0:c r="E276" t="str">
        <ns0:f>C276&amp;"-"&amp;D276</ns0:f>
        <ns0:v>3-1</ns0:v>
      </ns0:c>
      <ns0:c r="F276">
        <ns0:f>COUNTIFS(Games_Raw!$K$2:$K$1232,"Yes",Games_Raw!$I$2:$I$1232,A276)</ns0:f>
        <ns0:v>48</ns0:v>
      </ns0:c>
      <ns0:c r="G276">
        <ns0:f>COUNTIFS(Games_Raw!$K$2:$K$1232,"Yes",Games_Raw!$J$2:$J$1232,A276)</ns0:f>
        <ns0:v>34</ns0:v>
      </ns0:c>
    </ns0:row>
    <ns0:row r="277">
      <ns0:c r="A277" t="inlineStr">
        <ns0:is>
          <ns0:t>Golden State Warriors</ns0:t>
        </ns0:is>
      </ns0:c>
      <ns0:c r="B277" t="inlineStr">
        <ns0:is>
          <ns0:t>Miami Heat</ns0:t>
        </ns0:is>
      </ns0:c>
      <ns0:c r="C277">
        <ns0:f>COUNTIFS(Games_Raw!$K$2:$K$1232,"Yes",Games_Raw!$I$2:$I$1232,A277,Games_Raw!$J$2:$J$1232,B277)</ns0:f>
        <ns0:v>0</ns0:v>
      </ns0:c>
      <ns0:c r="D277">
        <ns0:f>COUNTIFS(Games_Raw!$K$2:$K$1232,"Yes",Games_Raw!$I$2:$I$1232,B277,Games_Raw!$J$2:$J$1232,A277)</ns0:f>
        <ns0:v>2</ns0:v>
      </ns0:c>
      <ns0:c r="E277" t="str">
        <ns0:f>C277&amp;"-"&amp;D277</ns0:f>
        <ns0:v>0-2</ns0:v>
      </ns0:c>
      <ns0:c r="F277">
        <ns0:f>COUNTIFS(Games_Raw!$K$2:$K$1232,"Yes",Games_Raw!$I$2:$I$1232,A277)</ns0:f>
        <ns0:v>48</ns0:v>
      </ns0:c>
      <ns0:c r="G277">
        <ns0:f>COUNTIFS(Games_Raw!$K$2:$K$1232,"Yes",Games_Raw!$J$2:$J$1232,A277)</ns0:f>
        <ns0:v>34</ns0:v>
      </ns0:c>
    </ns0:row>
    <ns0:row r="278">
      <ns0:c r="A278" t="inlineStr">
        <ns0:is>
          <ns0:t>Golden State Warriors</ns0:t>
        </ns0:is>
      </ns0:c>
      <ns0:c r="B278" t="inlineStr">
        <ns0:is>
          <ns0:t>Milwaukee Bucks</ns0:t>
        </ns0:is>
      </ns0:c>
      <ns0:c r="C278">
        <ns0:f>COUNTIFS(Games_Raw!$K$2:$K$1232,"Yes",Games_Raw!$I$2:$I$1232,A278,Games_Raw!$J$2:$J$1232,B278)</ns0:f>
        <ns0:v>2</ns0:v>
      </ns0:c>
      <ns0:c r="D278">
        <ns0:f>COUNTIFS(Games_Raw!$K$2:$K$1232,"Yes",Games_Raw!$I$2:$I$1232,B278,Games_Raw!$J$2:$J$1232,A278)</ns0:f>
        <ns0:v>0</ns0:v>
      </ns0:c>
      <ns0:c r="E278" t="str">
        <ns0:f>C278&amp;"-"&amp;D278</ns0:f>
        <ns0:v>2-0</ns0:v>
      </ns0:c>
      <ns0:c r="F278">
        <ns0:f>COUNTIFS(Games_Raw!$K$2:$K$1232,"Yes",Games_Raw!$I$2:$I$1232,A278)</ns0:f>
        <ns0:v>48</ns0:v>
      </ns0:c>
      <ns0:c r="G278">
        <ns0:f>COUNTIFS(Games_Raw!$K$2:$K$1232,"Yes",Games_Raw!$J$2:$J$1232,A278)</ns0:f>
        <ns0:v>34</ns0:v>
      </ns0:c>
    </ns0:row>
    <ns0:row r="279">
      <ns0:c r="A279" t="inlineStr">
        <ns0:is>
          <ns0:t>Golden State Warriors</ns0:t>
        </ns0:is>
      </ns0:c>
      <ns0:c r="B279" t="inlineStr">
        <ns0:is>
          <ns0:t>Minnesota Timberwolves</ns0:t>
        </ns0:is>
      </ns0:c>
      <ns0:c r="C279">
        <ns0:f>COUNTIFS(Games_Raw!$K$2:$K$1232,"Yes",Games_Raw!$I$2:$I$1232,A279,Games_Raw!$J$2:$J$1232,B279)</ns0:f>
        <ns0:v>3</ns0:v>
      </ns0:c>
      <ns0:c r="D279">
        <ns0:f>COUNTIFS(Games_Raw!$K$2:$K$1232,"Yes",Games_Raw!$I$2:$I$1232,B279,Games_Raw!$J$2:$J$1232,A279)</ns0:f>
        <ns0:v>1</ns0:v>
      </ns0:c>
      <ns0:c r="E279" t="str">
        <ns0:f>C279&amp;"-"&amp;D279</ns0:f>
        <ns0:v>3-1</ns0:v>
      </ns0:c>
      <ns0:c r="F279">
        <ns0:f>COUNTIFS(Games_Raw!$K$2:$K$1232,"Yes",Games_Raw!$I$2:$I$1232,A279)</ns0:f>
        <ns0:v>48</ns0:v>
      </ns0:c>
      <ns0:c r="G279">
        <ns0:f>COUNTIFS(Games_Raw!$K$2:$K$1232,"Yes",Games_Raw!$J$2:$J$1232,A279)</ns0:f>
        <ns0:v>34</ns0:v>
      </ns0:c>
    </ns0:row>
    <ns0:row r="280">
      <ns0:c r="A280" t="inlineStr">
        <ns0:is>
          <ns0:t>Golden State Warriors</ns0:t>
        </ns0:is>
      </ns0:c>
      <ns0:c r="B280" t="inlineStr">
        <ns0:is>
          <ns0:t>New Orleans Pelicans</ns0:t>
        </ns0:is>
      </ns0:c>
      <ns0:c r="C280">
        <ns0:f>COUNTIFS(Games_Raw!$K$2:$K$1232,"Yes",Games_Raw!$I$2:$I$1232,A280,Games_Raw!$J$2:$J$1232,B280)</ns0:f>
        <ns0:v>4</ns0:v>
      </ns0:c>
      <ns0:c r="D280">
        <ns0:f>COUNTIFS(Games_Raw!$K$2:$K$1232,"Yes",Games_Raw!$I$2:$I$1232,B280,Games_Raw!$J$2:$J$1232,A280)</ns0:f>
        <ns0:v>0</ns0:v>
      </ns0:c>
      <ns0:c r="E280" t="str">
        <ns0:f>C280&amp;"-"&amp;D280</ns0:f>
        <ns0:v>4-0</ns0:v>
      </ns0:c>
      <ns0:c r="F280">
        <ns0:f>COUNTIFS(Games_Raw!$K$2:$K$1232,"Yes",Games_Raw!$I$2:$I$1232,A280)</ns0:f>
        <ns0:v>48</ns0:v>
      </ns0:c>
      <ns0:c r="G280">
        <ns0:f>COUNTIFS(Games_Raw!$K$2:$K$1232,"Yes",Games_Raw!$J$2:$J$1232,A280)</ns0:f>
        <ns0:v>34</ns0:v>
      </ns0:c>
    </ns0:row>
    <ns0:row r="281">
      <ns0:c r="A281" t="inlineStr">
        <ns0:is>
          <ns0:t>Golden State Warriors</ns0:t>
        </ns0:is>
      </ns0:c>
      <ns0:c r="B281" t="inlineStr">
        <ns0:is>
          <ns0:t>New York Knicks</ns0:t>
        </ns0:is>
      </ns0:c>
      <ns0:c r="C281">
        <ns0:f>COUNTIFS(Games_Raw!$K$2:$K$1232,"Yes",Games_Raw!$I$2:$I$1232,A281,Games_Raw!$J$2:$J$1232,B281)</ns0:f>
        <ns0:v>2</ns0:v>
      </ns0:c>
      <ns0:c r="D281">
        <ns0:f>COUNTIFS(Games_Raw!$K$2:$K$1232,"Yes",Games_Raw!$I$2:$I$1232,B281,Games_Raw!$J$2:$J$1232,A281)</ns0:f>
        <ns0:v>0</ns0:v>
      </ns0:c>
      <ns0:c r="E281" t="str">
        <ns0:f>C281&amp;"-"&amp;D281</ns0:f>
        <ns0:v>2-0</ns0:v>
      </ns0:c>
      <ns0:c r="F281">
        <ns0:f>COUNTIFS(Games_Raw!$K$2:$K$1232,"Yes",Games_Raw!$I$2:$I$1232,A281)</ns0:f>
        <ns0:v>48</ns0:v>
      </ns0:c>
      <ns0:c r="G281">
        <ns0:f>COUNTIFS(Games_Raw!$K$2:$K$1232,"Yes",Games_Raw!$J$2:$J$1232,A281)</ns0:f>
        <ns0:v>34</ns0:v>
      </ns0:c>
    </ns0:row>
    <ns0:row r="282">
      <ns0:c r="A282" t="inlineStr">
        <ns0:is>
          <ns0:t>Golden State Warriors</ns0:t>
        </ns0:is>
      </ns0:c>
      <ns0:c r="B282" t="inlineStr">
        <ns0:is>
          <ns0:t>Oklahoma City Thunder</ns0:t>
        </ns0:is>
      </ns0:c>
      <ns0:c r="C282">
        <ns0:f>COUNTIFS(Games_Raw!$K$2:$K$1232,"Yes",Games_Raw!$I$2:$I$1232,A282,Games_Raw!$J$2:$J$1232,B282)</ns0:f>
        <ns0:v>2</ns0:v>
      </ns0:c>
      <ns0:c r="D282">
        <ns0:f>COUNTIFS(Games_Raw!$K$2:$K$1232,"Yes",Games_Raw!$I$2:$I$1232,B282,Games_Raw!$J$2:$J$1232,A282)</ns0:f>
        <ns0:v>1</ns0:v>
      </ns0:c>
      <ns0:c r="E282" t="str">
        <ns0:f>C282&amp;"-"&amp;D282</ns0:f>
        <ns0:v>2-1</ns0:v>
      </ns0:c>
      <ns0:c r="F282">
        <ns0:f>COUNTIFS(Games_Raw!$K$2:$K$1232,"Yes",Games_Raw!$I$2:$I$1232,A282)</ns0:f>
        <ns0:v>48</ns0:v>
      </ns0:c>
      <ns0:c r="G282">
        <ns0:f>COUNTIFS(Games_Raw!$K$2:$K$1232,"Yes",Games_Raw!$J$2:$J$1232,A282)</ns0:f>
        <ns0:v>34</ns0:v>
      </ns0:c>
    </ns0:row>
    <ns0:row r="283">
      <ns0:c r="A283" t="inlineStr">
        <ns0:is>
          <ns0:t>Golden State Warriors</ns0:t>
        </ns0:is>
      </ns0:c>
      <ns0:c r="B283" t="inlineStr">
        <ns0:is>
          <ns0:t>Orlando Magic</ns0:t>
        </ns0:is>
      </ns0:c>
      <ns0:c r="C283">
        <ns0:f>COUNTIFS(Games_Raw!$K$2:$K$1232,"Yes",Games_Raw!$I$2:$I$1232,A283,Games_Raw!$J$2:$J$1232,B283)</ns0:f>
        <ns0:v>2</ns0:v>
      </ns0:c>
      <ns0:c r="D283">
        <ns0:f>COUNTIFS(Games_Raw!$K$2:$K$1232,"Yes",Games_Raw!$I$2:$I$1232,B283,Games_Raw!$J$2:$J$1232,A283)</ns0:f>
        <ns0:v>0</ns0:v>
      </ns0:c>
      <ns0:c r="E283" t="str">
        <ns0:f>C283&amp;"-"&amp;D283</ns0:f>
        <ns0:v>2-0</ns0:v>
      </ns0:c>
      <ns0:c r="F283">
        <ns0:f>COUNTIFS(Games_Raw!$K$2:$K$1232,"Yes",Games_Raw!$I$2:$I$1232,A283)</ns0:f>
        <ns0:v>48</ns0:v>
      </ns0:c>
      <ns0:c r="G283">
        <ns0:f>COUNTIFS(Games_Raw!$K$2:$K$1232,"Yes",Games_Raw!$J$2:$J$1232,A283)</ns0:f>
        <ns0:v>34</ns0:v>
      </ns0:c>
    </ns0:row>
    <ns0:row r="284">
      <ns0:c r="A284" t="inlineStr">
        <ns0:is>
          <ns0:t>Golden State Warriors</ns0:t>
        </ns0:is>
      </ns0:c>
      <ns0:c r="B284" t="inlineStr">
        <ns0:is>
          <ns0:t>Philadelphia 76ers</ns0:t>
        </ns0:is>
      </ns0:c>
      <ns0:c r="C284">
        <ns0:f>COUNTIFS(Games_Raw!$K$2:$K$1232,"Yes",Games_Raw!$I$2:$I$1232,A284,Games_Raw!$J$2:$J$1232,B284)</ns0:f>
        <ns0:v>1</ns0:v>
      </ns0:c>
      <ns0:c r="D284">
        <ns0:f>COUNTIFS(Games_Raw!$K$2:$K$1232,"Yes",Games_Raw!$I$2:$I$1232,B284,Games_Raw!$J$2:$J$1232,A284)</ns0:f>
        <ns0:v>1</ns0:v>
      </ns0:c>
      <ns0:c r="E284" t="str">
        <ns0:f>C284&amp;"-"&amp;D284</ns0:f>
        <ns0:v>1-1</ns0:v>
      </ns0:c>
      <ns0:c r="F284">
        <ns0:f>COUNTIFS(Games_Raw!$K$2:$K$1232,"Yes",Games_Raw!$I$2:$I$1232,A284)</ns0:f>
        <ns0:v>48</ns0:v>
      </ns0:c>
      <ns0:c r="G284">
        <ns0:f>COUNTIFS(Games_Raw!$K$2:$K$1232,"Yes",Games_Raw!$J$2:$J$1232,A284)</ns0:f>
        <ns0:v>34</ns0:v>
      </ns0:c>
    </ns0:row>
    <ns0:row r="285">
      <ns0:c r="A285" t="inlineStr">
        <ns0:is>
          <ns0:t>Golden State Warriors</ns0:t>
        </ns0:is>
      </ns0:c>
      <ns0:c r="B285" t="inlineStr">
        <ns0:is>
          <ns0:t>Phoenix Suns</ns0:t>
        </ns0:is>
      </ns0:c>
      <ns0:c r="C285">
        <ns0:f>COUNTIFS(Games_Raw!$K$2:$K$1232,"Yes",Games_Raw!$I$2:$I$1232,A285,Games_Raw!$J$2:$J$1232,B285)</ns0:f>
        <ns0:v>2</ns0:v>
      </ns0:c>
      <ns0:c r="D285">
        <ns0:f>COUNTIFS(Games_Raw!$K$2:$K$1232,"Yes",Games_Raw!$I$2:$I$1232,B285,Games_Raw!$J$2:$J$1232,A285)</ns0:f>
        <ns0:v>2</ns0:v>
      </ns0:c>
      <ns0:c r="E285" t="str">
        <ns0:f>C285&amp;"-"&amp;D285</ns0:f>
        <ns0:v>2-2</ns0:v>
      </ns0:c>
      <ns0:c r="F285">
        <ns0:f>COUNTIFS(Games_Raw!$K$2:$K$1232,"Yes",Games_Raw!$I$2:$I$1232,A285)</ns0:f>
        <ns0:v>48</ns0:v>
      </ns0:c>
      <ns0:c r="G285">
        <ns0:f>COUNTIFS(Games_Raw!$K$2:$K$1232,"Yes",Games_Raw!$J$2:$J$1232,A285)</ns0:f>
        <ns0:v>34</ns0:v>
      </ns0:c>
    </ns0:row>
    <ns0:row r="286">
      <ns0:c r="A286" t="inlineStr">
        <ns0:is>
          <ns0:t>Golden State Warriors</ns0:t>
        </ns0:is>
      </ns0:c>
      <ns0:c r="B286" t="inlineStr">
        <ns0:is>
          <ns0:t>Portland Trail Blazers</ns0:t>
        </ns0:is>
      </ns0:c>
      <ns0:c r="C286">
        <ns0:f>COUNTIFS(Games_Raw!$K$2:$K$1232,"Yes",Games_Raw!$I$2:$I$1232,A286,Games_Raw!$J$2:$J$1232,B286)</ns0:f>
        <ns0:v>3</ns0:v>
      </ns0:c>
      <ns0:c r="D286">
        <ns0:f>COUNTIFS(Games_Raw!$K$2:$K$1232,"Yes",Games_Raw!$I$2:$I$1232,B286,Games_Raw!$J$2:$J$1232,A286)</ns0:f>
        <ns0:v>0</ns0:v>
      </ns0:c>
      <ns0:c r="E286" t="str">
        <ns0:f>C286&amp;"-"&amp;D286</ns0:f>
        <ns0:v>3-0</ns0:v>
      </ns0:c>
      <ns0:c r="F286">
        <ns0:f>COUNTIFS(Games_Raw!$K$2:$K$1232,"Yes",Games_Raw!$I$2:$I$1232,A286)</ns0:f>
        <ns0:v>48</ns0:v>
      </ns0:c>
      <ns0:c r="G286">
        <ns0:f>COUNTIFS(Games_Raw!$K$2:$K$1232,"Yes",Games_Raw!$J$2:$J$1232,A286)</ns0:f>
        <ns0:v>34</ns0:v>
      </ns0:c>
    </ns0:row>
    <ns0:row r="287">
      <ns0:c r="A287" t="inlineStr">
        <ns0:is>
          <ns0:t>Golden State Warriors</ns0:t>
        </ns0:is>
      </ns0:c>
      <ns0:c r="B287" t="inlineStr">
        <ns0:is>
          <ns0:t>Sacramento Kings</ns0:t>
        </ns0:is>
      </ns0:c>
      <ns0:c r="C287">
        <ns0:f>COUNTIFS(Games_Raw!$K$2:$K$1232,"Yes",Games_Raw!$I$2:$I$1232,A287,Games_Raw!$J$2:$J$1232,B287)</ns0:f>
        <ns0:v>2</ns0:v>
      </ns0:c>
      <ns0:c r="D287">
        <ns0:f>COUNTIFS(Games_Raw!$K$2:$K$1232,"Yes",Games_Raw!$I$2:$I$1232,B287,Games_Raw!$J$2:$J$1232,A287)</ns0:f>
        <ns0:v>2</ns0:v>
      </ns0:c>
      <ns0:c r="E287" t="str">
        <ns0:f>C287&amp;"-"&amp;D287</ns0:f>
        <ns0:v>2-2</ns0:v>
      </ns0:c>
      <ns0:c r="F287">
        <ns0:f>COUNTIFS(Games_Raw!$K$2:$K$1232,"Yes",Games_Raw!$I$2:$I$1232,A287)</ns0:f>
        <ns0:v>48</ns0:v>
      </ns0:c>
      <ns0:c r="G287">
        <ns0:f>COUNTIFS(Games_Raw!$K$2:$K$1232,"Yes",Games_Raw!$J$2:$J$1232,A287)</ns0:f>
        <ns0:v>34</ns0:v>
      </ns0:c>
    </ns0:row>
    <ns0:row r="288">
      <ns0:c r="A288" t="inlineStr">
        <ns0:is>
          <ns0:t>Golden State Warriors</ns0:t>
        </ns0:is>
      </ns0:c>
      <ns0:c r="B288" t="inlineStr">
        <ns0:is>
          <ns0:t>San Antonio Spurs</ns0:t>
        </ns0:is>
      </ns0:c>
      <ns0:c r="C288">
        <ns0:f>COUNTIFS(Games_Raw!$K$2:$K$1232,"Yes",Games_Raw!$I$2:$I$1232,A288,Games_Raw!$J$2:$J$1232,B288)</ns0:f>
        <ns0:v>1</ns0:v>
      </ns0:c>
      <ns0:c r="D288">
        <ns0:f>COUNTIFS(Games_Raw!$K$2:$K$1232,"Yes",Games_Raw!$I$2:$I$1232,B288,Games_Raw!$J$2:$J$1232,A288)</ns0:f>
        <ns0:v>2</ns0:v>
      </ns0:c>
      <ns0:c r="E288" t="str">
        <ns0:f>C288&amp;"-"&amp;D288</ns0:f>
        <ns0:v>1-2</ns0:v>
      </ns0:c>
      <ns0:c r="F288">
        <ns0:f>COUNTIFS(Games_Raw!$K$2:$K$1232,"Yes",Games_Raw!$I$2:$I$1232,A288)</ns0:f>
        <ns0:v>48</ns0:v>
      </ns0:c>
      <ns0:c r="G288">
        <ns0:f>COUNTIFS(Games_Raw!$K$2:$K$1232,"Yes",Games_Raw!$J$2:$J$1232,A288)</ns0:f>
        <ns0:v>34</ns0:v>
      </ns0:c>
    </ns0:row>
    <ns0:row r="289">
      <ns0:c r="A289" t="inlineStr">
        <ns0:is>
          <ns0:t>Golden State Warriors</ns0:t>
        </ns0:is>
      </ns0:c>
      <ns0:c r="B289" t="inlineStr">
        <ns0:is>
          <ns0:t>Toronto Raptors</ns0:t>
        </ns0:is>
      </ns0:c>
      <ns0:c r="C289">
        <ns0:f>COUNTIFS(Games_Raw!$K$2:$K$1232,"Yes",Games_Raw!$I$2:$I$1232,A289,Games_Raw!$J$2:$J$1232,B289)</ns0:f>
        <ns0:v>1</ns0:v>
      </ns0:c>
      <ns0:c r="D289">
        <ns0:f>COUNTIFS(Games_Raw!$K$2:$K$1232,"Yes",Games_Raw!$I$2:$I$1232,B289,Games_Raw!$J$2:$J$1232,A289)</ns0:f>
        <ns0:v>1</ns0:v>
      </ns0:c>
      <ns0:c r="E289" t="str">
        <ns0:f>C289&amp;"-"&amp;D289</ns0:f>
        <ns0:v>1-1</ns0:v>
      </ns0:c>
      <ns0:c r="F289">
        <ns0:f>COUNTIFS(Games_Raw!$K$2:$K$1232,"Yes",Games_Raw!$I$2:$I$1232,A289)</ns0:f>
        <ns0:v>48</ns0:v>
      </ns0:c>
      <ns0:c r="G289">
        <ns0:f>COUNTIFS(Games_Raw!$K$2:$K$1232,"Yes",Games_Raw!$J$2:$J$1232,A289)</ns0:f>
        <ns0:v>34</ns0:v>
      </ns0:c>
    </ns0:row>
    <ns0:row r="290">
      <ns0:c r="A290" t="inlineStr">
        <ns0:is>
          <ns0:t>Golden State Warriors</ns0:t>
        </ns0:is>
      </ns0:c>
      <ns0:c r="B290" t="inlineStr">
        <ns0:is>
          <ns0:t>Utah Jazz</ns0:t>
        </ns0:is>
      </ns0:c>
      <ns0:c r="C290">
        <ns0:f>COUNTIFS(Games_Raw!$K$2:$K$1232,"Yes",Games_Raw!$I$2:$I$1232,A290,Games_Raw!$J$2:$J$1232,B290)</ns0:f>
        <ns0:v>2</ns0:v>
      </ns0:c>
      <ns0:c r="D290">
        <ns0:f>COUNTIFS(Games_Raw!$K$2:$K$1232,"Yes",Games_Raw!$I$2:$I$1232,B290,Games_Raw!$J$2:$J$1232,A290)</ns0:f>
        <ns0:v>1</ns0:v>
      </ns0:c>
      <ns0:c r="E290" t="str">
        <ns0:f>C290&amp;"-"&amp;D290</ns0:f>
        <ns0:v>2-1</ns0:v>
      </ns0:c>
      <ns0:c r="F290">
        <ns0:f>COUNTIFS(Games_Raw!$K$2:$K$1232,"Yes",Games_Raw!$I$2:$I$1232,A290)</ns0:f>
        <ns0:v>48</ns0:v>
      </ns0:c>
      <ns0:c r="G290">
        <ns0:f>COUNTIFS(Games_Raw!$K$2:$K$1232,"Yes",Games_Raw!$J$2:$J$1232,A290)</ns0:f>
        <ns0:v>34</ns0:v>
      </ns0:c>
    </ns0:row>
    <ns0:row r="291">
      <ns0:c r="A291" t="inlineStr">
        <ns0:is>
          <ns0:t>Golden State Warriors</ns0:t>
        </ns0:is>
      </ns0:c>
      <ns0:c r="B291" t="inlineStr">
        <ns0:is>
          <ns0:t>Washington Wizards</ns0:t>
        </ns0:is>
      </ns0:c>
      <ns0:c r="C291">
        <ns0:f>COUNTIFS(Games_Raw!$K$2:$K$1232,"Yes",Games_Raw!$I$2:$I$1232,A291,Games_Raw!$J$2:$J$1232,B291)</ns0:f>
        <ns0:v>2</ns0:v>
      </ns0:c>
      <ns0:c r="D291">
        <ns0:f>COUNTIFS(Games_Raw!$K$2:$K$1232,"Yes",Games_Raw!$I$2:$I$1232,B291,Games_Raw!$J$2:$J$1232,A291)</ns0:f>
        <ns0:v>0</ns0:v>
      </ns0:c>
      <ns0:c r="E291" t="str">
        <ns0:f>C291&amp;"-"&amp;D291</ns0:f>
        <ns0:v>2-0</ns0:v>
      </ns0:c>
      <ns0:c r="F291">
        <ns0:f>COUNTIFS(Games_Raw!$K$2:$K$1232,"Yes",Games_Raw!$I$2:$I$1232,A291)</ns0:f>
        <ns0:v>48</ns0:v>
      </ns0:c>
      <ns0:c r="G291">
        <ns0:f>COUNTIFS(Games_Raw!$K$2:$K$1232,"Yes",Games_Raw!$J$2:$J$1232,A291)</ns0:f>
        <ns0:v>34</ns0:v>
      </ns0:c>
    </ns0:row>
    <ns0:row r="292">
      <ns0:c r="A292" t="inlineStr">
        <ns0:is>
          <ns0:t>Houston Rockets</ns0:t>
        </ns0:is>
      </ns0:c>
      <ns0:c r="B292" t="inlineStr">
        <ns0:is>
          <ns0:t>Atlanta Hawks</ns0:t>
        </ns0:is>
      </ns0:c>
      <ns0:c r="C292">
        <ns0:f>COUNTIFS(Games_Raw!$K$2:$K$1232,"Yes",Games_Raw!$I$2:$I$1232,A292,Games_Raw!$J$2:$J$1232,B292)</ns0:f>
        <ns0:v>2</ns0:v>
      </ns0:c>
      <ns0:c r="D292">
        <ns0:f>COUNTIFS(Games_Raw!$K$2:$K$1232,"Yes",Games_Raw!$I$2:$I$1232,B292,Games_Raw!$J$2:$J$1232,A292)</ns0:f>
        <ns0:v>0</ns0:v>
      </ns0:c>
      <ns0:c r="E292" t="str">
        <ns0:f>C292&amp;"-"&amp;D292</ns0:f>
        <ns0:v>2-0</ns0:v>
      </ns0:c>
      <ns0:c r="F292">
        <ns0:f>COUNTIFS(Games_Raw!$K$2:$K$1232,"Yes",Games_Raw!$I$2:$I$1232,A292)</ns0:f>
        <ns0:v>52</ns0:v>
      </ns0:c>
      <ns0:c r="G292">
        <ns0:f>COUNTIFS(Games_Raw!$K$2:$K$1232,"Yes",Games_Raw!$J$2:$J$1232,A292)</ns0:f>
        <ns0:v>30</ns0:v>
      </ns0:c>
    </ns0:row>
    <ns0:row r="293">
      <ns0:c r="A293" t="inlineStr">
        <ns0:is>
          <ns0:t>Houston Rockets</ns0:t>
        </ns0:is>
      </ns0:c>
      <ns0:c r="B293" t="inlineStr">
        <ns0:is>
          <ns0:t>Boston Celtics</ns0:t>
        </ns0:is>
      </ns0:c>
      <ns0:c r="C293">
        <ns0:f>COUNTIFS(Games_Raw!$K$2:$K$1232,"Yes",Games_Raw!$I$2:$I$1232,A293,Games_Raw!$J$2:$J$1232,B293)</ns0:f>
        <ns0:v>1</ns0:v>
      </ns0:c>
      <ns0:c r="D293">
        <ns0:f>COUNTIFS(Games_Raw!$K$2:$K$1232,"Yes",Games_Raw!$I$2:$I$1232,B293,Games_Raw!$J$2:$J$1232,A293)</ns0:f>
        <ns0:v>1</ns0:v>
      </ns0:c>
      <ns0:c r="E293" t="str">
        <ns0:f>C293&amp;"-"&amp;D293</ns0:f>
        <ns0:v>1-1</ns0:v>
      </ns0:c>
      <ns0:c r="F293">
        <ns0:f>COUNTIFS(Games_Raw!$K$2:$K$1232,"Yes",Games_Raw!$I$2:$I$1232,A293)</ns0:f>
        <ns0:v>52</ns0:v>
      </ns0:c>
      <ns0:c r="G293">
        <ns0:f>COUNTIFS(Games_Raw!$K$2:$K$1232,"Yes",Games_Raw!$J$2:$J$1232,A293)</ns0:f>
        <ns0:v>30</ns0:v>
      </ns0:c>
    </ns0:row>
    <ns0:row r="294">
      <ns0:c r="A294" t="inlineStr">
        <ns0:is>
          <ns0:t>Houston Rockets</ns0:t>
        </ns0:is>
      </ns0:c>
      <ns0:c r="B294" t="inlineStr">
        <ns0:is>
          <ns0:t>Brooklyn Nets</ns0:t>
        </ns0:is>
      </ns0:c>
      <ns0:c r="C294">
        <ns0:f>COUNTIFS(Games_Raw!$K$2:$K$1232,"Yes",Games_Raw!$I$2:$I$1232,A294,Games_Raw!$J$2:$J$1232,B294)</ns0:f>
        <ns0:v>0</ns0:v>
      </ns0:c>
      <ns0:c r="D294">
        <ns0:f>COUNTIFS(Games_Raw!$K$2:$K$1232,"Yes",Games_Raw!$I$2:$I$1232,B294,Games_Raw!$J$2:$J$1232,A294)</ns0:f>
        <ns0:v>2</ns0:v>
      </ns0:c>
      <ns0:c r="E294" t="str">
        <ns0:f>C294&amp;"-"&amp;D294</ns0:f>
        <ns0:v>0-2</ns0:v>
      </ns0:c>
      <ns0:c r="F294">
        <ns0:f>COUNTIFS(Games_Raw!$K$2:$K$1232,"Yes",Games_Raw!$I$2:$I$1232,A294)</ns0:f>
        <ns0:v>52</ns0:v>
      </ns0:c>
      <ns0:c r="G294">
        <ns0:f>COUNTIFS(Games_Raw!$K$2:$K$1232,"Yes",Games_Raw!$J$2:$J$1232,A294)</ns0:f>
        <ns0:v>30</ns0:v>
      </ns0:c>
    </ns0:row>
    <ns0:row r="295">
      <ns0:c r="A295" t="inlineStr">
        <ns0:is>
          <ns0:t>Houston Rockets</ns0:t>
        </ns0:is>
      </ns0:c>
      <ns0:c r="B295" t="inlineStr">
        <ns0:is>
          <ns0:t>Charlotte Hornets</ns0:t>
        </ns0:is>
      </ns0:c>
      <ns0:c r="C295">
        <ns0:f>COUNTIFS(Games_Raw!$K$2:$K$1232,"Yes",Games_Raw!$I$2:$I$1232,A295,Games_Raw!$J$2:$J$1232,B295)</ns0:f>
        <ns0:v>1</ns0:v>
      </ns0:c>
      <ns0:c r="D295">
        <ns0:f>COUNTIFS(Games_Raw!$K$2:$K$1232,"Yes",Games_Raw!$I$2:$I$1232,B295,Games_Raw!$J$2:$J$1232,A295)</ns0:f>
        <ns0:v>1</ns0:v>
      </ns0:c>
      <ns0:c r="E295" t="str">
        <ns0:f>C295&amp;"-"&amp;D295</ns0:f>
        <ns0:v>1-1</ns0:v>
      </ns0:c>
      <ns0:c r="F295">
        <ns0:f>COUNTIFS(Games_Raw!$K$2:$K$1232,"Yes",Games_Raw!$I$2:$I$1232,A295)</ns0:f>
        <ns0:v>52</ns0:v>
      </ns0:c>
      <ns0:c r="G295">
        <ns0:f>COUNTIFS(Games_Raw!$K$2:$K$1232,"Yes",Games_Raw!$J$2:$J$1232,A295)</ns0:f>
        <ns0:v>30</ns0:v>
      </ns0:c>
    </ns0:row>
    <ns0:row r="296">
      <ns0:c r="A296" t="inlineStr">
        <ns0:is>
          <ns0:t>Houston Rockets</ns0:t>
        </ns0:is>
      </ns0:c>
      <ns0:c r="B296" t="inlineStr">
        <ns0:is>
          <ns0:t>Chicago Bulls</ns0:t>
        </ns0:is>
      </ns0:c>
      <ns0:c r="C296">
        <ns0:f>COUNTIFS(Games_Raw!$K$2:$K$1232,"Yes",Games_Raw!$I$2:$I$1232,A296,Games_Raw!$J$2:$J$1232,B296)</ns0:f>
        <ns0:v>2</ns0:v>
      </ns0:c>
      <ns0:c r="D296">
        <ns0:f>COUNTIFS(Games_Raw!$K$2:$K$1232,"Yes",Games_Raw!$I$2:$I$1232,B296,Games_Raw!$J$2:$J$1232,A296)</ns0:f>
        <ns0:v>0</ns0:v>
      </ns0:c>
      <ns0:c r="E296" t="str">
        <ns0:f>C296&amp;"-"&amp;D296</ns0:f>
        <ns0:v>2-0</ns0:v>
      </ns0:c>
      <ns0:c r="F296">
        <ns0:f>COUNTIFS(Games_Raw!$K$2:$K$1232,"Yes",Games_Raw!$I$2:$I$1232,A296)</ns0:f>
        <ns0:v>52</ns0:v>
      </ns0:c>
      <ns0:c r="G296">
        <ns0:f>COUNTIFS(Games_Raw!$K$2:$K$1232,"Yes",Games_Raw!$J$2:$J$1232,A296)</ns0:f>
        <ns0:v>30</ns0:v>
      </ns0:c>
    </ns0:row>
    <ns0:row r="297">
      <ns0:c r="A297" t="inlineStr">
        <ns0:is>
          <ns0:t>Houston Rockets</ns0:t>
        </ns0:is>
      </ns0:c>
      <ns0:c r="B297" t="inlineStr">
        <ns0:is>
          <ns0:t>Cleveland Cavaliers</ns0:t>
        </ns0:is>
      </ns0:c>
      <ns0:c r="C297">
        <ns0:f>COUNTIFS(Games_Raw!$K$2:$K$1232,"Yes",Games_Raw!$I$2:$I$1232,A297,Games_Raw!$J$2:$J$1232,B297)</ns0:f>
        <ns0:v>2</ns0:v>
      </ns0:c>
      <ns0:c r="D297">
        <ns0:f>COUNTIFS(Games_Raw!$K$2:$K$1232,"Yes",Games_Raw!$I$2:$I$1232,B297,Games_Raw!$J$2:$J$1232,A297)</ns0:f>
        <ns0:v>0</ns0:v>
      </ns0:c>
      <ns0:c r="E297" t="str">
        <ns0:f>C297&amp;"-"&amp;D297</ns0:f>
        <ns0:v>2-0</ns0:v>
      </ns0:c>
      <ns0:c r="F297">
        <ns0:f>COUNTIFS(Games_Raw!$K$2:$K$1232,"Yes",Games_Raw!$I$2:$I$1232,A297)</ns0:f>
        <ns0:v>52</ns0:v>
      </ns0:c>
      <ns0:c r="G297">
        <ns0:f>COUNTIFS(Games_Raw!$K$2:$K$1232,"Yes",Games_Raw!$J$2:$J$1232,A297)</ns0:f>
        <ns0:v>30</ns0:v>
      </ns0:c>
    </ns0:row>
    <ns0:row r="298">
      <ns0:c r="A298" t="inlineStr">
        <ns0:is>
          <ns0:t>Houston Rockets</ns0:t>
        </ns0:is>
      </ns0:c>
      <ns0:c r="B298" t="inlineStr">
        <ns0:is>
          <ns0:t>Dallas Mavericks</ns0:t>
        </ns0:is>
      </ns0:c>
      <ns0:c r="C298">
        <ns0:f>COUNTIFS(Games_Raw!$K$2:$K$1232,"Yes",Games_Raw!$I$2:$I$1232,A298,Games_Raw!$J$2:$J$1232,B298)</ns0:f>
        <ns0:v>3</ns0:v>
      </ns0:c>
      <ns0:c r="D298">
        <ns0:f>COUNTIFS(Games_Raw!$K$2:$K$1232,"Yes",Games_Raw!$I$2:$I$1232,B298,Games_Raw!$J$2:$J$1232,A298)</ns0:f>
        <ns0:v>1</ns0:v>
      </ns0:c>
      <ns0:c r="E298" t="str">
        <ns0:f>C298&amp;"-"&amp;D298</ns0:f>
        <ns0:v>3-1</ns0:v>
      </ns0:c>
      <ns0:c r="F298">
        <ns0:f>COUNTIFS(Games_Raw!$K$2:$K$1232,"Yes",Games_Raw!$I$2:$I$1232,A298)</ns0:f>
        <ns0:v>52</ns0:v>
      </ns0:c>
      <ns0:c r="G298">
        <ns0:f>COUNTIFS(Games_Raw!$K$2:$K$1232,"Yes",Games_Raw!$J$2:$J$1232,A298)</ns0:f>
        <ns0:v>30</ns0:v>
      </ns0:c>
    </ns0:row>
    <ns0:row r="299">
      <ns0:c r="A299" t="inlineStr">
        <ns0:is>
          <ns0:t>Houston Rockets</ns0:t>
        </ns0:is>
      </ns0:c>
      <ns0:c r="B299" t="inlineStr">
        <ns0:is>
          <ns0:t>Denver Nuggets</ns0:t>
        </ns0:is>
      </ns0:c>
      <ns0:c r="C299">
        <ns0:f>COUNTIFS(Games_Raw!$K$2:$K$1232,"Yes",Games_Raw!$I$2:$I$1232,A299,Games_Raw!$J$2:$J$1232,B299)</ns0:f>
        <ns0:v>1</ns0:v>
      </ns0:c>
      <ns0:c r="D299">
        <ns0:f>COUNTIFS(Games_Raw!$K$2:$K$1232,"Yes",Games_Raw!$I$2:$I$1232,B299,Games_Raw!$J$2:$J$1232,A299)</ns0:f>
        <ns0:v>2</ns0:v>
      </ns0:c>
      <ns0:c r="E299" t="str">
        <ns0:f>C299&amp;"-"&amp;D299</ns0:f>
        <ns0:v>1-2</ns0:v>
      </ns0:c>
      <ns0:c r="F299">
        <ns0:f>COUNTIFS(Games_Raw!$K$2:$K$1232,"Yes",Games_Raw!$I$2:$I$1232,A299)</ns0:f>
        <ns0:v>52</ns0:v>
      </ns0:c>
      <ns0:c r="G299">
        <ns0:f>COUNTIFS(Games_Raw!$K$2:$K$1232,"Yes",Games_Raw!$J$2:$J$1232,A299)</ns0:f>
        <ns0:v>30</ns0:v>
      </ns0:c>
    </ns0:row>
    <ns0:row r="300">
      <ns0:c r="A300" t="inlineStr">
        <ns0:is>
          <ns0:t>Houston Rockets</ns0:t>
        </ns0:is>
      </ns0:c>
      <ns0:c r="B300" t="inlineStr">
        <ns0:is>
          <ns0:t>Detroit Pistons</ns0:t>
        </ns0:is>
      </ns0:c>
      <ns0:c r="C300">
        <ns0:f>COUNTIFS(Games_Raw!$K$2:$K$1232,"Yes",Games_Raw!$I$2:$I$1232,A300,Games_Raw!$J$2:$J$1232,B300)</ns0:f>
        <ns0:v>1</ns0:v>
      </ns0:c>
      <ns0:c r="D300">
        <ns0:f>COUNTIFS(Games_Raw!$K$2:$K$1232,"Yes",Games_Raw!$I$2:$I$1232,B300,Games_Raw!$J$2:$J$1232,A300)</ns0:f>
        <ns0:v>1</ns0:v>
      </ns0:c>
      <ns0:c r="E300" t="str">
        <ns0:f>C300&amp;"-"&amp;D300</ns0:f>
        <ns0:v>1-1</ns0:v>
      </ns0:c>
      <ns0:c r="F300">
        <ns0:f>COUNTIFS(Games_Raw!$K$2:$K$1232,"Yes",Games_Raw!$I$2:$I$1232,A300)</ns0:f>
        <ns0:v>52</ns0:v>
      </ns0:c>
      <ns0:c r="G300">
        <ns0:f>COUNTIFS(Games_Raw!$K$2:$K$1232,"Yes",Games_Raw!$J$2:$J$1232,A300)</ns0:f>
        <ns0:v>30</ns0:v>
      </ns0:c>
    </ns0:row>
    <ns0:row r="301">
      <ns0:c r="A301" t="inlineStr">
        <ns0:is>
          <ns0:t>Houston Rockets</ns0:t>
        </ns0:is>
      </ns0:c>
      <ns0:c r="B301" t="inlineStr">
        <ns0:is>
          <ns0:t>Golden State Warriors</ns0:t>
        </ns0:is>
      </ns0:c>
      <ns0:c r="C301">
        <ns0:f>COUNTIFS(Games_Raw!$K$2:$K$1232,"Yes",Games_Raw!$I$2:$I$1232,A301,Games_Raw!$J$2:$J$1232,B301)</ns0:f>
        <ns0:v>2</ns0:v>
      </ns0:c>
      <ns0:c r="D301">
        <ns0:f>COUNTIFS(Games_Raw!$K$2:$K$1232,"Yes",Games_Raw!$I$2:$I$1232,B301,Games_Raw!$J$2:$J$1232,A301)</ns0:f>
        <ns0:v>3</ns0:v>
      </ns0:c>
      <ns0:c r="E301" t="str">
        <ns0:f>C301&amp;"-"&amp;D301</ns0:f>
        <ns0:v>2-3</ns0:v>
      </ns0:c>
      <ns0:c r="F301">
        <ns0:f>COUNTIFS(Games_Raw!$K$2:$K$1232,"Yes",Games_Raw!$I$2:$I$1232,A301)</ns0:f>
        <ns0:v>52</ns0:v>
      </ns0:c>
      <ns0:c r="G301">
        <ns0:f>COUNTIFS(Games_Raw!$K$2:$K$1232,"Yes",Games_Raw!$J$2:$J$1232,A301)</ns0:f>
        <ns0:v>30</ns0:v>
      </ns0:c>
    </ns0:row>
    <ns0:row r="302">
      <ns0:c r="A302" t="inlineStr">
        <ns0:is>
          <ns0:t>Houston Rockets</ns0:t>
        </ns0:is>
      </ns0:c>
      <ns0:c r="B302" t="inlineStr">
        <ns0:is>
          <ns0:t>Indiana Pacers</ns0:t>
        </ns0:is>
      </ns0:c>
      <ns0:c r="C302">
        <ns0:f>COUNTIFS(Games_Raw!$K$2:$K$1232,"Yes",Games_Raw!$I$2:$I$1232,A302,Games_Raw!$J$2:$J$1232,B302)</ns0:f>
        <ns0:v>1</ns0:v>
      </ns0:c>
      <ns0:c r="D302">
        <ns0:f>COUNTIFS(Games_Raw!$K$2:$K$1232,"Yes",Games_Raw!$I$2:$I$1232,B302,Games_Raw!$J$2:$J$1232,A302)</ns0:f>
        <ns0:v>1</ns0:v>
      </ns0:c>
      <ns0:c r="E302" t="str">
        <ns0:f>C302&amp;"-"&amp;D302</ns0:f>
        <ns0:v>1-1</ns0:v>
      </ns0:c>
      <ns0:c r="F302">
        <ns0:f>COUNTIFS(Games_Raw!$K$2:$K$1232,"Yes",Games_Raw!$I$2:$I$1232,A302)</ns0:f>
        <ns0:v>52</ns0:v>
      </ns0:c>
      <ns0:c r="G302">
        <ns0:f>COUNTIFS(Games_Raw!$K$2:$K$1232,"Yes",Games_Raw!$J$2:$J$1232,A302)</ns0:f>
        <ns0:v>30</ns0:v>
      </ns0:c>
    </ns0:row>
    <ns0:row r="303">
      <ns0:c r="A303" t="inlineStr">
        <ns0:is>
          <ns0:t>Houston Rockets</ns0:t>
        </ns0:is>
      </ns0:c>
      <ns0:c r="B303" t="inlineStr">
        <ns0:is>
          <ns0:t>LA Clippers</ns0:t>
        </ns0:is>
      </ns0:c>
      <ns0:c r="C303">
        <ns0:f>COUNTIFS(Games_Raw!$K$2:$K$1232,"Yes",Games_Raw!$I$2:$I$1232,A303,Games_Raw!$J$2:$J$1232,B303)</ns0:f>
        <ns0:v>3</ns0:v>
      </ns0:c>
      <ns0:c r="D303">
        <ns0:f>COUNTIFS(Games_Raw!$K$2:$K$1232,"Yes",Games_Raw!$I$2:$I$1232,B303,Games_Raw!$J$2:$J$1232,A303)</ns0:f>
        <ns0:v>1</ns0:v>
      </ns0:c>
      <ns0:c r="E303" t="str">
        <ns0:f>C303&amp;"-"&amp;D303</ns0:f>
        <ns0:v>3-1</ns0:v>
      </ns0:c>
      <ns0:c r="F303">
        <ns0:f>COUNTIFS(Games_Raw!$K$2:$K$1232,"Yes",Games_Raw!$I$2:$I$1232,A303)</ns0:f>
        <ns0:v>52</ns0:v>
      </ns0:c>
      <ns0:c r="G303">
        <ns0:f>COUNTIFS(Games_Raw!$K$2:$K$1232,"Yes",Games_Raw!$J$2:$J$1232,A303)</ns0:f>
        <ns0:v>30</ns0:v>
      </ns0:c>
    </ns0:row>
    <ns0:row r="304">
      <ns0:c r="A304" t="inlineStr">
        <ns0:is>
          <ns0:t>Houston Rockets</ns0:t>
        </ns0:is>
      </ns0:c>
      <ns0:c r="B304" t="inlineStr">
        <ns0:is>
          <ns0:t>Los Angeles Lakers</ns0:t>
        </ns0:is>
      </ns0:c>
      <ns0:c r="C304">
        <ns0:f>COUNTIFS(Games_Raw!$K$2:$K$1232,"Yes",Games_Raw!$I$2:$I$1232,A304,Games_Raw!$J$2:$J$1232,B304)</ns0:f>
        <ns0:v>1</ns0:v>
      </ns0:c>
      <ns0:c r="D304">
        <ns0:f>COUNTIFS(Games_Raw!$K$2:$K$1232,"Yes",Games_Raw!$I$2:$I$1232,B304,Games_Raw!$J$2:$J$1232,A304)</ns0:f>
        <ns0:v>2</ns0:v>
      </ns0:c>
      <ns0:c r="E304" t="str">
        <ns0:f>C304&amp;"-"&amp;D304</ns0:f>
        <ns0:v>1-2</ns0:v>
      </ns0:c>
      <ns0:c r="F304">
        <ns0:f>COUNTIFS(Games_Raw!$K$2:$K$1232,"Yes",Games_Raw!$I$2:$I$1232,A304)</ns0:f>
        <ns0:v>52</ns0:v>
      </ns0:c>
      <ns0:c r="G304">
        <ns0:f>COUNTIFS(Games_Raw!$K$2:$K$1232,"Yes",Games_Raw!$J$2:$J$1232,A304)</ns0:f>
        <ns0:v>30</ns0:v>
      </ns0:c>
    </ns0:row>
    <ns0:row r="305">
      <ns0:c r="A305" t="inlineStr">
        <ns0:is>
          <ns0:t>Houston Rockets</ns0:t>
        </ns0:is>
      </ns0:c>
      <ns0:c r="B305" t="inlineStr">
        <ns0:is>
          <ns0:t>Memphis Grizzlies</ns0:t>
        </ns0:is>
      </ns0:c>
      <ns0:c r="C305">
        <ns0:f>COUNTIFS(Games_Raw!$K$2:$K$1232,"Yes",Games_Raw!$I$2:$I$1232,A305,Games_Raw!$J$2:$J$1232,B305)</ns0:f>
        <ns0:v>3</ns0:v>
      </ns0:c>
      <ns0:c r="D305">
        <ns0:f>COUNTIFS(Games_Raw!$K$2:$K$1232,"Yes",Games_Raw!$I$2:$I$1232,B305,Games_Raw!$J$2:$J$1232,A305)</ns0:f>
        <ns0:v>1</ns0:v>
      </ns0:c>
      <ns0:c r="E305" t="str">
        <ns0:f>C305&amp;"-"&amp;D305</ns0:f>
        <ns0:v>3-1</ns0:v>
      </ns0:c>
      <ns0:c r="F305">
        <ns0:f>COUNTIFS(Games_Raw!$K$2:$K$1232,"Yes",Games_Raw!$I$2:$I$1232,A305)</ns0:f>
        <ns0:v>52</ns0:v>
      </ns0:c>
      <ns0:c r="G305">
        <ns0:f>COUNTIFS(Games_Raw!$K$2:$K$1232,"Yes",Games_Raw!$J$2:$J$1232,A305)</ns0:f>
        <ns0:v>30</ns0:v>
      </ns0:c>
    </ns0:row>
    <ns0:row r="306">
      <ns0:c r="A306" t="inlineStr">
        <ns0:is>
          <ns0:t>Houston Rockets</ns0:t>
        </ns0:is>
      </ns0:c>
      <ns0:c r="B306" t="inlineStr">
        <ns0:is>
          <ns0:t>Miami Heat</ns0:t>
        </ns0:is>
      </ns0:c>
      <ns0:c r="C306">
        <ns0:f>COUNTIFS(Games_Raw!$K$2:$K$1232,"Yes",Games_Raw!$I$2:$I$1232,A306,Games_Raw!$J$2:$J$1232,B306)</ns0:f>
        <ns0:v>1</ns0:v>
      </ns0:c>
      <ns0:c r="D306">
        <ns0:f>COUNTIFS(Games_Raw!$K$2:$K$1232,"Yes",Games_Raw!$I$2:$I$1232,B306,Games_Raw!$J$2:$J$1232,A306)</ns0:f>
        <ns0:v>1</ns0:v>
      </ns0:c>
      <ns0:c r="E306" t="str">
        <ns0:f>C306&amp;"-"&amp;D306</ns0:f>
        <ns0:v>1-1</ns0:v>
      </ns0:c>
      <ns0:c r="F306">
        <ns0:f>COUNTIFS(Games_Raw!$K$2:$K$1232,"Yes",Games_Raw!$I$2:$I$1232,A306)</ns0:f>
        <ns0:v>52</ns0:v>
      </ns0:c>
      <ns0:c r="G306">
        <ns0:f>COUNTIFS(Games_Raw!$K$2:$K$1232,"Yes",Games_Raw!$J$2:$J$1232,A306)</ns0:f>
        <ns0:v>30</ns0:v>
      </ns0:c>
    </ns0:row>
    <ns0:row r="307">
      <ns0:c r="A307" t="inlineStr">
        <ns0:is>
          <ns0:t>Houston Rockets</ns0:t>
        </ns0:is>
      </ns0:c>
      <ns0:c r="B307" t="inlineStr">
        <ns0:is>
          <ns0:t>Milwaukee Bucks</ns0:t>
        </ns0:is>
      </ns0:c>
      <ns0:c r="C307">
        <ns0:f>COUNTIFS(Games_Raw!$K$2:$K$1232,"Yes",Games_Raw!$I$2:$I$1232,A307,Games_Raw!$J$2:$J$1232,B307)</ns0:f>
        <ns0:v>1</ns0:v>
      </ns0:c>
      <ns0:c r="D307">
        <ns0:f>COUNTIFS(Games_Raw!$K$2:$K$1232,"Yes",Games_Raw!$I$2:$I$1232,B307,Games_Raw!$J$2:$J$1232,A307)</ns0:f>
        <ns0:v>1</ns0:v>
      </ns0:c>
      <ns0:c r="E307" t="str">
        <ns0:f>C307&amp;"-"&amp;D307</ns0:f>
        <ns0:v>1-1</ns0:v>
      </ns0:c>
      <ns0:c r="F307">
        <ns0:f>COUNTIFS(Games_Raw!$K$2:$K$1232,"Yes",Games_Raw!$I$2:$I$1232,A307)</ns0:f>
        <ns0:v>52</ns0:v>
      </ns0:c>
      <ns0:c r="G307">
        <ns0:f>COUNTIFS(Games_Raw!$K$2:$K$1232,"Yes",Games_Raw!$J$2:$J$1232,A307)</ns0:f>
        <ns0:v>30</ns0:v>
      </ns0:c>
    </ns0:row>
    <ns0:row r="308">
      <ns0:c r="A308" t="inlineStr">
        <ns0:is>
          <ns0:t>Houston Rockets</ns0:t>
        </ns0:is>
      </ns0:c>
      <ns0:c r="B308" t="inlineStr">
        <ns0:is>
          <ns0:t>Minnesota Timberwolves</ns0:t>
        </ns0:is>
      </ns0:c>
      <ns0:c r="C308">
        <ns0:f>COUNTIFS(Games_Raw!$K$2:$K$1232,"Yes",Games_Raw!$I$2:$I$1232,A308,Games_Raw!$J$2:$J$1232,B308)</ns0:f>
        <ns0:v>2</ns0:v>
      </ns0:c>
      <ns0:c r="D308">
        <ns0:f>COUNTIFS(Games_Raw!$K$2:$K$1232,"Yes",Games_Raw!$I$2:$I$1232,B308,Games_Raw!$J$2:$J$1232,A308)</ns0:f>
        <ns0:v>2</ns0:v>
      </ns0:c>
      <ns0:c r="E308" t="str">
        <ns0:f>C308&amp;"-"&amp;D308</ns0:f>
        <ns0:v>2-2</ns0:v>
      </ns0:c>
      <ns0:c r="F308">
        <ns0:f>COUNTIFS(Games_Raw!$K$2:$K$1232,"Yes",Games_Raw!$I$2:$I$1232,A308)</ns0:f>
        <ns0:v>52</ns0:v>
      </ns0:c>
      <ns0:c r="G308">
        <ns0:f>COUNTIFS(Games_Raw!$K$2:$K$1232,"Yes",Games_Raw!$J$2:$J$1232,A308)</ns0:f>
        <ns0:v>30</ns0:v>
      </ns0:c>
    </ns0:row>
    <ns0:row r="309">
      <ns0:c r="A309" t="inlineStr">
        <ns0:is>
          <ns0:t>Houston Rockets</ns0:t>
        </ns0:is>
      </ns0:c>
      <ns0:c r="B309" t="inlineStr">
        <ns0:is>
          <ns0:t>New Orleans Pelicans</ns0:t>
        </ns0:is>
      </ns0:c>
      <ns0:c r="C309">
        <ns0:f>COUNTIFS(Games_Raw!$K$2:$K$1232,"Yes",Games_Raw!$I$2:$I$1232,A309,Games_Raw!$J$2:$J$1232,B309)</ns0:f>
        <ns0:v>4</ns0:v>
      </ns0:c>
      <ns0:c r="D309">
        <ns0:f>COUNTIFS(Games_Raw!$K$2:$K$1232,"Yes",Games_Raw!$I$2:$I$1232,B309,Games_Raw!$J$2:$J$1232,A309)</ns0:f>
        <ns0:v>0</ns0:v>
      </ns0:c>
      <ns0:c r="E309" t="str">
        <ns0:f>C309&amp;"-"&amp;D309</ns0:f>
        <ns0:v>4-0</ns0:v>
      </ns0:c>
      <ns0:c r="F309">
        <ns0:f>COUNTIFS(Games_Raw!$K$2:$K$1232,"Yes",Games_Raw!$I$2:$I$1232,A309)</ns0:f>
        <ns0:v>52</ns0:v>
      </ns0:c>
      <ns0:c r="G309">
        <ns0:f>COUNTIFS(Games_Raw!$K$2:$K$1232,"Yes",Games_Raw!$J$2:$J$1232,A309)</ns0:f>
        <ns0:v>30</ns0:v>
      </ns0:c>
    </ns0:row>
    <ns0:row r="310">
      <ns0:c r="A310" t="inlineStr">
        <ns0:is>
          <ns0:t>Houston Rockets</ns0:t>
        </ns0:is>
      </ns0:c>
      <ns0:c r="B310" t="inlineStr">
        <ns0:is>
          <ns0:t>New York Knicks</ns0:t>
        </ns0:is>
      </ns0:c>
      <ns0:c r="C310">
        <ns0:f>COUNTIFS(Games_Raw!$K$2:$K$1232,"Yes",Games_Raw!$I$2:$I$1232,A310,Games_Raw!$J$2:$J$1232,B310)</ns0:f>
        <ns0:v>1</ns0:v>
      </ns0:c>
      <ns0:c r="D310">
        <ns0:f>COUNTIFS(Games_Raw!$K$2:$K$1232,"Yes",Games_Raw!$I$2:$I$1232,B310,Games_Raw!$J$2:$J$1232,A310)</ns0:f>
        <ns0:v>1</ns0:v>
      </ns0:c>
      <ns0:c r="E310" t="str">
        <ns0:f>C310&amp;"-"&amp;D310</ns0:f>
        <ns0:v>1-1</ns0:v>
      </ns0:c>
      <ns0:c r="F310">
        <ns0:f>COUNTIFS(Games_Raw!$K$2:$K$1232,"Yes",Games_Raw!$I$2:$I$1232,A310)</ns0:f>
        <ns0:v>52</ns0:v>
      </ns0:c>
      <ns0:c r="G310">
        <ns0:f>COUNTIFS(Games_Raw!$K$2:$K$1232,"Yes",Games_Raw!$J$2:$J$1232,A310)</ns0:f>
        <ns0:v>30</ns0:v>
      </ns0:c>
    </ns0:row>
    <ns0:row r="311">
      <ns0:c r="A311" t="inlineStr">
        <ns0:is>
          <ns0:t>Houston Rockets</ns0:t>
        </ns0:is>
      </ns0:c>
      <ns0:c r="B311" t="inlineStr">
        <ns0:is>
          <ns0:t>Oklahoma City Thunder</ns0:t>
        </ns0:is>
      </ns0:c>
      <ns0:c r="C311">
        <ns0:f>COUNTIFS(Games_Raw!$K$2:$K$1232,"Yes",Games_Raw!$I$2:$I$1232,A311,Games_Raw!$J$2:$J$1232,B311)</ns0:f>
        <ns0:v>2</ns0:v>
      </ns0:c>
      <ns0:c r="D311">
        <ns0:f>COUNTIFS(Games_Raw!$K$2:$K$1232,"Yes",Games_Raw!$I$2:$I$1232,B311,Games_Raw!$J$2:$J$1232,A311)</ns0:f>
        <ns0:v>3</ns0:v>
      </ns0:c>
      <ns0:c r="E311" t="str">
        <ns0:f>C311&amp;"-"&amp;D311</ns0:f>
        <ns0:v>2-3</ns0:v>
      </ns0:c>
      <ns0:c r="F311">
        <ns0:f>COUNTIFS(Games_Raw!$K$2:$K$1232,"Yes",Games_Raw!$I$2:$I$1232,A311)</ns0:f>
        <ns0:v>52</ns0:v>
      </ns0:c>
      <ns0:c r="G311">
        <ns0:f>COUNTIFS(Games_Raw!$K$2:$K$1232,"Yes",Games_Raw!$J$2:$J$1232,A311)</ns0:f>
        <ns0:v>30</ns0:v>
      </ns0:c>
    </ns0:row>
    <ns0:row r="312">
      <ns0:c r="A312" t="inlineStr">
        <ns0:is>
          <ns0:t>Houston Rockets</ns0:t>
        </ns0:is>
      </ns0:c>
      <ns0:c r="B312" t="inlineStr">
        <ns0:is>
          <ns0:t>Orlando Magic</ns0:t>
        </ns0:is>
      </ns0:c>
      <ns0:c r="C312">
        <ns0:f>COUNTIFS(Games_Raw!$K$2:$K$1232,"Yes",Games_Raw!$I$2:$I$1232,A312,Games_Raw!$J$2:$J$1232,B312)</ns0:f>
        <ns0:v>2</ns0:v>
      </ns0:c>
      <ns0:c r="D312">
        <ns0:f>COUNTIFS(Games_Raw!$K$2:$K$1232,"Yes",Games_Raw!$I$2:$I$1232,B312,Games_Raw!$J$2:$J$1232,A312)</ns0:f>
        <ns0:v>0</ns0:v>
      </ns0:c>
      <ns0:c r="E312" t="str">
        <ns0:f>C312&amp;"-"&amp;D312</ns0:f>
        <ns0:v>2-0</ns0:v>
      </ns0:c>
      <ns0:c r="F312">
        <ns0:f>COUNTIFS(Games_Raw!$K$2:$K$1232,"Yes",Games_Raw!$I$2:$I$1232,A312)</ns0:f>
        <ns0:v>52</ns0:v>
      </ns0:c>
      <ns0:c r="G312">
        <ns0:f>COUNTIFS(Games_Raw!$K$2:$K$1232,"Yes",Games_Raw!$J$2:$J$1232,A312)</ns0:f>
        <ns0:v>30</ns0:v>
      </ns0:c>
    </ns0:row>
    <ns0:row r="313">
      <ns0:c r="A313" t="inlineStr">
        <ns0:is>
          <ns0:t>Houston Rockets</ns0:t>
        </ns0:is>
      </ns0:c>
      <ns0:c r="B313" t="inlineStr">
        <ns0:is>
          <ns0:t>Philadelphia 76ers</ns0:t>
        </ns0:is>
      </ns0:c>
      <ns0:c r="C313">
        <ns0:f>COUNTIFS(Games_Raw!$K$2:$K$1232,"Yes",Games_Raw!$I$2:$I$1232,A313,Games_Raw!$J$2:$J$1232,B313)</ns0:f>
        <ns0:v>2</ns0:v>
      </ns0:c>
      <ns0:c r="D313">
        <ns0:f>COUNTIFS(Games_Raw!$K$2:$K$1232,"Yes",Games_Raw!$I$2:$I$1232,B313,Games_Raw!$J$2:$J$1232,A313)</ns0:f>
        <ns0:v>0</ns0:v>
      </ns0:c>
      <ns0:c r="E313" t="str">
        <ns0:f>C313&amp;"-"&amp;D313</ns0:f>
        <ns0:v>2-0</ns0:v>
      </ns0:c>
      <ns0:c r="F313">
        <ns0:f>COUNTIFS(Games_Raw!$K$2:$K$1232,"Yes",Games_Raw!$I$2:$I$1232,A313)</ns0:f>
        <ns0:v>52</ns0:v>
      </ns0:c>
      <ns0:c r="G313">
        <ns0:f>COUNTIFS(Games_Raw!$K$2:$K$1232,"Yes",Games_Raw!$J$2:$J$1232,A313)</ns0:f>
        <ns0:v>30</ns0:v>
      </ns0:c>
    </ns0:row>
    <ns0:row r="314">
      <ns0:c r="A314" t="inlineStr">
        <ns0:is>
          <ns0:t>Houston Rockets</ns0:t>
        </ns0:is>
      </ns0:c>
      <ns0:c r="B314" t="inlineStr">
        <ns0:is>
          <ns0:t>Phoenix Suns</ns0:t>
        </ns0:is>
      </ns0:c>
      <ns0:c r="C314">
        <ns0:f>COUNTIFS(Games_Raw!$K$2:$K$1232,"Yes",Games_Raw!$I$2:$I$1232,A314,Games_Raw!$J$2:$J$1232,B314)</ns0:f>
        <ns0:v>3</ns0:v>
      </ns0:c>
      <ns0:c r="D314">
        <ns0:f>COUNTIFS(Games_Raw!$K$2:$K$1232,"Yes",Games_Raw!$I$2:$I$1232,B314,Games_Raw!$J$2:$J$1232,A314)</ns0:f>
        <ns0:v>0</ns0:v>
      </ns0:c>
      <ns0:c r="E314" t="str">
        <ns0:f>C314&amp;"-"&amp;D314</ns0:f>
        <ns0:v>3-0</ns0:v>
      </ns0:c>
      <ns0:c r="F314">
        <ns0:f>COUNTIFS(Games_Raw!$K$2:$K$1232,"Yes",Games_Raw!$I$2:$I$1232,A314)</ns0:f>
        <ns0:v>52</ns0:v>
      </ns0:c>
      <ns0:c r="G314">
        <ns0:f>COUNTIFS(Games_Raw!$K$2:$K$1232,"Yes",Games_Raw!$J$2:$J$1232,A314)</ns0:f>
        <ns0:v>30</ns0:v>
      </ns0:c>
    </ns0:row>
    <ns0:row r="315">
      <ns0:c r="A315" t="inlineStr">
        <ns0:is>
          <ns0:t>Houston Rockets</ns0:t>
        </ns0:is>
      </ns0:c>
      <ns0:c r="B315" t="inlineStr">
        <ns0:is>
          <ns0:t>Portland Trail Blazers</ns0:t>
        </ns0:is>
      </ns0:c>
      <ns0:c r="C315">
        <ns0:f>COUNTIFS(Games_Raw!$K$2:$K$1232,"Yes",Games_Raw!$I$2:$I$1232,A315,Games_Raw!$J$2:$J$1232,B315)</ns0:f>
        <ns0:v>2</ns0:v>
      </ns0:c>
      <ns0:c r="D315">
        <ns0:f>COUNTIFS(Games_Raw!$K$2:$K$1232,"Yes",Games_Raw!$I$2:$I$1232,B315,Games_Raw!$J$2:$J$1232,A315)</ns0:f>
        <ns0:v>1</ns0:v>
      </ns0:c>
      <ns0:c r="E315" t="str">
        <ns0:f>C315&amp;"-"&amp;D315</ns0:f>
        <ns0:v>2-1</ns0:v>
      </ns0:c>
      <ns0:c r="F315">
        <ns0:f>COUNTIFS(Games_Raw!$K$2:$K$1232,"Yes",Games_Raw!$I$2:$I$1232,A315)</ns0:f>
        <ns0:v>52</ns0:v>
      </ns0:c>
      <ns0:c r="G315">
        <ns0:f>COUNTIFS(Games_Raw!$K$2:$K$1232,"Yes",Games_Raw!$J$2:$J$1232,A315)</ns0:f>
        <ns0:v>30</ns0:v>
      </ns0:c>
    </ns0:row>
    <ns0:row r="316">
      <ns0:c r="A316" t="inlineStr">
        <ns0:is>
          <ns0:t>Houston Rockets</ns0:t>
        </ns0:is>
      </ns0:c>
      <ns0:c r="B316" t="inlineStr">
        <ns0:is>
          <ns0:t>Sacramento Kings</ns0:t>
        </ns0:is>
      </ns0:c>
      <ns0:c r="C316">
        <ns0:f>COUNTIFS(Games_Raw!$K$2:$K$1232,"Yes",Games_Raw!$I$2:$I$1232,A316,Games_Raw!$J$2:$J$1232,B316)</ns0:f>
        <ns0:v>0</ns0:v>
      </ns0:c>
      <ns0:c r="D316">
        <ns0:f>COUNTIFS(Games_Raw!$K$2:$K$1232,"Yes",Games_Raw!$I$2:$I$1232,B316,Games_Raw!$J$2:$J$1232,A316)</ns0:f>
        <ns0:v>3</ns0:v>
      </ns0:c>
      <ns0:c r="E316" t="str">
        <ns0:f>C316&amp;"-"&amp;D316</ns0:f>
        <ns0:v>0-3</ns0:v>
      </ns0:c>
      <ns0:c r="F316">
        <ns0:f>COUNTIFS(Games_Raw!$K$2:$K$1232,"Yes",Games_Raw!$I$2:$I$1232,A316)</ns0:f>
        <ns0:v>52</ns0:v>
      </ns0:c>
      <ns0:c r="G316">
        <ns0:f>COUNTIFS(Games_Raw!$K$2:$K$1232,"Yes",Games_Raw!$J$2:$J$1232,A316)</ns0:f>
        <ns0:v>30</ns0:v>
      </ns0:c>
    </ns0:row>
    <ns0:row r="317">
      <ns0:c r="A317" t="inlineStr">
        <ns0:is>
          <ns0:t>Houston Rockets</ns0:t>
        </ns0:is>
      </ns0:c>
      <ns0:c r="B317" t="inlineStr">
        <ns0:is>
          <ns0:t>San Antonio Spurs</ns0:t>
        </ns0:is>
      </ns0:c>
      <ns0:c r="C317">
        <ns0:f>COUNTIFS(Games_Raw!$K$2:$K$1232,"Yes",Games_Raw!$I$2:$I$1232,A317,Games_Raw!$J$2:$J$1232,B317)</ns0:f>
        <ns0:v>3</ns0:v>
      </ns0:c>
      <ns0:c r="D317">
        <ns0:f>COUNTIFS(Games_Raw!$K$2:$K$1232,"Yes",Games_Raw!$I$2:$I$1232,B317,Games_Raw!$J$2:$J$1232,A317)</ns0:f>
        <ns0:v>1</ns0:v>
      </ns0:c>
      <ns0:c r="E317" t="str">
        <ns0:f>C317&amp;"-"&amp;D317</ns0:f>
        <ns0:v>3-1</ns0:v>
      </ns0:c>
      <ns0:c r="F317">
        <ns0:f>COUNTIFS(Games_Raw!$K$2:$K$1232,"Yes",Games_Raw!$I$2:$I$1232,A317)</ns0:f>
        <ns0:v>52</ns0:v>
      </ns0:c>
      <ns0:c r="G317">
        <ns0:f>COUNTIFS(Games_Raw!$K$2:$K$1232,"Yes",Games_Raw!$J$2:$J$1232,A317)</ns0:f>
        <ns0:v>30</ns0:v>
      </ns0:c>
    </ns0:row>
    <ns0:row r="318">
      <ns0:c r="A318" t="inlineStr">
        <ns0:is>
          <ns0:t>Houston Rockets</ns0:t>
        </ns0:is>
      </ns0:c>
      <ns0:c r="B318" t="inlineStr">
        <ns0:is>
          <ns0:t>Toronto Raptors</ns0:t>
        </ns0:is>
      </ns0:c>
      <ns0:c r="C318">
        <ns0:f>COUNTIFS(Games_Raw!$K$2:$K$1232,"Yes",Games_Raw!$I$2:$I$1232,A318,Games_Raw!$J$2:$J$1232,B318)</ns0:f>
        <ns0:v>2</ns0:v>
      </ns0:c>
      <ns0:c r="D318">
        <ns0:f>COUNTIFS(Games_Raw!$K$2:$K$1232,"Yes",Games_Raw!$I$2:$I$1232,B318,Games_Raw!$J$2:$J$1232,A318)</ns0:f>
        <ns0:v>0</ns0:v>
      </ns0:c>
      <ns0:c r="E318" t="str">
        <ns0:f>C318&amp;"-"&amp;D318</ns0:f>
        <ns0:v>2-0</ns0:v>
      </ns0:c>
      <ns0:c r="F318">
        <ns0:f>COUNTIFS(Games_Raw!$K$2:$K$1232,"Yes",Games_Raw!$I$2:$I$1232,A318)</ns0:f>
        <ns0:v>52</ns0:v>
      </ns0:c>
      <ns0:c r="G318">
        <ns0:f>COUNTIFS(Games_Raw!$K$2:$K$1232,"Yes",Games_Raw!$J$2:$J$1232,A318)</ns0:f>
        <ns0:v>30</ns0:v>
      </ns0:c>
    </ns0:row>
    <ns0:row r="319">
      <ns0:c r="A319" t="inlineStr">
        <ns0:is>
          <ns0:t>Houston Rockets</ns0:t>
        </ns0:is>
      </ns0:c>
      <ns0:c r="B319" t="inlineStr">
        <ns0:is>
          <ns0:t>Utah Jazz</ns0:t>
        </ns0:is>
      </ns0:c>
      <ns0:c r="C319">
        <ns0:f>COUNTIFS(Games_Raw!$K$2:$K$1232,"Yes",Games_Raw!$I$2:$I$1232,A319,Games_Raw!$J$2:$J$1232,B319)</ns0:f>
        <ns0:v>2</ns0:v>
      </ns0:c>
      <ns0:c r="D319">
        <ns0:f>COUNTIFS(Games_Raw!$K$2:$K$1232,"Yes",Games_Raw!$I$2:$I$1232,B319,Games_Raw!$J$2:$J$1232,A319)</ns0:f>
        <ns0:v>1</ns0:v>
      </ns0:c>
      <ns0:c r="E319" t="str">
        <ns0:f>C319&amp;"-"&amp;D319</ns0:f>
        <ns0:v>2-1</ns0:v>
      </ns0:c>
      <ns0:c r="F319">
        <ns0:f>COUNTIFS(Games_Raw!$K$2:$K$1232,"Yes",Games_Raw!$I$2:$I$1232,A319)</ns0:f>
        <ns0:v>52</ns0:v>
      </ns0:c>
      <ns0:c r="G319">
        <ns0:f>COUNTIFS(Games_Raw!$K$2:$K$1232,"Yes",Games_Raw!$J$2:$J$1232,A319)</ns0:f>
        <ns0:v>30</ns0:v>
      </ns0:c>
    </ns0:row>
    <ns0:row r="320">
      <ns0:c r="A320" t="inlineStr">
        <ns0:is>
          <ns0:t>Houston Rockets</ns0:t>
        </ns0:is>
      </ns0:c>
      <ns0:c r="B320" t="inlineStr">
        <ns0:is>
          <ns0:t>Washington Wizards</ns0:t>
        </ns0:is>
      </ns0:c>
      <ns0:c r="C320">
        <ns0:f>COUNTIFS(Games_Raw!$K$2:$K$1232,"Yes",Games_Raw!$I$2:$I$1232,A320,Games_Raw!$J$2:$J$1232,B320)</ns0:f>
        <ns0:v>2</ns0:v>
      </ns0:c>
      <ns0:c r="D320">
        <ns0:f>COUNTIFS(Games_Raw!$K$2:$K$1232,"Yes",Games_Raw!$I$2:$I$1232,B320,Games_Raw!$J$2:$J$1232,A320)</ns0:f>
        <ns0:v>0</ns0:v>
      </ns0:c>
      <ns0:c r="E320" t="str">
        <ns0:f>C320&amp;"-"&amp;D320</ns0:f>
        <ns0:v>2-0</ns0:v>
      </ns0:c>
      <ns0:c r="F320">
        <ns0:f>COUNTIFS(Games_Raw!$K$2:$K$1232,"Yes",Games_Raw!$I$2:$I$1232,A320)</ns0:f>
        <ns0:v>52</ns0:v>
      </ns0:c>
      <ns0:c r="G320">
        <ns0:f>COUNTIFS(Games_Raw!$K$2:$K$1232,"Yes",Games_Raw!$J$2:$J$1232,A320)</ns0:f>
        <ns0:v>30</ns0:v>
      </ns0:c>
    </ns0:row>
    <ns0:row r="321">
      <ns0:c r="A321" t="inlineStr">
        <ns0:is>
          <ns0:t>Indiana Pacers</ns0:t>
        </ns0:is>
      </ns0:c>
      <ns0:c r="B321" t="inlineStr">
        <ns0:is>
          <ns0:t>Atlanta Hawks</ns0:t>
        </ns0:is>
      </ns0:c>
      <ns0:c r="C321">
        <ns0:f>COUNTIFS(Games_Raw!$K$2:$K$1232,"Yes",Games_Raw!$I$2:$I$1232,A321,Games_Raw!$J$2:$J$1232,B321)</ns0:f>
        <ns0:v>1</ns0:v>
      </ns0:c>
      <ns0:c r="D321">
        <ns0:f>COUNTIFS(Games_Raw!$K$2:$K$1232,"Yes",Games_Raw!$I$2:$I$1232,B321,Games_Raw!$J$2:$J$1232,A321)</ns0:f>
        <ns0:v>2</ns0:v>
      </ns0:c>
      <ns0:c r="E321" t="str">
        <ns0:f>C321&amp;"-"&amp;D321</ns0:f>
        <ns0:v>1-2</ns0:v>
      </ns0:c>
      <ns0:c r="F321">
        <ns0:f>COUNTIFS(Games_Raw!$K$2:$K$1232,"Yes",Games_Raw!$I$2:$I$1232,A321)</ns0:f>
        <ns0:v>50</ns0:v>
      </ns0:c>
      <ns0:c r="G321">
        <ns0:f>COUNTIFS(Games_Raw!$K$2:$K$1232,"Yes",Games_Raw!$J$2:$J$1232,A321)</ns0:f>
        <ns0:v>32</ns0:v>
      </ns0:c>
    </ns0:row>
    <ns0:row r="322">
      <ns0:c r="A322" t="inlineStr">
        <ns0:is>
          <ns0:t>Indiana Pacers</ns0:t>
        </ns0:is>
      </ns0:c>
      <ns0:c r="B322" t="inlineStr">
        <ns0:is>
          <ns0:t>Boston Celtics</ns0:t>
        </ns0:is>
      </ns0:c>
      <ns0:c r="C322">
        <ns0:f>COUNTIFS(Games_Raw!$K$2:$K$1232,"Yes",Games_Raw!$I$2:$I$1232,A322,Games_Raw!$J$2:$J$1232,B322)</ns0:f>
        <ns0:v>2</ns0:v>
      </ns0:c>
      <ns0:c r="D322">
        <ns0:f>COUNTIFS(Games_Raw!$K$2:$K$1232,"Yes",Games_Raw!$I$2:$I$1232,B322,Games_Raw!$J$2:$J$1232,A322)</ns0:f>
        <ns0:v>1</ns0:v>
      </ns0:c>
      <ns0:c r="E322" t="str">
        <ns0:f>C322&amp;"-"&amp;D322</ns0:f>
        <ns0:v>2-1</ns0:v>
      </ns0:c>
      <ns0:c r="F322">
        <ns0:f>COUNTIFS(Games_Raw!$K$2:$K$1232,"Yes",Games_Raw!$I$2:$I$1232,A322)</ns0:f>
        <ns0:v>50</ns0:v>
      </ns0:c>
      <ns0:c r="G322">
        <ns0:f>COUNTIFS(Games_Raw!$K$2:$K$1232,"Yes",Games_Raw!$J$2:$J$1232,A322)</ns0:f>
        <ns0:v>32</ns0:v>
      </ns0:c>
    </ns0:row>
    <ns0:row r="323">
      <ns0:c r="A323" t="inlineStr">
        <ns0:is>
          <ns0:t>Indiana Pacers</ns0:t>
        </ns0:is>
      </ns0:c>
      <ns0:c r="B323" t="inlineStr">
        <ns0:is>
          <ns0:t>Brooklyn Nets</ns0:t>
        </ns0:is>
      </ns0:c>
      <ns0:c r="C323">
        <ns0:f>COUNTIFS(Games_Raw!$K$2:$K$1232,"Yes",Games_Raw!$I$2:$I$1232,A323,Games_Raw!$J$2:$J$1232,B323)</ns0:f>
        <ns0:v>3</ns0:v>
      </ns0:c>
      <ns0:c r="D323">
        <ns0:f>COUNTIFS(Games_Raw!$K$2:$K$1232,"Yes",Games_Raw!$I$2:$I$1232,B323,Games_Raw!$J$2:$J$1232,A323)</ns0:f>
        <ns0:v>1</ns0:v>
      </ns0:c>
      <ns0:c r="E323" t="str">
        <ns0:f>C323&amp;"-"&amp;D323</ns0:f>
        <ns0:v>3-1</ns0:v>
      </ns0:c>
      <ns0:c r="F323">
        <ns0:f>COUNTIFS(Games_Raw!$K$2:$K$1232,"Yes",Games_Raw!$I$2:$I$1232,A323)</ns0:f>
        <ns0:v>50</ns0:v>
      </ns0:c>
      <ns0:c r="G323">
        <ns0:f>COUNTIFS(Games_Raw!$K$2:$K$1232,"Yes",Games_Raw!$J$2:$J$1232,A323)</ns0:f>
        <ns0:v>32</ns0:v>
      </ns0:c>
    </ns0:row>
    <ns0:row r="324">
      <ns0:c r="A324" t="inlineStr">
        <ns0:is>
          <ns0:t>Indiana Pacers</ns0:t>
        </ns0:is>
      </ns0:c>
      <ns0:c r="B324" t="inlineStr">
        <ns0:is>
          <ns0:t>Charlotte Hornets</ns0:t>
        </ns0:is>
      </ns0:c>
      <ns0:c r="C324">
        <ns0:f>COUNTIFS(Games_Raw!$K$2:$K$1232,"Yes",Games_Raw!$I$2:$I$1232,A324,Games_Raw!$J$2:$J$1232,B324)</ns0:f>
        <ns0:v>1</ns0:v>
      </ns0:c>
      <ns0:c r="D324">
        <ns0:f>COUNTIFS(Games_Raw!$K$2:$K$1232,"Yes",Games_Raw!$I$2:$I$1232,B324,Games_Raw!$J$2:$J$1232,A324)</ns0:f>
        <ns0:v>2</ns0:v>
      </ns0:c>
      <ns0:c r="E324" t="str">
        <ns0:f>C324&amp;"-"&amp;D324</ns0:f>
        <ns0:v>1-2</ns0:v>
      </ns0:c>
      <ns0:c r="F324">
        <ns0:f>COUNTIFS(Games_Raw!$K$2:$K$1232,"Yes",Games_Raw!$I$2:$I$1232,A324)</ns0:f>
        <ns0:v>50</ns0:v>
      </ns0:c>
      <ns0:c r="G324">
        <ns0:f>COUNTIFS(Games_Raw!$K$2:$K$1232,"Yes",Games_Raw!$J$2:$J$1232,A324)</ns0:f>
        <ns0:v>32</ns0:v>
      </ns0:c>
    </ns0:row>
    <ns0:row r="325">
      <ns0:c r="A325" t="inlineStr">
        <ns0:is>
          <ns0:t>Indiana Pacers</ns0:t>
        </ns0:is>
      </ns0:c>
      <ns0:c r="B325" t="inlineStr">
        <ns0:is>
          <ns0:t>Chicago Bulls</ns0:t>
        </ns0:is>
      </ns0:c>
      <ns0:c r="C325">
        <ns0:f>COUNTIFS(Games_Raw!$K$2:$K$1232,"Yes",Games_Raw!$I$2:$I$1232,A325,Games_Raw!$J$2:$J$1232,B325)</ns0:f>
        <ns0:v>3</ns0:v>
      </ns0:c>
      <ns0:c r="D325">
        <ns0:f>COUNTIFS(Games_Raw!$K$2:$K$1232,"Yes",Games_Raw!$I$2:$I$1232,B325,Games_Raw!$J$2:$J$1232,A325)</ns0:f>
        <ns0:v>1</ns0:v>
      </ns0:c>
      <ns0:c r="E325" t="str">
        <ns0:f>C325&amp;"-"&amp;D325</ns0:f>
        <ns0:v>3-1</ns0:v>
      </ns0:c>
      <ns0:c r="F325">
        <ns0:f>COUNTIFS(Games_Raw!$K$2:$K$1232,"Yes",Games_Raw!$I$2:$I$1232,A325)</ns0:f>
        <ns0:v>50</ns0:v>
      </ns0:c>
      <ns0:c r="G325">
        <ns0:f>COUNTIFS(Games_Raw!$K$2:$K$1232,"Yes",Games_Raw!$J$2:$J$1232,A325)</ns0:f>
        <ns0:v>32</ns0:v>
      </ns0:c>
    </ns0:row>
    <ns0:row r="326">
      <ns0:c r="A326" t="inlineStr">
        <ns0:is>
          <ns0:t>Indiana Pacers</ns0:t>
        </ns0:is>
      </ns0:c>
      <ns0:c r="B326" t="inlineStr">
        <ns0:is>
          <ns0:t>Cleveland Cavaliers</ns0:t>
        </ns0:is>
      </ns0:c>
      <ns0:c r="C326">
        <ns0:f>COUNTIFS(Games_Raw!$K$2:$K$1232,"Yes",Games_Raw!$I$2:$I$1232,A326,Games_Raw!$J$2:$J$1232,B326)</ns0:f>
        <ns0:v>3</ns0:v>
      </ns0:c>
      <ns0:c r="D326">
        <ns0:f>COUNTIFS(Games_Raw!$K$2:$K$1232,"Yes",Games_Raw!$I$2:$I$1232,B326,Games_Raw!$J$2:$J$1232,A326)</ns0:f>
        <ns0:v>1</ns0:v>
      </ns0:c>
      <ns0:c r="E326" t="str">
        <ns0:f>C326&amp;"-"&amp;D326</ns0:f>
        <ns0:v>3-1</ns0:v>
      </ns0:c>
      <ns0:c r="F326">
        <ns0:f>COUNTIFS(Games_Raw!$K$2:$K$1232,"Yes",Games_Raw!$I$2:$I$1232,A326)</ns0:f>
        <ns0:v>50</ns0:v>
      </ns0:c>
      <ns0:c r="G326">
        <ns0:f>COUNTIFS(Games_Raw!$K$2:$K$1232,"Yes",Games_Raw!$J$2:$J$1232,A326)</ns0:f>
        <ns0:v>32</ns0:v>
      </ns0:c>
    </ns0:row>
    <ns0:row r="327">
      <ns0:c r="A327" t="inlineStr">
        <ns0:is>
          <ns0:t>Indiana Pacers</ns0:t>
        </ns0:is>
      </ns0:c>
      <ns0:c r="B327" t="inlineStr">
        <ns0:is>
          <ns0:t>Dallas Mavericks</ns0:t>
        </ns0:is>
      </ns0:c>
      <ns0:c r="C327">
        <ns0:f>COUNTIFS(Games_Raw!$K$2:$K$1232,"Yes",Games_Raw!$I$2:$I$1232,A327,Games_Raw!$J$2:$J$1232,B327)</ns0:f>
        <ns0:v>2</ns0:v>
      </ns0:c>
      <ns0:c r="D327">
        <ns0:f>COUNTIFS(Games_Raw!$K$2:$K$1232,"Yes",Games_Raw!$I$2:$I$1232,B327,Games_Raw!$J$2:$J$1232,A327)</ns0:f>
        <ns0:v>0</ns0:v>
      </ns0:c>
      <ns0:c r="E327" t="str">
        <ns0:f>C327&amp;"-"&amp;D327</ns0:f>
        <ns0:v>2-0</ns0:v>
      </ns0:c>
      <ns0:c r="F327">
        <ns0:f>COUNTIFS(Games_Raw!$K$2:$K$1232,"Yes",Games_Raw!$I$2:$I$1232,A327)</ns0:f>
        <ns0:v>50</ns0:v>
      </ns0:c>
      <ns0:c r="G327">
        <ns0:f>COUNTIFS(Games_Raw!$K$2:$K$1232,"Yes",Games_Raw!$J$2:$J$1232,A327)</ns0:f>
        <ns0:v>32</ns0:v>
      </ns0:c>
    </ns0:row>
    <ns0:row r="328">
      <ns0:c r="A328" t="inlineStr">
        <ns0:is>
          <ns0:t>Indiana Pacers</ns0:t>
        </ns0:is>
      </ns0:c>
      <ns0:c r="B328" t="inlineStr">
        <ns0:is>
          <ns0:t>Denver Nuggets</ns0:t>
        </ns0:is>
      </ns0:c>
      <ns0:c r="C328">
        <ns0:f>COUNTIFS(Games_Raw!$K$2:$K$1232,"Yes",Games_Raw!$I$2:$I$1232,A328,Games_Raw!$J$2:$J$1232,B328)</ns0:f>
        <ns0:v>1</ns0:v>
      </ns0:c>
      <ns0:c r="D328">
        <ns0:f>COUNTIFS(Games_Raw!$K$2:$K$1232,"Yes",Games_Raw!$I$2:$I$1232,B328,Games_Raw!$J$2:$J$1232,A328)</ns0:f>
        <ns0:v>1</ns0:v>
      </ns0:c>
      <ns0:c r="E328" t="str">
        <ns0:f>C328&amp;"-"&amp;D328</ns0:f>
        <ns0:v>1-1</ns0:v>
      </ns0:c>
      <ns0:c r="F328">
        <ns0:f>COUNTIFS(Games_Raw!$K$2:$K$1232,"Yes",Games_Raw!$I$2:$I$1232,A328)</ns0:f>
        <ns0:v>50</ns0:v>
      </ns0:c>
      <ns0:c r="G328">
        <ns0:f>COUNTIFS(Games_Raw!$K$2:$K$1232,"Yes",Games_Raw!$J$2:$J$1232,A328)</ns0:f>
        <ns0:v>32</ns0:v>
      </ns0:c>
    </ns0:row>
    <ns0:row r="329">
      <ns0:c r="A329" t="inlineStr">
        <ns0:is>
          <ns0:t>Indiana Pacers</ns0:t>
        </ns0:is>
      </ns0:c>
      <ns0:c r="B329" t="inlineStr">
        <ns0:is>
          <ns0:t>Detroit Pistons</ns0:t>
        </ns0:is>
      </ns0:c>
      <ns0:c r="C329">
        <ns0:f>COUNTIFS(Games_Raw!$K$2:$K$1232,"Yes",Games_Raw!$I$2:$I$1232,A329,Games_Raw!$J$2:$J$1232,B329)</ns0:f>
        <ns0:v>3</ns0:v>
      </ns0:c>
      <ns0:c r="D329">
        <ns0:f>COUNTIFS(Games_Raw!$K$2:$K$1232,"Yes",Games_Raw!$I$2:$I$1232,B329,Games_Raw!$J$2:$J$1232,A329)</ns0:f>
        <ns0:v>1</ns0:v>
      </ns0:c>
      <ns0:c r="E329" t="str">
        <ns0:f>C329&amp;"-"&amp;D329</ns0:f>
        <ns0:v>3-1</ns0:v>
      </ns0:c>
      <ns0:c r="F329">
        <ns0:f>COUNTIFS(Games_Raw!$K$2:$K$1232,"Yes",Games_Raw!$I$2:$I$1232,A329)</ns0:f>
        <ns0:v>50</ns0:v>
      </ns0:c>
      <ns0:c r="G329">
        <ns0:f>COUNTIFS(Games_Raw!$K$2:$K$1232,"Yes",Games_Raw!$J$2:$J$1232,A329)</ns0:f>
        <ns0:v>32</ns0:v>
      </ns0:c>
    </ns0:row>
    <ns0:row r="330">
      <ns0:c r="A330" t="inlineStr">
        <ns0:is>
          <ns0:t>Indiana Pacers</ns0:t>
        </ns0:is>
      </ns0:c>
      <ns0:c r="B330" t="inlineStr">
        <ns0:is>
          <ns0:t>Golden State Warriors</ns0:t>
        </ns0:is>
      </ns0:c>
      <ns0:c r="C330">
        <ns0:f>COUNTIFS(Games_Raw!$K$2:$K$1232,"Yes",Games_Raw!$I$2:$I$1232,A330,Games_Raw!$J$2:$J$1232,B330)</ns0:f>
        <ns0:v>2</ns0:v>
      </ns0:c>
      <ns0:c r="D330">
        <ns0:f>COUNTIFS(Games_Raw!$K$2:$K$1232,"Yes",Games_Raw!$I$2:$I$1232,B330,Games_Raw!$J$2:$J$1232,A330)</ns0:f>
        <ns0:v>0</ns0:v>
      </ns0:c>
      <ns0:c r="E330" t="str">
        <ns0:f>C330&amp;"-"&amp;D330</ns0:f>
        <ns0:v>2-0</ns0:v>
      </ns0:c>
      <ns0:c r="F330">
        <ns0:f>COUNTIFS(Games_Raw!$K$2:$K$1232,"Yes",Games_Raw!$I$2:$I$1232,A330)</ns0:f>
        <ns0:v>50</ns0:v>
      </ns0:c>
      <ns0:c r="G330">
        <ns0:f>COUNTIFS(Games_Raw!$K$2:$K$1232,"Yes",Games_Raw!$J$2:$J$1232,A330)</ns0:f>
        <ns0:v>32</ns0:v>
      </ns0:c>
    </ns0:row>
    <ns0:row r="331">
      <ns0:c r="A331" t="inlineStr">
        <ns0:is>
          <ns0:t>Indiana Pacers</ns0:t>
        </ns0:is>
      </ns0:c>
      <ns0:c r="B331" t="inlineStr">
        <ns0:is>
          <ns0:t>Houston Rockets</ns0:t>
        </ns0:is>
      </ns0:c>
      <ns0:c r="C331">
        <ns0:f>COUNTIFS(Games_Raw!$K$2:$K$1232,"Yes",Games_Raw!$I$2:$I$1232,A331,Games_Raw!$J$2:$J$1232,B331)</ns0:f>
        <ns0:v>1</ns0:v>
      </ns0:c>
      <ns0:c r="D331">
        <ns0:f>COUNTIFS(Games_Raw!$K$2:$K$1232,"Yes",Games_Raw!$I$2:$I$1232,B331,Games_Raw!$J$2:$J$1232,A331)</ns0:f>
        <ns0:v>1</ns0:v>
      </ns0:c>
      <ns0:c r="E331" t="str">
        <ns0:f>C331&amp;"-"&amp;D331</ns0:f>
        <ns0:v>1-1</ns0:v>
      </ns0:c>
      <ns0:c r="F331">
        <ns0:f>COUNTIFS(Games_Raw!$K$2:$K$1232,"Yes",Games_Raw!$I$2:$I$1232,A331)</ns0:f>
        <ns0:v>50</ns0:v>
      </ns0:c>
      <ns0:c r="G331">
        <ns0:f>COUNTIFS(Games_Raw!$K$2:$K$1232,"Yes",Games_Raw!$J$2:$J$1232,A331)</ns0:f>
        <ns0:v>32</ns0:v>
      </ns0:c>
    </ns0:row>
    <ns0:row r="332">
      <ns0:c r="A332" t="inlineStr">
        <ns0:is>
          <ns0:t>Indiana Pacers</ns0:t>
        </ns0:is>
      </ns0:c>
      <ns0:c r="B332" t="inlineStr">
        <ns0:is>
          <ns0:t>LA Clippers</ns0:t>
        </ns0:is>
      </ns0:c>
      <ns0:c r="C332">
        <ns0:f>COUNTIFS(Games_Raw!$K$2:$K$1232,"Yes",Games_Raw!$I$2:$I$1232,A332,Games_Raw!$J$2:$J$1232,B332)</ns0:f>
        <ns0:v>2</ns0:v>
      </ns0:c>
      <ns0:c r="D332">
        <ns0:f>COUNTIFS(Games_Raw!$K$2:$K$1232,"Yes",Games_Raw!$I$2:$I$1232,B332,Games_Raw!$J$2:$J$1232,A332)</ns0:f>
        <ns0:v>0</ns0:v>
      </ns0:c>
      <ns0:c r="E332" t="str">
        <ns0:f>C332&amp;"-"&amp;D332</ns0:f>
        <ns0:v>2-0</ns0:v>
      </ns0:c>
      <ns0:c r="F332">
        <ns0:f>COUNTIFS(Games_Raw!$K$2:$K$1232,"Yes",Games_Raw!$I$2:$I$1232,A332)</ns0:f>
        <ns0:v>50</ns0:v>
      </ns0:c>
      <ns0:c r="G332">
        <ns0:f>COUNTIFS(Games_Raw!$K$2:$K$1232,"Yes",Games_Raw!$J$2:$J$1232,A332)</ns0:f>
        <ns0:v>32</ns0:v>
      </ns0:c>
    </ns0:row>
    <ns0:row r="333">
      <ns0:c r="A333" t="inlineStr">
        <ns0:is>
          <ns0:t>Indiana Pacers</ns0:t>
        </ns0:is>
      </ns0:c>
      <ns0:c r="B333" t="inlineStr">
        <ns0:is>
          <ns0:t>Los Angeles Lakers</ns0:t>
        </ns0:is>
      </ns0:c>
      <ns0:c r="C333">
        <ns0:f>COUNTIFS(Games_Raw!$K$2:$K$1232,"Yes",Games_Raw!$I$2:$I$1232,A333,Games_Raw!$J$2:$J$1232,B333)</ns0:f>
        <ns0:v>0</ns0:v>
      </ns0:c>
      <ns0:c r="D333">
        <ns0:f>COUNTIFS(Games_Raw!$K$2:$K$1232,"Yes",Games_Raw!$I$2:$I$1232,B333,Games_Raw!$J$2:$J$1232,A333)</ns0:f>
        <ns0:v>2</ns0:v>
      </ns0:c>
      <ns0:c r="E333" t="str">
        <ns0:f>C333&amp;"-"&amp;D333</ns0:f>
        <ns0:v>0-2</ns0:v>
      </ns0:c>
      <ns0:c r="F333">
        <ns0:f>COUNTIFS(Games_Raw!$K$2:$K$1232,"Yes",Games_Raw!$I$2:$I$1232,A333)</ns0:f>
        <ns0:v>50</ns0:v>
      </ns0:c>
      <ns0:c r="G333">
        <ns0:f>COUNTIFS(Games_Raw!$K$2:$K$1232,"Yes",Games_Raw!$J$2:$J$1232,A333)</ns0:f>
        <ns0:v>32</ns0:v>
      </ns0:c>
    </ns0:row>
    <ns0:row r="334">
      <ns0:c r="A334" t="inlineStr">
        <ns0:is>
          <ns0:t>Indiana Pacers</ns0:t>
        </ns0:is>
      </ns0:c>
      <ns0:c r="B334" t="inlineStr">
        <ns0:is>
          <ns0:t>Memphis Grizzlies</ns0:t>
        </ns0:is>
      </ns0:c>
      <ns0:c r="C334">
        <ns0:f>COUNTIFS(Games_Raw!$K$2:$K$1232,"Yes",Games_Raw!$I$2:$I$1232,A334,Games_Raw!$J$2:$J$1232,B334)</ns0:f>
        <ns0:v>1</ns0:v>
      </ns0:c>
      <ns0:c r="D334">
        <ns0:f>COUNTIFS(Games_Raw!$K$2:$K$1232,"Yes",Games_Raw!$I$2:$I$1232,B334,Games_Raw!$J$2:$J$1232,A334)</ns0:f>
        <ns0:v>1</ns0:v>
      </ns0:c>
      <ns0:c r="E334" t="str">
        <ns0:f>C334&amp;"-"&amp;D334</ns0:f>
        <ns0:v>1-1</ns0:v>
      </ns0:c>
      <ns0:c r="F334">
        <ns0:f>COUNTIFS(Games_Raw!$K$2:$K$1232,"Yes",Games_Raw!$I$2:$I$1232,A334)</ns0:f>
        <ns0:v>50</ns0:v>
      </ns0:c>
      <ns0:c r="G334">
        <ns0:f>COUNTIFS(Games_Raw!$K$2:$K$1232,"Yes",Games_Raw!$J$2:$J$1232,A334)</ns0:f>
        <ns0:v>32</ns0:v>
      </ns0:c>
    </ns0:row>
    <ns0:row r="335">
      <ns0:c r="A335" t="inlineStr">
        <ns0:is>
          <ns0:t>Indiana Pacers</ns0:t>
        </ns0:is>
      </ns0:c>
      <ns0:c r="B335" t="inlineStr">
        <ns0:is>
          <ns0:t>Miami Heat</ns0:t>
        </ns0:is>
      </ns0:c>
      <ns0:c r="C335">
        <ns0:f>COUNTIFS(Games_Raw!$K$2:$K$1232,"Yes",Games_Raw!$I$2:$I$1232,A335,Games_Raw!$J$2:$J$1232,B335)</ns0:f>
        <ns0:v>2</ns0:v>
      </ns0:c>
      <ns0:c r="D335">
        <ns0:f>COUNTIFS(Games_Raw!$K$2:$K$1232,"Yes",Games_Raw!$I$2:$I$1232,B335,Games_Raw!$J$2:$J$1232,A335)</ns0:f>
        <ns0:v>2</ns0:v>
      </ns0:c>
      <ns0:c r="E335" t="str">
        <ns0:f>C335&amp;"-"&amp;D335</ns0:f>
        <ns0:v>2-2</ns0:v>
      </ns0:c>
      <ns0:c r="F335">
        <ns0:f>COUNTIFS(Games_Raw!$K$2:$K$1232,"Yes",Games_Raw!$I$2:$I$1232,A335)</ns0:f>
        <ns0:v>50</ns0:v>
      </ns0:c>
      <ns0:c r="G335">
        <ns0:f>COUNTIFS(Games_Raw!$K$2:$K$1232,"Yes",Games_Raw!$J$2:$J$1232,A335)</ns0:f>
        <ns0:v>32</ns0:v>
      </ns0:c>
    </ns0:row>
    <ns0:row r="336">
      <ns0:c r="A336" t="inlineStr">
        <ns0:is>
          <ns0:t>Indiana Pacers</ns0:t>
        </ns0:is>
      </ns0:c>
      <ns0:c r="B336" t="inlineStr">
        <ns0:is>
          <ns0:t>Milwaukee Bucks</ns0:t>
        </ns0:is>
      </ns0:c>
      <ns0:c r="C336">
        <ns0:f>COUNTIFS(Games_Raw!$K$2:$K$1232,"Yes",Games_Raw!$I$2:$I$1232,A336,Games_Raw!$J$2:$J$1232,B336)</ns0:f>
        <ns0:v>1</ns0:v>
      </ns0:c>
      <ns0:c r="D336">
        <ns0:f>COUNTIFS(Games_Raw!$K$2:$K$1232,"Yes",Games_Raw!$I$2:$I$1232,B336,Games_Raw!$J$2:$J$1232,A336)</ns0:f>
        <ns0:v>3</ns0:v>
      </ns0:c>
      <ns0:c r="E336" t="str">
        <ns0:f>C336&amp;"-"&amp;D336</ns0:f>
        <ns0:v>1-3</ns0:v>
      </ns0:c>
      <ns0:c r="F336">
        <ns0:f>COUNTIFS(Games_Raw!$K$2:$K$1232,"Yes",Games_Raw!$I$2:$I$1232,A336)</ns0:f>
        <ns0:v>50</ns0:v>
      </ns0:c>
      <ns0:c r="G336">
        <ns0:f>COUNTIFS(Games_Raw!$K$2:$K$1232,"Yes",Games_Raw!$J$2:$J$1232,A336)</ns0:f>
        <ns0:v>32</ns0:v>
      </ns0:c>
    </ns0:row>
    <ns0:row r="337">
      <ns0:c r="A337" t="inlineStr">
        <ns0:is>
          <ns0:t>Indiana Pacers</ns0:t>
        </ns0:is>
      </ns0:c>
      <ns0:c r="B337" t="inlineStr">
        <ns0:is>
          <ns0:t>Minnesota Timberwolves</ns0:t>
        </ns0:is>
      </ns0:c>
      <ns0:c r="C337">
        <ns0:f>COUNTIFS(Games_Raw!$K$2:$K$1232,"Yes",Games_Raw!$I$2:$I$1232,A337,Games_Raw!$J$2:$J$1232,B337)</ns0:f>
        <ns0:v>2</ns0:v>
      </ns0:c>
      <ns0:c r="D337">
        <ns0:f>COUNTIFS(Games_Raw!$K$2:$K$1232,"Yes",Games_Raw!$I$2:$I$1232,B337,Games_Raw!$J$2:$J$1232,A337)</ns0:f>
        <ns0:v>0</ns0:v>
      </ns0:c>
      <ns0:c r="E337" t="str">
        <ns0:f>C337&amp;"-"&amp;D337</ns0:f>
        <ns0:v>2-0</ns0:v>
      </ns0:c>
      <ns0:c r="F337">
        <ns0:f>COUNTIFS(Games_Raw!$K$2:$K$1232,"Yes",Games_Raw!$I$2:$I$1232,A337)</ns0:f>
        <ns0:v>50</ns0:v>
      </ns0:c>
      <ns0:c r="G337">
        <ns0:f>COUNTIFS(Games_Raw!$K$2:$K$1232,"Yes",Games_Raw!$J$2:$J$1232,A337)</ns0:f>
        <ns0:v>32</ns0:v>
      </ns0:c>
    </ns0:row>
    <ns0:row r="338">
      <ns0:c r="A338" t="inlineStr">
        <ns0:is>
          <ns0:t>Indiana Pacers</ns0:t>
        </ns0:is>
      </ns0:c>
      <ns0:c r="B338" t="inlineStr">
        <ns0:is>
          <ns0:t>New Orleans Pelicans</ns0:t>
        </ns0:is>
      </ns0:c>
      <ns0:c r="C338">
        <ns0:f>COUNTIFS(Games_Raw!$K$2:$K$1232,"Yes",Games_Raw!$I$2:$I$1232,A338,Games_Raw!$J$2:$J$1232,B338)</ns0:f>
        <ns0:v>2</ns0:v>
      </ns0:c>
      <ns0:c r="D338">
        <ns0:f>COUNTIFS(Games_Raw!$K$2:$K$1232,"Yes",Games_Raw!$I$2:$I$1232,B338,Games_Raw!$J$2:$J$1232,A338)</ns0:f>
        <ns0:v>1</ns0:v>
      </ns0:c>
      <ns0:c r="E338" t="str">
        <ns0:f>C338&amp;"-"&amp;D338</ns0:f>
        <ns0:v>2-1</ns0:v>
      </ns0:c>
      <ns0:c r="F338">
        <ns0:f>COUNTIFS(Games_Raw!$K$2:$K$1232,"Yes",Games_Raw!$I$2:$I$1232,A338)</ns0:f>
        <ns0:v>50</ns0:v>
      </ns0:c>
      <ns0:c r="G338">
        <ns0:f>COUNTIFS(Games_Raw!$K$2:$K$1232,"Yes",Games_Raw!$J$2:$J$1232,A338)</ns0:f>
        <ns0:v>32</ns0:v>
      </ns0:c>
    </ns0:row>
    <ns0:row r="339">
      <ns0:c r="A339" t="inlineStr">
        <ns0:is>
          <ns0:t>Indiana Pacers</ns0:t>
        </ns0:is>
      </ns0:c>
      <ns0:c r="B339" t="inlineStr">
        <ns0:is>
          <ns0:t>New York Knicks</ns0:t>
        </ns0:is>
      </ns0:c>
      <ns0:c r="C339">
        <ns0:f>COUNTIFS(Games_Raw!$K$2:$K$1232,"Yes",Games_Raw!$I$2:$I$1232,A339,Games_Raw!$J$2:$J$1232,B339)</ns0:f>
        <ns0:v>1</ns0:v>
      </ns0:c>
      <ns0:c r="D339">
        <ns0:f>COUNTIFS(Games_Raw!$K$2:$K$1232,"Yes",Games_Raw!$I$2:$I$1232,B339,Games_Raw!$J$2:$J$1232,A339)</ns0:f>
        <ns0:v>2</ns0:v>
      </ns0:c>
      <ns0:c r="E339" t="str">
        <ns0:f>C339&amp;"-"&amp;D339</ns0:f>
        <ns0:v>1-2</ns0:v>
      </ns0:c>
      <ns0:c r="F339">
        <ns0:f>COUNTIFS(Games_Raw!$K$2:$K$1232,"Yes",Games_Raw!$I$2:$I$1232,A339)</ns0:f>
        <ns0:v>50</ns0:v>
      </ns0:c>
      <ns0:c r="G339">
        <ns0:f>COUNTIFS(Games_Raw!$K$2:$K$1232,"Yes",Games_Raw!$J$2:$J$1232,A339)</ns0:f>
        <ns0:v>32</ns0:v>
      </ns0:c>
    </ns0:row>
    <ns0:row r="340">
      <ns0:c r="A340" t="inlineStr">
        <ns0:is>
          <ns0:t>Indiana Pacers</ns0:t>
        </ns0:is>
      </ns0:c>
      <ns0:c r="B340" t="inlineStr">
        <ns0:is>
          <ns0:t>Oklahoma City Thunder</ns0:t>
        </ns0:is>
      </ns0:c>
      <ns0:c r="C340">
        <ns0:f>COUNTIFS(Games_Raw!$K$2:$K$1232,"Yes",Games_Raw!$I$2:$I$1232,A340,Games_Raw!$J$2:$J$1232,B340)</ns0:f>
        <ns0:v>0</ns0:v>
      </ns0:c>
      <ns0:c r="D340">
        <ns0:f>COUNTIFS(Games_Raw!$K$2:$K$1232,"Yes",Games_Raw!$I$2:$I$1232,B340,Games_Raw!$J$2:$J$1232,A340)</ns0:f>
        <ns0:v>2</ns0:v>
      </ns0:c>
      <ns0:c r="E340" t="str">
        <ns0:f>C340&amp;"-"&amp;D340</ns0:f>
        <ns0:v>0-2</ns0:v>
      </ns0:c>
      <ns0:c r="F340">
        <ns0:f>COUNTIFS(Games_Raw!$K$2:$K$1232,"Yes",Games_Raw!$I$2:$I$1232,A340)</ns0:f>
        <ns0:v>50</ns0:v>
      </ns0:c>
      <ns0:c r="G340">
        <ns0:f>COUNTIFS(Games_Raw!$K$2:$K$1232,"Yes",Games_Raw!$J$2:$J$1232,A340)</ns0:f>
        <ns0:v>32</ns0:v>
      </ns0:c>
    </ns0:row>
    <ns0:row r="341">
      <ns0:c r="A341" t="inlineStr">
        <ns0:is>
          <ns0:t>Indiana Pacers</ns0:t>
        </ns0:is>
      </ns0:c>
      <ns0:c r="B341" t="inlineStr">
        <ns0:is>
          <ns0:t>Orlando Magic</ns0:t>
        </ns0:is>
      </ns0:c>
      <ns0:c r="C341">
        <ns0:f>COUNTIFS(Games_Raw!$K$2:$K$1232,"Yes",Games_Raw!$I$2:$I$1232,A341,Games_Raw!$J$2:$J$1232,B341)</ns0:f>
        <ns0:v>1</ns0:v>
      </ns0:c>
      <ns0:c r="D341">
        <ns0:f>COUNTIFS(Games_Raw!$K$2:$K$1232,"Yes",Games_Raw!$I$2:$I$1232,B341,Games_Raw!$J$2:$J$1232,A341)</ns0:f>
        <ns0:v>3</ns0:v>
      </ns0:c>
      <ns0:c r="E341" t="str">
        <ns0:f>C341&amp;"-"&amp;D341</ns0:f>
        <ns0:v>1-3</ns0:v>
      </ns0:c>
      <ns0:c r="F341">
        <ns0:f>COUNTIFS(Games_Raw!$K$2:$K$1232,"Yes",Games_Raw!$I$2:$I$1232,A341)</ns0:f>
        <ns0:v>50</ns0:v>
      </ns0:c>
      <ns0:c r="G341">
        <ns0:f>COUNTIFS(Games_Raw!$K$2:$K$1232,"Yes",Games_Raw!$J$2:$J$1232,A341)</ns0:f>
        <ns0:v>32</ns0:v>
      </ns0:c>
    </ns0:row>
    <ns0:row r="342">
      <ns0:c r="A342" t="inlineStr">
        <ns0:is>
          <ns0:t>Indiana Pacers</ns0:t>
        </ns0:is>
      </ns0:c>
      <ns0:c r="B342" t="inlineStr">
        <ns0:is>
          <ns0:t>Philadelphia 76ers</ns0:t>
        </ns0:is>
      </ns0:c>
      <ns0:c r="C342">
        <ns0:f>COUNTIFS(Games_Raw!$K$2:$K$1232,"Yes",Games_Raw!$I$2:$I$1232,A342,Games_Raw!$J$2:$J$1232,B342)</ns0:f>
        <ns0:v>3</ns0:v>
      </ns0:c>
      <ns0:c r="D342">
        <ns0:f>COUNTIFS(Games_Raw!$K$2:$K$1232,"Yes",Games_Raw!$I$2:$I$1232,B342,Games_Raw!$J$2:$J$1232,A342)</ns0:f>
        <ns0:v>1</ns0:v>
      </ns0:c>
      <ns0:c r="E342" t="str">
        <ns0:f>C342&amp;"-"&amp;D342</ns0:f>
        <ns0:v>3-1</ns0:v>
      </ns0:c>
      <ns0:c r="F342">
        <ns0:f>COUNTIFS(Games_Raw!$K$2:$K$1232,"Yes",Games_Raw!$I$2:$I$1232,A342)</ns0:f>
        <ns0:v>50</ns0:v>
      </ns0:c>
      <ns0:c r="G342">
        <ns0:f>COUNTIFS(Games_Raw!$K$2:$K$1232,"Yes",Games_Raw!$J$2:$J$1232,A342)</ns0:f>
        <ns0:v>32</ns0:v>
      </ns0:c>
    </ns0:row>
    <ns0:row r="343">
      <ns0:c r="A343" t="inlineStr">
        <ns0:is>
          <ns0:t>Indiana Pacers</ns0:t>
        </ns0:is>
      </ns0:c>
      <ns0:c r="B343" t="inlineStr">
        <ns0:is>
          <ns0:t>Phoenix Suns</ns0:t>
        </ns0:is>
      </ns0:c>
      <ns0:c r="C343">
        <ns0:f>COUNTIFS(Games_Raw!$K$2:$K$1232,"Yes",Games_Raw!$I$2:$I$1232,A343,Games_Raw!$J$2:$J$1232,B343)</ns0:f>
        <ns0:v>2</ns0:v>
      </ns0:c>
      <ns0:c r="D343">
        <ns0:f>COUNTIFS(Games_Raw!$K$2:$K$1232,"Yes",Games_Raw!$I$2:$I$1232,B343,Games_Raw!$J$2:$J$1232,A343)</ns0:f>
        <ns0:v>0</ns0:v>
      </ns0:c>
      <ns0:c r="E343" t="str">
        <ns0:f>C343&amp;"-"&amp;D343</ns0:f>
        <ns0:v>2-0</ns0:v>
      </ns0:c>
      <ns0:c r="F343">
        <ns0:f>COUNTIFS(Games_Raw!$K$2:$K$1232,"Yes",Games_Raw!$I$2:$I$1232,A343)</ns0:f>
        <ns0:v>50</ns0:v>
      </ns0:c>
      <ns0:c r="G343">
        <ns0:f>COUNTIFS(Games_Raw!$K$2:$K$1232,"Yes",Games_Raw!$J$2:$J$1232,A343)</ns0:f>
        <ns0:v>32</ns0:v>
      </ns0:c>
    </ns0:row>
    <ns0:row r="344">
      <ns0:c r="A344" t="inlineStr">
        <ns0:is>
          <ns0:t>Indiana Pacers</ns0:t>
        </ns0:is>
      </ns0:c>
      <ns0:c r="B344" t="inlineStr">
        <ns0:is>
          <ns0:t>Portland Trail Blazers</ns0:t>
        </ns0:is>
      </ns0:c>
      <ns0:c r="C344">
        <ns0:f>COUNTIFS(Games_Raw!$K$2:$K$1232,"Yes",Games_Raw!$I$2:$I$1232,A344,Games_Raw!$J$2:$J$1232,B344)</ns0:f>
        <ns0:v>1</ns0:v>
      </ns0:c>
      <ns0:c r="D344">
        <ns0:f>COUNTIFS(Games_Raw!$K$2:$K$1232,"Yes",Games_Raw!$I$2:$I$1232,B344,Games_Raw!$J$2:$J$1232,A344)</ns0:f>
        <ns0:v>1</ns0:v>
      </ns0:c>
      <ns0:c r="E344" t="str">
        <ns0:f>C344&amp;"-"&amp;D344</ns0:f>
        <ns0:v>1-1</ns0:v>
      </ns0:c>
      <ns0:c r="F344">
        <ns0:f>COUNTIFS(Games_Raw!$K$2:$K$1232,"Yes",Games_Raw!$I$2:$I$1232,A344)</ns0:f>
        <ns0:v>50</ns0:v>
      </ns0:c>
      <ns0:c r="G344">
        <ns0:f>COUNTIFS(Games_Raw!$K$2:$K$1232,"Yes",Games_Raw!$J$2:$J$1232,A344)</ns0:f>
        <ns0:v>32</ns0:v>
      </ns0:c>
    </ns0:row>
    <ns0:row r="345">
      <ns0:c r="A345" t="inlineStr">
        <ns0:is>
          <ns0:t>Indiana Pacers</ns0:t>
        </ns0:is>
      </ns0:c>
      <ns0:c r="B345" t="inlineStr">
        <ns0:is>
          <ns0:t>Sacramento Kings</ns0:t>
        </ns0:is>
      </ns0:c>
      <ns0:c r="C345">
        <ns0:f>COUNTIFS(Games_Raw!$K$2:$K$1232,"Yes",Games_Raw!$I$2:$I$1232,A345,Games_Raw!$J$2:$J$1232,B345)</ns0:f>
        <ns0:v>2</ns0:v>
      </ns0:c>
      <ns0:c r="D345">
        <ns0:f>COUNTIFS(Games_Raw!$K$2:$K$1232,"Yes",Games_Raw!$I$2:$I$1232,B345,Games_Raw!$J$2:$J$1232,A345)</ns0:f>
        <ns0:v>0</ns0:v>
      </ns0:c>
      <ns0:c r="E345" t="str">
        <ns0:f>C345&amp;"-"&amp;D345</ns0:f>
        <ns0:v>2-0</ns0:v>
      </ns0:c>
      <ns0:c r="F345">
        <ns0:f>COUNTIFS(Games_Raw!$K$2:$K$1232,"Yes",Games_Raw!$I$2:$I$1232,A345)</ns0:f>
        <ns0:v>50</ns0:v>
      </ns0:c>
      <ns0:c r="G345">
        <ns0:f>COUNTIFS(Games_Raw!$K$2:$K$1232,"Yes",Games_Raw!$J$2:$J$1232,A345)</ns0:f>
        <ns0:v>32</ns0:v>
      </ns0:c>
    </ns0:row>
    <ns0:row r="346">
      <ns0:c r="A346" t="inlineStr">
        <ns0:is>
          <ns0:t>Indiana Pacers</ns0:t>
        </ns0:is>
      </ns0:c>
      <ns0:c r="B346" t="inlineStr">
        <ns0:is>
          <ns0:t>San Antonio Spurs</ns0:t>
        </ns0:is>
      </ns0:c>
      <ns0:c r="C346">
        <ns0:f>COUNTIFS(Games_Raw!$K$2:$K$1232,"Yes",Games_Raw!$I$2:$I$1232,A346,Games_Raw!$J$2:$J$1232,B346)</ns0:f>
        <ns0:v>1</ns0:v>
      </ns0:c>
      <ns0:c r="D346">
        <ns0:f>COUNTIFS(Games_Raw!$K$2:$K$1232,"Yes",Games_Raw!$I$2:$I$1232,B346,Games_Raw!$J$2:$J$1232,A346)</ns0:f>
        <ns0:v>1</ns0:v>
      </ns0:c>
      <ns0:c r="E346" t="str">
        <ns0:f>C346&amp;"-"&amp;D346</ns0:f>
        <ns0:v>1-1</ns0:v>
      </ns0:c>
      <ns0:c r="F346">
        <ns0:f>COUNTIFS(Games_Raw!$K$2:$K$1232,"Yes",Games_Raw!$I$2:$I$1232,A346)</ns0:f>
        <ns0:v>50</ns0:v>
      </ns0:c>
      <ns0:c r="G346">
        <ns0:f>COUNTIFS(Games_Raw!$K$2:$K$1232,"Yes",Games_Raw!$J$2:$J$1232,A346)</ns0:f>
        <ns0:v>32</ns0:v>
      </ns0:c>
    </ns0:row>
    <ns0:row r="347">
      <ns0:c r="A347" t="inlineStr">
        <ns0:is>
          <ns0:t>Indiana Pacers</ns0:t>
        </ns0:is>
      </ns0:c>
      <ns0:c r="B347" t="inlineStr">
        <ns0:is>
          <ns0:t>Toronto Raptors</ns0:t>
        </ns0:is>
      </ns0:c>
      <ns0:c r="C347">
        <ns0:f>COUNTIFS(Games_Raw!$K$2:$K$1232,"Yes",Games_Raw!$I$2:$I$1232,A347,Games_Raw!$J$2:$J$1232,B347)</ns0:f>
        <ns0:v>1</ns0:v>
      </ns0:c>
      <ns0:c r="D347">
        <ns0:f>COUNTIFS(Games_Raw!$K$2:$K$1232,"Yes",Games_Raw!$I$2:$I$1232,B347,Games_Raw!$J$2:$J$1232,A347)</ns0:f>
        <ns0:v>2</ns0:v>
      </ns0:c>
      <ns0:c r="E347" t="str">
        <ns0:f>C347&amp;"-"&amp;D347</ns0:f>
        <ns0:v>1-2</ns0:v>
      </ns0:c>
      <ns0:c r="F347">
        <ns0:f>COUNTIFS(Games_Raw!$K$2:$K$1232,"Yes",Games_Raw!$I$2:$I$1232,A347)</ns0:f>
        <ns0:v>50</ns0:v>
      </ns0:c>
      <ns0:c r="G347">
        <ns0:f>COUNTIFS(Games_Raw!$K$2:$K$1232,"Yes",Games_Raw!$J$2:$J$1232,A347)</ns0:f>
        <ns0:v>32</ns0:v>
      </ns0:c>
    </ns0:row>
    <ns0:row r="348">
      <ns0:c r="A348" t="inlineStr">
        <ns0:is>
          <ns0:t>Indiana Pacers</ns0:t>
        </ns0:is>
      </ns0:c>
      <ns0:c r="B348" t="inlineStr">
        <ns0:is>
          <ns0:t>Utah Jazz</ns0:t>
        </ns0:is>
      </ns0:c>
      <ns0:c r="C348">
        <ns0:f>COUNTIFS(Games_Raw!$K$2:$K$1232,"Yes",Games_Raw!$I$2:$I$1232,A348,Games_Raw!$J$2:$J$1232,B348)</ns0:f>
        <ns0:v>2</ns0:v>
      </ns0:c>
      <ns0:c r="D348">
        <ns0:f>COUNTIFS(Games_Raw!$K$2:$K$1232,"Yes",Games_Raw!$I$2:$I$1232,B348,Games_Raw!$J$2:$J$1232,A348)</ns0:f>
        <ns0:v>0</ns0:v>
      </ns0:c>
      <ns0:c r="E348" t="str">
        <ns0:f>C348&amp;"-"&amp;D348</ns0:f>
        <ns0:v>2-0</ns0:v>
      </ns0:c>
      <ns0:c r="F348">
        <ns0:f>COUNTIFS(Games_Raw!$K$2:$K$1232,"Yes",Games_Raw!$I$2:$I$1232,A348)</ns0:f>
        <ns0:v>50</ns0:v>
      </ns0:c>
      <ns0:c r="G348">
        <ns0:f>COUNTIFS(Games_Raw!$K$2:$K$1232,"Yes",Games_Raw!$J$2:$J$1232,A348)</ns0:f>
        <ns0:v>32</ns0:v>
      </ns0:c>
    </ns0:row>
    <ns0:row r="349">
      <ns0:c r="A349" t="inlineStr">
        <ns0:is>
          <ns0:t>Indiana Pacers</ns0:t>
        </ns0:is>
      </ns0:c>
      <ns0:c r="B349" t="inlineStr">
        <ns0:is>
          <ns0:t>Washington Wizards</ns0:t>
        </ns0:is>
      </ns0:c>
      <ns0:c r="C349">
        <ns0:f>COUNTIFS(Games_Raw!$K$2:$K$1232,"Yes",Games_Raw!$I$2:$I$1232,A349,Games_Raw!$J$2:$J$1232,B349)</ns0:f>
        <ns0:v>4</ns0:v>
      </ns0:c>
      <ns0:c r="D349">
        <ns0:f>COUNTIFS(Games_Raw!$K$2:$K$1232,"Yes",Games_Raw!$I$2:$I$1232,B349,Games_Raw!$J$2:$J$1232,A349)</ns0:f>
        <ns0:v>0</ns0:v>
      </ns0:c>
      <ns0:c r="E349" t="str">
        <ns0:f>C349&amp;"-"&amp;D349</ns0:f>
        <ns0:v>4-0</ns0:v>
      </ns0:c>
      <ns0:c r="F349">
        <ns0:f>COUNTIFS(Games_Raw!$K$2:$K$1232,"Yes",Games_Raw!$I$2:$I$1232,A349)</ns0:f>
        <ns0:v>50</ns0:v>
      </ns0:c>
      <ns0:c r="G349">
        <ns0:f>COUNTIFS(Games_Raw!$K$2:$K$1232,"Yes",Games_Raw!$J$2:$J$1232,A349)</ns0:f>
        <ns0:v>32</ns0:v>
      </ns0:c>
    </ns0:row>
    <ns0:row r="350">
      <ns0:c r="A350" t="inlineStr">
        <ns0:is>
          <ns0:t>LA Clippers</ns0:t>
        </ns0:is>
      </ns0:c>
      <ns0:c r="B350" t="inlineStr">
        <ns0:is>
          <ns0:t>Atlanta Hawks</ns0:t>
        </ns0:is>
      </ns0:c>
      <ns0:c r="C350">
        <ns0:f>COUNTIFS(Games_Raw!$K$2:$K$1232,"Yes",Games_Raw!$I$2:$I$1232,A350,Games_Raw!$J$2:$J$1232,B350)</ns0:f>
        <ns0:v>2</ns0:v>
      </ns0:c>
      <ns0:c r="D350">
        <ns0:f>COUNTIFS(Games_Raw!$K$2:$K$1232,"Yes",Games_Raw!$I$2:$I$1232,B350,Games_Raw!$J$2:$J$1232,A350)</ns0:f>
        <ns0:v>0</ns0:v>
      </ns0:c>
      <ns0:c r="E350" t="str">
        <ns0:f>C350&amp;"-"&amp;D350</ns0:f>
        <ns0:v>2-0</ns0:v>
      </ns0:c>
      <ns0:c r="F350">
        <ns0:f>COUNTIFS(Games_Raw!$K$2:$K$1232,"Yes",Games_Raw!$I$2:$I$1232,A350)</ns0:f>
        <ns0:v>50</ns0:v>
      </ns0:c>
      <ns0:c r="G350">
        <ns0:f>COUNTIFS(Games_Raw!$K$2:$K$1232,"Yes",Games_Raw!$J$2:$J$1232,A350)</ns0:f>
        <ns0:v>32</ns0:v>
      </ns0:c>
    </ns0:row>
    <ns0:row r="351">
      <ns0:c r="A351" t="inlineStr">
        <ns0:is>
          <ns0:t>LA Clippers</ns0:t>
        </ns0:is>
      </ns0:c>
      <ns0:c r="B351" t="inlineStr">
        <ns0:is>
          <ns0:t>Boston Celtics</ns0:t>
        </ns0:is>
      </ns0:c>
      <ns0:c r="C351">
        <ns0:f>COUNTIFS(Games_Raw!$K$2:$K$1232,"Yes",Games_Raw!$I$2:$I$1232,A351,Games_Raw!$J$2:$J$1232,B351)</ns0:f>
        <ns0:v>0</ns0:v>
      </ns0:c>
      <ns0:c r="D351">
        <ns0:f>COUNTIFS(Games_Raw!$K$2:$K$1232,"Yes",Games_Raw!$I$2:$I$1232,B351,Games_Raw!$J$2:$J$1232,A351)</ns0:f>
        <ns0:v>2</ns0:v>
      </ns0:c>
      <ns0:c r="E351" t="str">
        <ns0:f>C351&amp;"-"&amp;D351</ns0:f>
        <ns0:v>0-2</ns0:v>
      </ns0:c>
      <ns0:c r="F351">
        <ns0:f>COUNTIFS(Games_Raw!$K$2:$K$1232,"Yes",Games_Raw!$I$2:$I$1232,A351)</ns0:f>
        <ns0:v>50</ns0:v>
      </ns0:c>
      <ns0:c r="G351">
        <ns0:f>COUNTIFS(Games_Raw!$K$2:$K$1232,"Yes",Games_Raw!$J$2:$J$1232,A351)</ns0:f>
        <ns0:v>32</ns0:v>
      </ns0:c>
    </ns0:row>
    <ns0:row r="352">
      <ns0:c r="A352" t="inlineStr">
        <ns0:is>
          <ns0:t>LA Clippers</ns0:t>
        </ns0:is>
      </ns0:c>
      <ns0:c r="B352" t="inlineStr">
        <ns0:is>
          <ns0:t>Brooklyn Nets</ns0:t>
        </ns0:is>
      </ns0:c>
      <ns0:c r="C352">
        <ns0:f>COUNTIFS(Games_Raw!$K$2:$K$1232,"Yes",Games_Raw!$I$2:$I$1232,A352,Games_Raw!$J$2:$J$1232,B352)</ns0:f>
        <ns0:v>2</ns0:v>
      </ns0:c>
      <ns0:c r="D352">
        <ns0:f>COUNTIFS(Games_Raw!$K$2:$K$1232,"Yes",Games_Raw!$I$2:$I$1232,B352,Games_Raw!$J$2:$J$1232,A352)</ns0:f>
        <ns0:v>0</ns0:v>
      </ns0:c>
      <ns0:c r="E352" t="str">
        <ns0:f>C352&amp;"-"&amp;D352</ns0:f>
        <ns0:v>2-0</ns0:v>
      </ns0:c>
      <ns0:c r="F352">
        <ns0:f>COUNTIFS(Games_Raw!$K$2:$K$1232,"Yes",Games_Raw!$I$2:$I$1232,A352)</ns0:f>
        <ns0:v>50</ns0:v>
      </ns0:c>
      <ns0:c r="G352">
        <ns0:f>COUNTIFS(Games_Raw!$K$2:$K$1232,"Yes",Games_Raw!$J$2:$J$1232,A352)</ns0:f>
        <ns0:v>32</ns0:v>
      </ns0:c>
    </ns0:row>
    <ns0:row r="353">
      <ns0:c r="A353" t="inlineStr">
        <ns0:is>
          <ns0:t>LA Clippers</ns0:t>
        </ns0:is>
      </ns0:c>
      <ns0:c r="B353" t="inlineStr">
        <ns0:is>
          <ns0:t>Charlotte Hornets</ns0:t>
        </ns0:is>
      </ns0:c>
      <ns0:c r="C353">
        <ns0:f>COUNTIFS(Games_Raw!$K$2:$K$1232,"Yes",Games_Raw!$I$2:$I$1232,A353,Games_Raw!$J$2:$J$1232,B353)</ns0:f>
        <ns0:v>2</ns0:v>
      </ns0:c>
      <ns0:c r="D353">
        <ns0:f>COUNTIFS(Games_Raw!$K$2:$K$1232,"Yes",Games_Raw!$I$2:$I$1232,B353,Games_Raw!$J$2:$J$1232,A353)</ns0:f>
        <ns0:v>0</ns0:v>
      </ns0:c>
      <ns0:c r="E353" t="str">
        <ns0:f>C353&amp;"-"&amp;D353</ns0:f>
        <ns0:v>2-0</ns0:v>
      </ns0:c>
      <ns0:c r="F353">
        <ns0:f>COUNTIFS(Games_Raw!$K$2:$K$1232,"Yes",Games_Raw!$I$2:$I$1232,A353)</ns0:f>
        <ns0:v>50</ns0:v>
      </ns0:c>
      <ns0:c r="G353">
        <ns0:f>COUNTIFS(Games_Raw!$K$2:$K$1232,"Yes",Games_Raw!$J$2:$J$1232,A353)</ns0:f>
        <ns0:v>32</ns0:v>
      </ns0:c>
    </ns0:row>
    <ns0:row r="354">
      <ns0:c r="A354" t="inlineStr">
        <ns0:is>
          <ns0:t>LA Clippers</ns0:t>
        </ns0:is>
      </ns0:c>
      <ns0:c r="B354" t="inlineStr">
        <ns0:is>
          <ns0:t>Chicago Bulls</ns0:t>
        </ns0:is>
      </ns0:c>
      <ns0:c r="C354">
        <ns0:f>COUNTIFS(Games_Raw!$K$2:$K$1232,"Yes",Games_Raw!$I$2:$I$1232,A354,Games_Raw!$J$2:$J$1232,B354)</ns0:f>
        <ns0:v>1</ns0:v>
      </ns0:c>
      <ns0:c r="D354">
        <ns0:f>COUNTIFS(Games_Raw!$K$2:$K$1232,"Yes",Games_Raw!$I$2:$I$1232,B354,Games_Raw!$J$2:$J$1232,A354)</ns0:f>
        <ns0:v>1</ns0:v>
      </ns0:c>
      <ns0:c r="E354" t="str">
        <ns0:f>C354&amp;"-"&amp;D354</ns0:f>
        <ns0:v>1-1</ns0:v>
      </ns0:c>
      <ns0:c r="F354">
        <ns0:f>COUNTIFS(Games_Raw!$K$2:$K$1232,"Yes",Games_Raw!$I$2:$I$1232,A354)</ns0:f>
        <ns0:v>50</ns0:v>
      </ns0:c>
      <ns0:c r="G354">
        <ns0:f>COUNTIFS(Games_Raw!$K$2:$K$1232,"Yes",Games_Raw!$J$2:$J$1232,A354)</ns0:f>
        <ns0:v>32</ns0:v>
      </ns0:c>
    </ns0:row>
    <ns0:row r="355">
      <ns0:c r="A355" t="inlineStr">
        <ns0:is>
          <ns0:t>LA Clippers</ns0:t>
        </ns0:is>
      </ns0:c>
      <ns0:c r="B355" t="inlineStr">
        <ns0:is>
          <ns0:t>Cleveland Cavaliers</ns0:t>
        </ns0:is>
      </ns0:c>
      <ns0:c r="C355">
        <ns0:f>COUNTIFS(Games_Raw!$K$2:$K$1232,"Yes",Games_Raw!$I$2:$I$1232,A355,Games_Raw!$J$2:$J$1232,B355)</ns0:f>
        <ns0:v>1</ns0:v>
      </ns0:c>
      <ns0:c r="D355">
        <ns0:f>COUNTIFS(Games_Raw!$K$2:$K$1232,"Yes",Games_Raw!$I$2:$I$1232,B355,Games_Raw!$J$2:$J$1232,A355)</ns0:f>
        <ns0:v>1</ns0:v>
      </ns0:c>
      <ns0:c r="E355" t="str">
        <ns0:f>C355&amp;"-"&amp;D355</ns0:f>
        <ns0:v>1-1</ns0:v>
      </ns0:c>
      <ns0:c r="F355">
        <ns0:f>COUNTIFS(Games_Raw!$K$2:$K$1232,"Yes",Games_Raw!$I$2:$I$1232,A355)</ns0:f>
        <ns0:v>50</ns0:v>
      </ns0:c>
      <ns0:c r="G355">
        <ns0:f>COUNTIFS(Games_Raw!$K$2:$K$1232,"Yes",Games_Raw!$J$2:$J$1232,A355)</ns0:f>
        <ns0:v>32</ns0:v>
      </ns0:c>
    </ns0:row>
    <ns0:row r="356">
      <ns0:c r="A356" t="inlineStr">
        <ns0:is>
          <ns0:t>LA Clippers</ns0:t>
        </ns0:is>
      </ns0:c>
      <ns0:c r="B356" t="inlineStr">
        <ns0:is>
          <ns0:t>Dallas Mavericks</ns0:t>
        </ns0:is>
      </ns0:c>
      <ns0:c r="C356">
        <ns0:f>COUNTIFS(Games_Raw!$K$2:$K$1232,"Yes",Games_Raw!$I$2:$I$1232,A356,Games_Raw!$J$2:$J$1232,B356)</ns0:f>
        <ns0:v>3</ns0:v>
      </ns0:c>
      <ns0:c r="D356">
        <ns0:f>COUNTIFS(Games_Raw!$K$2:$K$1232,"Yes",Games_Raw!$I$2:$I$1232,B356,Games_Raw!$J$2:$J$1232,A356)</ns0:f>
        <ns0:v>1</ns0:v>
      </ns0:c>
      <ns0:c r="E356" t="str">
        <ns0:f>C356&amp;"-"&amp;D356</ns0:f>
        <ns0:v>3-1</ns0:v>
      </ns0:c>
      <ns0:c r="F356">
        <ns0:f>COUNTIFS(Games_Raw!$K$2:$K$1232,"Yes",Games_Raw!$I$2:$I$1232,A356)</ns0:f>
        <ns0:v>50</ns0:v>
      </ns0:c>
      <ns0:c r="G356">
        <ns0:f>COUNTIFS(Games_Raw!$K$2:$K$1232,"Yes",Games_Raw!$J$2:$J$1232,A356)</ns0:f>
        <ns0:v>32</ns0:v>
      </ns0:c>
    </ns0:row>
    <ns0:row r="357">
      <ns0:c r="A357" t="inlineStr">
        <ns0:is>
          <ns0:t>LA Clippers</ns0:t>
        </ns0:is>
      </ns0:c>
      <ns0:c r="B357" t="inlineStr">
        <ns0:is>
          <ns0:t>Denver Nuggets</ns0:t>
        </ns0:is>
      </ns0:c>
      <ns0:c r="C357">
        <ns0:f>COUNTIFS(Games_Raw!$K$2:$K$1232,"Yes",Games_Raw!$I$2:$I$1232,A357,Games_Raw!$J$2:$J$1232,B357)</ns0:f>
        <ns0:v>2</ns0:v>
      </ns0:c>
      <ns0:c r="D357">
        <ns0:f>COUNTIFS(Games_Raw!$K$2:$K$1232,"Yes",Games_Raw!$I$2:$I$1232,B357,Games_Raw!$J$2:$J$1232,A357)</ns0:f>
        <ns0:v>2</ns0:v>
      </ns0:c>
      <ns0:c r="E357" t="str">
        <ns0:f>C357&amp;"-"&amp;D357</ns0:f>
        <ns0:v>2-2</ns0:v>
      </ns0:c>
      <ns0:c r="F357">
        <ns0:f>COUNTIFS(Games_Raw!$K$2:$K$1232,"Yes",Games_Raw!$I$2:$I$1232,A357)</ns0:f>
        <ns0:v>50</ns0:v>
      </ns0:c>
      <ns0:c r="G357">
        <ns0:f>COUNTIFS(Games_Raw!$K$2:$K$1232,"Yes",Games_Raw!$J$2:$J$1232,A357)</ns0:f>
        <ns0:v>32</ns0:v>
      </ns0:c>
    </ns0:row>
    <ns0:row r="358">
      <ns0:c r="A358" t="inlineStr">
        <ns0:is>
          <ns0:t>LA Clippers</ns0:t>
        </ns0:is>
      </ns0:c>
      <ns0:c r="B358" t="inlineStr">
        <ns0:is>
          <ns0:t>Detroit Pistons</ns0:t>
        </ns0:is>
      </ns0:c>
      <ns0:c r="C358">
        <ns0:f>COUNTIFS(Games_Raw!$K$2:$K$1232,"Yes",Games_Raw!$I$2:$I$1232,A358,Games_Raw!$J$2:$J$1232,B358)</ns0:f>
        <ns0:v>1</ns0:v>
      </ns0:c>
      <ns0:c r="D358">
        <ns0:f>COUNTIFS(Games_Raw!$K$2:$K$1232,"Yes",Games_Raw!$I$2:$I$1232,B358,Games_Raw!$J$2:$J$1232,A358)</ns0:f>
        <ns0:v>1</ns0:v>
      </ns0:c>
      <ns0:c r="E358" t="str">
        <ns0:f>C358&amp;"-"&amp;D358</ns0:f>
        <ns0:v>1-1</ns0:v>
      </ns0:c>
      <ns0:c r="F358">
        <ns0:f>COUNTIFS(Games_Raw!$K$2:$K$1232,"Yes",Games_Raw!$I$2:$I$1232,A358)</ns0:f>
        <ns0:v>50</ns0:v>
      </ns0:c>
      <ns0:c r="G358">
        <ns0:f>COUNTIFS(Games_Raw!$K$2:$K$1232,"Yes",Games_Raw!$J$2:$J$1232,A358)</ns0:f>
        <ns0:v>32</ns0:v>
      </ns0:c>
    </ns0:row>
    <ns0:row r="359">
      <ns0:c r="A359" t="inlineStr">
        <ns0:is>
          <ns0:t>LA Clippers</ns0:t>
        </ns0:is>
      </ns0:c>
      <ns0:c r="B359" t="inlineStr">
        <ns0:is>
          <ns0:t>Golden State Warriors</ns0:t>
        </ns0:is>
      </ns0:c>
      <ns0:c r="C359">
        <ns0:f>COUNTIFS(Games_Raw!$K$2:$K$1232,"Yes",Games_Raw!$I$2:$I$1232,A359,Games_Raw!$J$2:$J$1232,B359)</ns0:f>
        <ns0:v>4</ns0:v>
      </ns0:c>
      <ns0:c r="D359">
        <ns0:f>COUNTIFS(Games_Raw!$K$2:$K$1232,"Yes",Games_Raw!$I$2:$I$1232,B359,Games_Raw!$J$2:$J$1232,A359)</ns0:f>
        <ns0:v>0</ns0:v>
      </ns0:c>
      <ns0:c r="E359" t="str">
        <ns0:f>C359&amp;"-"&amp;D359</ns0:f>
        <ns0:v>4-0</ns0:v>
      </ns0:c>
      <ns0:c r="F359">
        <ns0:f>COUNTIFS(Games_Raw!$K$2:$K$1232,"Yes",Games_Raw!$I$2:$I$1232,A359)</ns0:f>
        <ns0:v>50</ns0:v>
      </ns0:c>
      <ns0:c r="G359">
        <ns0:f>COUNTIFS(Games_Raw!$K$2:$K$1232,"Yes",Games_Raw!$J$2:$J$1232,A359)</ns0:f>
        <ns0:v>32</ns0:v>
      </ns0:c>
    </ns0:row>
    <ns0:row r="360">
      <ns0:c r="A360" t="inlineStr">
        <ns0:is>
          <ns0:t>LA Clippers</ns0:t>
        </ns0:is>
      </ns0:c>
      <ns0:c r="B360" t="inlineStr">
        <ns0:is>
          <ns0:t>Houston Rockets</ns0:t>
        </ns0:is>
      </ns0:c>
      <ns0:c r="C360">
        <ns0:f>COUNTIFS(Games_Raw!$K$2:$K$1232,"Yes",Games_Raw!$I$2:$I$1232,A360,Games_Raw!$J$2:$J$1232,B360)</ns0:f>
        <ns0:v>1</ns0:v>
      </ns0:c>
      <ns0:c r="D360">
        <ns0:f>COUNTIFS(Games_Raw!$K$2:$K$1232,"Yes",Games_Raw!$I$2:$I$1232,B360,Games_Raw!$J$2:$J$1232,A360)</ns0:f>
        <ns0:v>3</ns0:v>
      </ns0:c>
      <ns0:c r="E360" t="str">
        <ns0:f>C360&amp;"-"&amp;D360</ns0:f>
        <ns0:v>1-3</ns0:v>
      </ns0:c>
      <ns0:c r="F360">
        <ns0:f>COUNTIFS(Games_Raw!$K$2:$K$1232,"Yes",Games_Raw!$I$2:$I$1232,A360)</ns0:f>
        <ns0:v>50</ns0:v>
      </ns0:c>
      <ns0:c r="G360">
        <ns0:f>COUNTIFS(Games_Raw!$K$2:$K$1232,"Yes",Games_Raw!$J$2:$J$1232,A360)</ns0:f>
        <ns0:v>32</ns0:v>
      </ns0:c>
    </ns0:row>
    <ns0:row r="361">
      <ns0:c r="A361" t="inlineStr">
        <ns0:is>
          <ns0:t>LA Clippers</ns0:t>
        </ns0:is>
      </ns0:c>
      <ns0:c r="B361" t="inlineStr">
        <ns0:is>
          <ns0:t>Indiana Pacers</ns0:t>
        </ns0:is>
      </ns0:c>
      <ns0:c r="C361">
        <ns0:f>COUNTIFS(Games_Raw!$K$2:$K$1232,"Yes",Games_Raw!$I$2:$I$1232,A361,Games_Raw!$J$2:$J$1232,B361)</ns0:f>
        <ns0:v>0</ns0:v>
      </ns0:c>
      <ns0:c r="D361">
        <ns0:f>COUNTIFS(Games_Raw!$K$2:$K$1232,"Yes",Games_Raw!$I$2:$I$1232,B361,Games_Raw!$J$2:$J$1232,A361)</ns0:f>
        <ns0:v>2</ns0:v>
      </ns0:c>
      <ns0:c r="E361" t="str">
        <ns0:f>C361&amp;"-"&amp;D361</ns0:f>
        <ns0:v>0-2</ns0:v>
      </ns0:c>
      <ns0:c r="F361">
        <ns0:f>COUNTIFS(Games_Raw!$K$2:$K$1232,"Yes",Games_Raw!$I$2:$I$1232,A361)</ns0:f>
        <ns0:v>50</ns0:v>
      </ns0:c>
      <ns0:c r="G361">
        <ns0:f>COUNTIFS(Games_Raw!$K$2:$K$1232,"Yes",Games_Raw!$J$2:$J$1232,A361)</ns0:f>
        <ns0:v>32</ns0:v>
      </ns0:c>
    </ns0:row>
    <ns0:row r="362">
      <ns0:c r="A362" t="inlineStr">
        <ns0:is>
          <ns0:t>LA Clippers</ns0:t>
        </ns0:is>
      </ns0:c>
      <ns0:c r="B362" t="inlineStr">
        <ns0:is>
          <ns0:t>Los Angeles Lakers</ns0:t>
        </ns0:is>
      </ns0:c>
      <ns0:c r="C362">
        <ns0:f>COUNTIFS(Games_Raw!$K$2:$K$1232,"Yes",Games_Raw!$I$2:$I$1232,A362,Games_Raw!$J$2:$J$1232,B362)</ns0:f>
        <ns0:v>1</ns0:v>
      </ns0:c>
      <ns0:c r="D362">
        <ns0:f>COUNTIFS(Games_Raw!$K$2:$K$1232,"Yes",Games_Raw!$I$2:$I$1232,B362,Games_Raw!$J$2:$J$1232,A362)</ns0:f>
        <ns0:v>3</ns0:v>
      </ns0:c>
      <ns0:c r="E362" t="str">
        <ns0:f>C362&amp;"-"&amp;D362</ns0:f>
        <ns0:v>1-3</ns0:v>
      </ns0:c>
      <ns0:c r="F362">
        <ns0:f>COUNTIFS(Games_Raw!$K$2:$K$1232,"Yes",Games_Raw!$I$2:$I$1232,A362)</ns0:f>
        <ns0:v>50</ns0:v>
      </ns0:c>
      <ns0:c r="G362">
        <ns0:f>COUNTIFS(Games_Raw!$K$2:$K$1232,"Yes",Games_Raw!$J$2:$J$1232,A362)</ns0:f>
        <ns0:v>32</ns0:v>
      </ns0:c>
    </ns0:row>
    <ns0:row r="363">
      <ns0:c r="A363" t="inlineStr">
        <ns0:is>
          <ns0:t>LA Clippers</ns0:t>
        </ns0:is>
      </ns0:c>
      <ns0:c r="B363" t="inlineStr">
        <ns0:is>
          <ns0:t>Memphis Grizzlies</ns0:t>
        </ns0:is>
      </ns0:c>
      <ns0:c r="C363">
        <ns0:f>COUNTIFS(Games_Raw!$K$2:$K$1232,"Yes",Games_Raw!$I$2:$I$1232,A363,Games_Raw!$J$2:$J$1232,B363)</ns0:f>
        <ns0:v>3</ns0:v>
      </ns0:c>
      <ns0:c r="D363">
        <ns0:f>COUNTIFS(Games_Raw!$K$2:$K$1232,"Yes",Games_Raw!$I$2:$I$1232,B363,Games_Raw!$J$2:$J$1232,A363)</ns0:f>
        <ns0:v>0</ns0:v>
      </ns0:c>
      <ns0:c r="E363" t="str">
        <ns0:f>C363&amp;"-"&amp;D363</ns0:f>
        <ns0:v>3-0</ns0:v>
      </ns0:c>
      <ns0:c r="F363">
        <ns0:f>COUNTIFS(Games_Raw!$K$2:$K$1232,"Yes",Games_Raw!$I$2:$I$1232,A363)</ns0:f>
        <ns0:v>50</ns0:v>
      </ns0:c>
      <ns0:c r="G363">
        <ns0:f>COUNTIFS(Games_Raw!$K$2:$K$1232,"Yes",Games_Raw!$J$2:$J$1232,A363)</ns0:f>
        <ns0:v>32</ns0:v>
      </ns0:c>
    </ns0:row>
    <ns0:row r="364">
      <ns0:c r="A364" t="inlineStr">
        <ns0:is>
          <ns0:t>LA Clippers</ns0:t>
        </ns0:is>
      </ns0:c>
      <ns0:c r="B364" t="inlineStr">
        <ns0:is>
          <ns0:t>Miami Heat</ns0:t>
        </ns0:is>
      </ns0:c>
      <ns0:c r="C364">
        <ns0:f>COUNTIFS(Games_Raw!$K$2:$K$1232,"Yes",Games_Raw!$I$2:$I$1232,A364,Games_Raw!$J$2:$J$1232,B364)</ns0:f>
        <ns0:v>2</ns0:v>
      </ns0:c>
      <ns0:c r="D364">
        <ns0:f>COUNTIFS(Games_Raw!$K$2:$K$1232,"Yes",Games_Raw!$I$2:$I$1232,B364,Games_Raw!$J$2:$J$1232,A364)</ns0:f>
        <ns0:v>0</ns0:v>
      </ns0:c>
      <ns0:c r="E364" t="str">
        <ns0:f>C364&amp;"-"&amp;D364</ns0:f>
        <ns0:v>2-0</ns0:v>
      </ns0:c>
      <ns0:c r="F364">
        <ns0:f>COUNTIFS(Games_Raw!$K$2:$K$1232,"Yes",Games_Raw!$I$2:$I$1232,A364)</ns0:f>
        <ns0:v>50</ns0:v>
      </ns0:c>
      <ns0:c r="G364">
        <ns0:f>COUNTIFS(Games_Raw!$K$2:$K$1232,"Yes",Games_Raw!$J$2:$J$1232,A364)</ns0:f>
        <ns0:v>32</ns0:v>
      </ns0:c>
    </ns0:row>
    <ns0:row r="365">
      <ns0:c r="A365" t="inlineStr">
        <ns0:is>
          <ns0:t>LA Clippers</ns0:t>
        </ns0:is>
      </ns0:c>
      <ns0:c r="B365" t="inlineStr">
        <ns0:is>
          <ns0:t>Milwaukee Bucks</ns0:t>
        </ns0:is>
      </ns0:c>
      <ns0:c r="C365">
        <ns0:f>COUNTIFS(Games_Raw!$K$2:$K$1232,"Yes",Games_Raw!$I$2:$I$1232,A365,Games_Raw!$J$2:$J$1232,B365)</ns0:f>
        <ns0:v>1</ns0:v>
      </ns0:c>
      <ns0:c r="D365">
        <ns0:f>COUNTIFS(Games_Raw!$K$2:$K$1232,"Yes",Games_Raw!$I$2:$I$1232,B365,Games_Raw!$J$2:$J$1232,A365)</ns0:f>
        <ns0:v>1</ns0:v>
      </ns0:c>
      <ns0:c r="E365" t="str">
        <ns0:f>C365&amp;"-"&amp;D365</ns0:f>
        <ns0:v>1-1</ns0:v>
      </ns0:c>
      <ns0:c r="F365">
        <ns0:f>COUNTIFS(Games_Raw!$K$2:$K$1232,"Yes",Games_Raw!$I$2:$I$1232,A365)</ns0:f>
        <ns0:v>50</ns0:v>
      </ns0:c>
      <ns0:c r="G365">
        <ns0:f>COUNTIFS(Games_Raw!$K$2:$K$1232,"Yes",Games_Raw!$J$2:$J$1232,A365)</ns0:f>
        <ns0:v>32</ns0:v>
      </ns0:c>
    </ns0:row>
    <ns0:row r="366">
      <ns0:c r="A366" t="inlineStr">
        <ns0:is>
          <ns0:t>LA Clippers</ns0:t>
        </ns0:is>
      </ns0:c>
      <ns0:c r="B366" t="inlineStr">
        <ns0:is>
          <ns0:t>Minnesota Timberwolves</ns0:t>
        </ns0:is>
      </ns0:c>
      <ns0:c r="C366">
        <ns0:f>COUNTIFS(Games_Raw!$K$2:$K$1232,"Yes",Games_Raw!$I$2:$I$1232,A366,Games_Raw!$J$2:$J$1232,B366)</ns0:f>
        <ns0:v>0</ns0:v>
      </ns0:c>
      <ns0:c r="D366">
        <ns0:f>COUNTIFS(Games_Raw!$K$2:$K$1232,"Yes",Games_Raw!$I$2:$I$1232,B366,Games_Raw!$J$2:$J$1232,A366)</ns0:f>
        <ns0:v>3</ns0:v>
      </ns0:c>
      <ns0:c r="E366" t="str">
        <ns0:f>C366&amp;"-"&amp;D366</ns0:f>
        <ns0:v>0-3</ns0:v>
      </ns0:c>
      <ns0:c r="F366">
        <ns0:f>COUNTIFS(Games_Raw!$K$2:$K$1232,"Yes",Games_Raw!$I$2:$I$1232,A366)</ns0:f>
        <ns0:v>50</ns0:v>
      </ns0:c>
      <ns0:c r="G366">
        <ns0:f>COUNTIFS(Games_Raw!$K$2:$K$1232,"Yes",Games_Raw!$J$2:$J$1232,A366)</ns0:f>
        <ns0:v>32</ns0:v>
      </ns0:c>
    </ns0:row>
    <ns0:row r="367">
      <ns0:c r="A367" t="inlineStr">
        <ns0:is>
          <ns0:t>LA Clippers</ns0:t>
        </ns0:is>
      </ns0:c>
      <ns0:c r="B367" t="inlineStr">
        <ns0:is>
          <ns0:t>New Orleans Pelicans</ns0:t>
        </ns0:is>
      </ns0:c>
      <ns0:c r="C367">
        <ns0:f>COUNTIFS(Games_Raw!$K$2:$K$1232,"Yes",Games_Raw!$I$2:$I$1232,A367,Games_Raw!$J$2:$J$1232,B367)</ns0:f>
        <ns0:v>2</ns0:v>
      </ns0:c>
      <ns0:c r="D367">
        <ns0:f>COUNTIFS(Games_Raw!$K$2:$K$1232,"Yes",Games_Raw!$I$2:$I$1232,B367,Games_Raw!$J$2:$J$1232,A367)</ns0:f>
        <ns0:v>1</ns0:v>
      </ns0:c>
      <ns0:c r="E367" t="str">
        <ns0:f>C367&amp;"-"&amp;D367</ns0:f>
        <ns0:v>2-1</ns0:v>
      </ns0:c>
      <ns0:c r="F367">
        <ns0:f>COUNTIFS(Games_Raw!$K$2:$K$1232,"Yes",Games_Raw!$I$2:$I$1232,A367)</ns0:f>
        <ns0:v>50</ns0:v>
      </ns0:c>
      <ns0:c r="G367">
        <ns0:f>COUNTIFS(Games_Raw!$K$2:$K$1232,"Yes",Games_Raw!$J$2:$J$1232,A367)</ns0:f>
        <ns0:v>32</ns0:v>
      </ns0:c>
    </ns0:row>
    <ns0:row r="368">
      <ns0:c r="A368" t="inlineStr">
        <ns0:is>
          <ns0:t>LA Clippers</ns0:t>
        </ns0:is>
      </ns0:c>
      <ns0:c r="B368" t="inlineStr">
        <ns0:is>
          <ns0:t>New York Knicks</ns0:t>
        </ns0:is>
      </ns0:c>
      <ns0:c r="C368">
        <ns0:f>COUNTIFS(Games_Raw!$K$2:$K$1232,"Yes",Games_Raw!$I$2:$I$1232,A368,Games_Raw!$J$2:$J$1232,B368)</ns0:f>
        <ns0:v>2</ns0:v>
      </ns0:c>
      <ns0:c r="D368">
        <ns0:f>COUNTIFS(Games_Raw!$K$2:$K$1232,"Yes",Games_Raw!$I$2:$I$1232,B368,Games_Raw!$J$2:$J$1232,A368)</ns0:f>
        <ns0:v>0</ns0:v>
      </ns0:c>
      <ns0:c r="E368" t="str">
        <ns0:f>C368&amp;"-"&amp;D368</ns0:f>
        <ns0:v>2-0</ns0:v>
      </ns0:c>
      <ns0:c r="F368">
        <ns0:f>COUNTIFS(Games_Raw!$K$2:$K$1232,"Yes",Games_Raw!$I$2:$I$1232,A368)</ns0:f>
        <ns0:v>50</ns0:v>
      </ns0:c>
      <ns0:c r="G368">
        <ns0:f>COUNTIFS(Games_Raw!$K$2:$K$1232,"Yes",Games_Raw!$J$2:$J$1232,A368)</ns0:f>
        <ns0:v>32</ns0:v>
      </ns0:c>
    </ns0:row>
    <ns0:row r="369">
      <ns0:c r="A369" t="inlineStr">
        <ns0:is>
          <ns0:t>LA Clippers</ns0:t>
        </ns0:is>
      </ns0:c>
      <ns0:c r="B369" t="inlineStr">
        <ns0:is>
          <ns0:t>Oklahoma City Thunder</ns0:t>
        </ns0:is>
      </ns0:c>
      <ns0:c r="C369">
        <ns0:f>COUNTIFS(Games_Raw!$K$2:$K$1232,"Yes",Games_Raw!$I$2:$I$1232,A369,Games_Raw!$J$2:$J$1232,B369)</ns0:f>
        <ns0:v>0</ns0:v>
      </ns0:c>
      <ns0:c r="D369">
        <ns0:f>COUNTIFS(Games_Raw!$K$2:$K$1232,"Yes",Games_Raw!$I$2:$I$1232,B369,Games_Raw!$J$2:$J$1232,A369)</ns0:f>
        <ns0:v>4</ns0:v>
      </ns0:c>
      <ns0:c r="E369" t="str">
        <ns0:f>C369&amp;"-"&amp;D369</ns0:f>
        <ns0:v>0-4</ns0:v>
      </ns0:c>
      <ns0:c r="F369">
        <ns0:f>COUNTIFS(Games_Raw!$K$2:$K$1232,"Yes",Games_Raw!$I$2:$I$1232,A369)</ns0:f>
        <ns0:v>50</ns0:v>
      </ns0:c>
      <ns0:c r="G369">
        <ns0:f>COUNTIFS(Games_Raw!$K$2:$K$1232,"Yes",Games_Raw!$J$2:$J$1232,A369)</ns0:f>
        <ns0:v>32</ns0:v>
      </ns0:c>
    </ns0:row>
    <ns0:row r="370">
      <ns0:c r="A370" t="inlineStr">
        <ns0:is>
          <ns0:t>LA Clippers</ns0:t>
        </ns0:is>
      </ns0:c>
      <ns0:c r="B370" t="inlineStr">
        <ns0:is>
          <ns0:t>Orlando Magic</ns0:t>
        </ns0:is>
      </ns0:c>
      <ns0:c r="C370">
        <ns0:f>COUNTIFS(Games_Raw!$K$2:$K$1232,"Yes",Games_Raw!$I$2:$I$1232,A370,Games_Raw!$J$2:$J$1232,B370)</ns0:f>
        <ns0:v>2</ns0:v>
      </ns0:c>
      <ns0:c r="D370">
        <ns0:f>COUNTIFS(Games_Raw!$K$2:$K$1232,"Yes",Games_Raw!$I$2:$I$1232,B370,Games_Raw!$J$2:$J$1232,A370)</ns0:f>
        <ns0:v>0</ns0:v>
      </ns0:c>
      <ns0:c r="E370" t="str">
        <ns0:f>C370&amp;"-"&amp;D370</ns0:f>
        <ns0:v>2-0</ns0:v>
      </ns0:c>
      <ns0:c r="F370">
        <ns0:f>COUNTIFS(Games_Raw!$K$2:$K$1232,"Yes",Games_Raw!$I$2:$I$1232,A370)</ns0:f>
        <ns0:v>50</ns0:v>
      </ns0:c>
      <ns0:c r="G370">
        <ns0:f>COUNTIFS(Games_Raw!$K$2:$K$1232,"Yes",Games_Raw!$J$2:$J$1232,A370)</ns0:f>
        <ns0:v>32</ns0:v>
      </ns0:c>
    </ns0:row>
    <ns0:row r="371">
      <ns0:c r="A371" t="inlineStr">
        <ns0:is>
          <ns0:t>LA Clippers</ns0:t>
        </ns0:is>
      </ns0:c>
      <ns0:c r="B371" t="inlineStr">
        <ns0:is>
          <ns0:t>Philadelphia 76ers</ns0:t>
        </ns0:is>
      </ns0:c>
      <ns0:c r="C371">
        <ns0:f>COUNTIFS(Games_Raw!$K$2:$K$1232,"Yes",Games_Raw!$I$2:$I$1232,A371,Games_Raw!$J$2:$J$1232,B371)</ns0:f>
        <ns0:v>2</ns0:v>
      </ns0:c>
      <ns0:c r="D371">
        <ns0:f>COUNTIFS(Games_Raw!$K$2:$K$1232,"Yes",Games_Raw!$I$2:$I$1232,B371,Games_Raw!$J$2:$J$1232,A371)</ns0:f>
        <ns0:v>0</ns0:v>
      </ns0:c>
      <ns0:c r="E371" t="str">
        <ns0:f>C371&amp;"-"&amp;D371</ns0:f>
        <ns0:v>2-0</ns0:v>
      </ns0:c>
      <ns0:c r="F371">
        <ns0:f>COUNTIFS(Games_Raw!$K$2:$K$1232,"Yes",Games_Raw!$I$2:$I$1232,A371)</ns0:f>
        <ns0:v>50</ns0:v>
      </ns0:c>
      <ns0:c r="G371">
        <ns0:f>COUNTIFS(Games_Raw!$K$2:$K$1232,"Yes",Games_Raw!$J$2:$J$1232,A371)</ns0:f>
        <ns0:v>32</ns0:v>
      </ns0:c>
    </ns0:row>
    <ns0:row r="372">
      <ns0:c r="A372" t="inlineStr">
        <ns0:is>
          <ns0:t>LA Clippers</ns0:t>
        </ns0:is>
      </ns0:c>
      <ns0:c r="B372" t="inlineStr">
        <ns0:is>
          <ns0:t>Phoenix Suns</ns0:t>
        </ns0:is>
      </ns0:c>
      <ns0:c r="C372">
        <ns0:f>COUNTIFS(Games_Raw!$K$2:$K$1232,"Yes",Games_Raw!$I$2:$I$1232,A372,Games_Raw!$J$2:$J$1232,B372)</ns0:f>
        <ns0:v>0</ns0:v>
      </ns0:c>
      <ns0:c r="D372">
        <ns0:f>COUNTIFS(Games_Raw!$K$2:$K$1232,"Yes",Games_Raw!$I$2:$I$1232,B372,Games_Raw!$J$2:$J$1232,A372)</ns0:f>
        <ns0:v>4</ns0:v>
      </ns0:c>
      <ns0:c r="E372" t="str">
        <ns0:f>C372&amp;"-"&amp;D372</ns0:f>
        <ns0:v>0-4</ns0:v>
      </ns0:c>
      <ns0:c r="F372">
        <ns0:f>COUNTIFS(Games_Raw!$K$2:$K$1232,"Yes",Games_Raw!$I$2:$I$1232,A372)</ns0:f>
        <ns0:v>50</ns0:v>
      </ns0:c>
      <ns0:c r="G372">
        <ns0:f>COUNTIFS(Games_Raw!$K$2:$K$1232,"Yes",Games_Raw!$J$2:$J$1232,A372)</ns0:f>
        <ns0:v>32</ns0:v>
      </ns0:c>
    </ns0:row>
    <ns0:row r="373">
      <ns0:c r="A373" t="inlineStr">
        <ns0:is>
          <ns0:t>LA Clippers</ns0:t>
        </ns0:is>
      </ns0:c>
      <ns0:c r="B373" t="inlineStr">
        <ns0:is>
          <ns0:t>Portland Trail Blazers</ns0:t>
        </ns0:is>
      </ns0:c>
      <ns0:c r="C373">
        <ns0:f>COUNTIFS(Games_Raw!$K$2:$K$1232,"Yes",Games_Raw!$I$2:$I$1232,A373,Games_Raw!$J$2:$J$1232,B373)</ns0:f>
        <ns0:v>2</ns0:v>
      </ns0:c>
      <ns0:c r="D373">
        <ns0:f>COUNTIFS(Games_Raw!$K$2:$K$1232,"Yes",Games_Raw!$I$2:$I$1232,B373,Games_Raw!$J$2:$J$1232,A373)</ns0:f>
        <ns0:v>1</ns0:v>
      </ns0:c>
      <ns0:c r="E373" t="str">
        <ns0:f>C373&amp;"-"&amp;D373</ns0:f>
        <ns0:v>2-1</ns0:v>
      </ns0:c>
      <ns0:c r="F373">
        <ns0:f>COUNTIFS(Games_Raw!$K$2:$K$1232,"Yes",Games_Raw!$I$2:$I$1232,A373)</ns0:f>
        <ns0:v>50</ns0:v>
      </ns0:c>
      <ns0:c r="G373">
        <ns0:f>COUNTIFS(Games_Raw!$K$2:$K$1232,"Yes",Games_Raw!$J$2:$J$1232,A373)</ns0:f>
        <ns0:v>32</ns0:v>
      </ns0:c>
    </ns0:row>
    <ns0:row r="374">
      <ns0:c r="A374" t="inlineStr">
        <ns0:is>
          <ns0:t>LA Clippers</ns0:t>
        </ns0:is>
      </ns0:c>
      <ns0:c r="B374" t="inlineStr">
        <ns0:is>
          <ns0:t>Sacramento Kings</ns0:t>
        </ns0:is>
      </ns0:c>
      <ns0:c r="C374">
        <ns0:f>COUNTIFS(Games_Raw!$K$2:$K$1232,"Yes",Games_Raw!$I$2:$I$1232,A374,Games_Raw!$J$2:$J$1232,B374)</ns0:f>
        <ns0:v>4</ns0:v>
      </ns0:c>
      <ns0:c r="D374">
        <ns0:f>COUNTIFS(Games_Raw!$K$2:$K$1232,"Yes",Games_Raw!$I$2:$I$1232,B374,Games_Raw!$J$2:$J$1232,A374)</ns0:f>
        <ns0:v>0</ns0:v>
      </ns0:c>
      <ns0:c r="E374" t="str">
        <ns0:f>C374&amp;"-"&amp;D374</ns0:f>
        <ns0:v>4-0</ns0:v>
      </ns0:c>
      <ns0:c r="F374">
        <ns0:f>COUNTIFS(Games_Raw!$K$2:$K$1232,"Yes",Games_Raw!$I$2:$I$1232,A374)</ns0:f>
        <ns0:v>50</ns0:v>
      </ns0:c>
      <ns0:c r="G374">
        <ns0:f>COUNTIFS(Games_Raw!$K$2:$K$1232,"Yes",Games_Raw!$J$2:$J$1232,A374)</ns0:f>
        <ns0:v>32</ns0:v>
      </ns0:c>
    </ns0:row>
    <ns0:row r="375">
      <ns0:c r="A375" t="inlineStr">
        <ns0:is>
          <ns0:t>LA Clippers</ns0:t>
        </ns0:is>
      </ns0:c>
      <ns0:c r="B375" t="inlineStr">
        <ns0:is>
          <ns0:t>San Antonio Spurs</ns0:t>
        </ns0:is>
      </ns0:c>
      <ns0:c r="C375">
        <ns0:f>COUNTIFS(Games_Raw!$K$2:$K$1232,"Yes",Games_Raw!$I$2:$I$1232,A375,Games_Raw!$J$2:$J$1232,B375)</ns0:f>
        <ns0:v>3</ns0:v>
      </ns0:c>
      <ns0:c r="D375">
        <ns0:f>COUNTIFS(Games_Raw!$K$2:$K$1232,"Yes",Games_Raw!$I$2:$I$1232,B375,Games_Raw!$J$2:$J$1232,A375)</ns0:f>
        <ns0:v>1</ns0:v>
      </ns0:c>
      <ns0:c r="E375" t="str">
        <ns0:f>C375&amp;"-"&amp;D375</ns0:f>
        <ns0:v>3-1</ns0:v>
      </ns0:c>
      <ns0:c r="F375">
        <ns0:f>COUNTIFS(Games_Raw!$K$2:$K$1232,"Yes",Games_Raw!$I$2:$I$1232,A375)</ns0:f>
        <ns0:v>50</ns0:v>
      </ns0:c>
      <ns0:c r="G375">
        <ns0:f>COUNTIFS(Games_Raw!$K$2:$K$1232,"Yes",Games_Raw!$J$2:$J$1232,A375)</ns0:f>
        <ns0:v>32</ns0:v>
      </ns0:c>
    </ns0:row>
    <ns0:row r="376">
      <ns0:c r="A376" t="inlineStr">
        <ns0:is>
          <ns0:t>LA Clippers</ns0:t>
        </ns0:is>
      </ns0:c>
      <ns0:c r="B376" t="inlineStr">
        <ns0:is>
          <ns0:t>Toronto Raptors</ns0:t>
        </ns0:is>
      </ns0:c>
      <ns0:c r="C376">
        <ns0:f>COUNTIFS(Games_Raw!$K$2:$K$1232,"Yes",Games_Raw!$I$2:$I$1232,A376,Games_Raw!$J$2:$J$1232,B376)</ns0:f>
        <ns0:v>1</ns0:v>
      </ns0:c>
      <ns0:c r="D376">
        <ns0:f>COUNTIFS(Games_Raw!$K$2:$K$1232,"Yes",Games_Raw!$I$2:$I$1232,B376,Games_Raw!$J$2:$J$1232,A376)</ns0:f>
        <ns0:v>1</ns0:v>
      </ns0:c>
      <ns0:c r="E376" t="str">
        <ns0:f>C376&amp;"-"&amp;D376</ns0:f>
        <ns0:v>1-1</ns0:v>
      </ns0:c>
      <ns0:c r="F376">
        <ns0:f>COUNTIFS(Games_Raw!$K$2:$K$1232,"Yes",Games_Raw!$I$2:$I$1232,A376)</ns0:f>
        <ns0:v>50</ns0:v>
      </ns0:c>
      <ns0:c r="G376">
        <ns0:f>COUNTIFS(Games_Raw!$K$2:$K$1232,"Yes",Games_Raw!$J$2:$J$1232,A376)</ns0:f>
        <ns0:v>32</ns0:v>
      </ns0:c>
    </ns0:row>
    <ns0:row r="377">
      <ns0:c r="A377" t="inlineStr">
        <ns0:is>
          <ns0:t>LA Clippers</ns0:t>
        </ns0:is>
      </ns0:c>
      <ns0:c r="B377" t="inlineStr">
        <ns0:is>
          <ns0:t>Utah Jazz</ns0:t>
        </ns0:is>
      </ns0:c>
      <ns0:c r="C377">
        <ns0:f>COUNTIFS(Games_Raw!$K$2:$K$1232,"Yes",Games_Raw!$I$2:$I$1232,A377,Games_Raw!$J$2:$J$1232,B377)</ns0:f>
        <ns0:v>4</ns0:v>
      </ns0:c>
      <ns0:c r="D377">
        <ns0:f>COUNTIFS(Games_Raw!$K$2:$K$1232,"Yes",Games_Raw!$I$2:$I$1232,B377,Games_Raw!$J$2:$J$1232,A377)</ns0:f>
        <ns0:v>0</ns0:v>
      </ns0:c>
      <ns0:c r="E377" t="str">
        <ns0:f>C377&amp;"-"&amp;D377</ns0:f>
        <ns0:v>4-0</ns0:v>
      </ns0:c>
      <ns0:c r="F377">
        <ns0:f>COUNTIFS(Games_Raw!$K$2:$K$1232,"Yes",Games_Raw!$I$2:$I$1232,A377)</ns0:f>
        <ns0:v>50</ns0:v>
      </ns0:c>
      <ns0:c r="G377">
        <ns0:f>COUNTIFS(Games_Raw!$K$2:$K$1232,"Yes",Games_Raw!$J$2:$J$1232,A377)</ns0:f>
        <ns0:v>32</ns0:v>
      </ns0:c>
    </ns0:row>
    <ns0:row r="378">
      <ns0:c r="A378" t="inlineStr">
        <ns0:is>
          <ns0:t>LA Clippers</ns0:t>
        </ns0:is>
      </ns0:c>
      <ns0:c r="B378" t="inlineStr">
        <ns0:is>
          <ns0:t>Washington Wizards</ns0:t>
        </ns0:is>
      </ns0:c>
      <ns0:c r="C378">
        <ns0:f>COUNTIFS(Games_Raw!$K$2:$K$1232,"Yes",Games_Raw!$I$2:$I$1232,A378,Games_Raw!$J$2:$J$1232,B378)</ns0:f>
        <ns0:v>2</ns0:v>
      </ns0:c>
      <ns0:c r="D378">
        <ns0:f>COUNTIFS(Games_Raw!$K$2:$K$1232,"Yes",Games_Raw!$I$2:$I$1232,B378,Games_Raw!$J$2:$J$1232,A378)</ns0:f>
        <ns0:v>0</ns0:v>
      </ns0:c>
      <ns0:c r="E378" t="str">
        <ns0:f>C378&amp;"-"&amp;D378</ns0:f>
        <ns0:v>2-0</ns0:v>
      </ns0:c>
      <ns0:c r="F378">
        <ns0:f>COUNTIFS(Games_Raw!$K$2:$K$1232,"Yes",Games_Raw!$I$2:$I$1232,A378)</ns0:f>
        <ns0:v>50</ns0:v>
      </ns0:c>
      <ns0:c r="G378">
        <ns0:f>COUNTIFS(Games_Raw!$K$2:$K$1232,"Yes",Games_Raw!$J$2:$J$1232,A378)</ns0:f>
        <ns0:v>32</ns0:v>
      </ns0:c>
    </ns0:row>
    <ns0:row r="379">
      <ns0:c r="A379" t="inlineStr">
        <ns0:is>
          <ns0:t>Los Angeles Lakers</ns0:t>
        </ns0:is>
      </ns0:c>
      <ns0:c r="B379" t="inlineStr">
        <ns0:is>
          <ns0:t>Atlanta Hawks</ns0:t>
        </ns0:is>
      </ns0:c>
      <ns0:c r="C379">
        <ns0:f>COUNTIFS(Games_Raw!$K$2:$K$1232,"Yes",Games_Raw!$I$2:$I$1232,A379,Games_Raw!$J$2:$J$1232,B379)</ns0:f>
        <ns0:v>1</ns0:v>
      </ns0:c>
      <ns0:c r="D379">
        <ns0:f>COUNTIFS(Games_Raw!$K$2:$K$1232,"Yes",Games_Raw!$I$2:$I$1232,B379,Games_Raw!$J$2:$J$1232,A379)</ns0:f>
        <ns0:v>1</ns0:v>
      </ns0:c>
      <ns0:c r="E379" t="str">
        <ns0:f>C379&amp;"-"&amp;D379</ns0:f>
        <ns0:v>1-1</ns0:v>
      </ns0:c>
      <ns0:c r="F379">
        <ns0:f>COUNTIFS(Games_Raw!$K$2:$K$1232,"Yes",Games_Raw!$I$2:$I$1232,A379)</ns0:f>
        <ns0:v>50</ns0:v>
      </ns0:c>
      <ns0:c r="G379">
        <ns0:f>COUNTIFS(Games_Raw!$K$2:$K$1232,"Yes",Games_Raw!$J$2:$J$1232,A379)</ns0:f>
        <ns0:v>32</ns0:v>
      </ns0:c>
    </ns0:row>
    <ns0:row r="380">
      <ns0:c r="A380" t="inlineStr">
        <ns0:is>
          <ns0:t>Los Angeles Lakers</ns0:t>
        </ns0:is>
      </ns0:c>
      <ns0:c r="B380" t="inlineStr">
        <ns0:is>
          <ns0:t>Boston Celtics</ns0:t>
        </ns0:is>
      </ns0:c>
      <ns0:c r="C380">
        <ns0:f>COUNTIFS(Games_Raw!$K$2:$K$1232,"Yes",Games_Raw!$I$2:$I$1232,A380,Games_Raw!$J$2:$J$1232,B380)</ns0:f>
        <ns0:v>1</ns0:v>
      </ns0:c>
      <ns0:c r="D380">
        <ns0:f>COUNTIFS(Games_Raw!$K$2:$K$1232,"Yes",Games_Raw!$I$2:$I$1232,B380,Games_Raw!$J$2:$J$1232,A380)</ns0:f>
        <ns0:v>1</ns0:v>
      </ns0:c>
      <ns0:c r="E380" t="str">
        <ns0:f>C380&amp;"-"&amp;D380</ns0:f>
        <ns0:v>1-1</ns0:v>
      </ns0:c>
      <ns0:c r="F380">
        <ns0:f>COUNTIFS(Games_Raw!$K$2:$K$1232,"Yes",Games_Raw!$I$2:$I$1232,A380)</ns0:f>
        <ns0:v>50</ns0:v>
      </ns0:c>
      <ns0:c r="G380">
        <ns0:f>COUNTIFS(Games_Raw!$K$2:$K$1232,"Yes",Games_Raw!$J$2:$J$1232,A380)</ns0:f>
        <ns0:v>32</ns0:v>
      </ns0:c>
    </ns0:row>
    <ns0:row r="381">
      <ns0:c r="A381" t="inlineStr">
        <ns0:is>
          <ns0:t>Los Angeles Lakers</ns0:t>
        </ns0:is>
      </ns0:c>
      <ns0:c r="B381" t="inlineStr">
        <ns0:is>
          <ns0:t>Brooklyn Nets</ns0:t>
        </ns0:is>
      </ns0:c>
      <ns0:c r="C381">
        <ns0:f>COUNTIFS(Games_Raw!$K$2:$K$1232,"Yes",Games_Raw!$I$2:$I$1232,A381,Games_Raw!$J$2:$J$1232,B381)</ns0:f>
        <ns0:v>1</ns0:v>
      </ns0:c>
      <ns0:c r="D381">
        <ns0:f>COUNTIFS(Games_Raw!$K$2:$K$1232,"Yes",Games_Raw!$I$2:$I$1232,B381,Games_Raw!$J$2:$J$1232,A381)</ns0:f>
        <ns0:v>1</ns0:v>
      </ns0:c>
      <ns0:c r="E381" t="str">
        <ns0:f>C381&amp;"-"&amp;D381</ns0:f>
        <ns0:v>1-1</ns0:v>
      </ns0:c>
      <ns0:c r="F381">
        <ns0:f>COUNTIFS(Games_Raw!$K$2:$K$1232,"Yes",Games_Raw!$I$2:$I$1232,A381)</ns0:f>
        <ns0:v>50</ns0:v>
      </ns0:c>
      <ns0:c r="G381">
        <ns0:f>COUNTIFS(Games_Raw!$K$2:$K$1232,"Yes",Games_Raw!$J$2:$J$1232,A381)</ns0:f>
        <ns0:v>32</ns0:v>
      </ns0:c>
    </ns0:row>
    <ns0:row r="382">
      <ns0:c r="A382" t="inlineStr">
        <ns0:is>
          <ns0:t>Los Angeles Lakers</ns0:t>
        </ns0:is>
      </ns0:c>
      <ns0:c r="B382" t="inlineStr">
        <ns0:is>
          <ns0:t>Charlotte Hornets</ns0:t>
        </ns0:is>
      </ns0:c>
      <ns0:c r="C382">
        <ns0:f>COUNTIFS(Games_Raw!$K$2:$K$1232,"Yes",Games_Raw!$I$2:$I$1232,A382,Games_Raw!$J$2:$J$1232,B382)</ns0:f>
        <ns0:v>1</ns0:v>
      </ns0:c>
      <ns0:c r="D382">
        <ns0:f>COUNTIFS(Games_Raw!$K$2:$K$1232,"Yes",Games_Raw!$I$2:$I$1232,B382,Games_Raw!$J$2:$J$1232,A382)</ns0:f>
        <ns0:v>1</ns0:v>
      </ns0:c>
      <ns0:c r="E382" t="str">
        <ns0:f>C382&amp;"-"&amp;D382</ns0:f>
        <ns0:v>1-1</ns0:v>
      </ns0:c>
      <ns0:c r="F382">
        <ns0:f>COUNTIFS(Games_Raw!$K$2:$K$1232,"Yes",Games_Raw!$I$2:$I$1232,A382)</ns0:f>
        <ns0:v>50</ns0:v>
      </ns0:c>
      <ns0:c r="G382">
        <ns0:f>COUNTIFS(Games_Raw!$K$2:$K$1232,"Yes",Games_Raw!$J$2:$J$1232,A382)</ns0:f>
        <ns0:v>32</ns0:v>
      </ns0:c>
    </ns0:row>
    <ns0:row r="383">
      <ns0:c r="A383" t="inlineStr">
        <ns0:is>
          <ns0:t>Los Angeles Lakers</ns0:t>
        </ns0:is>
      </ns0:c>
      <ns0:c r="B383" t="inlineStr">
        <ns0:is>
          <ns0:t>Chicago Bulls</ns0:t>
        </ns0:is>
      </ns0:c>
      <ns0:c r="C383">
        <ns0:f>COUNTIFS(Games_Raw!$K$2:$K$1232,"Yes",Games_Raw!$I$2:$I$1232,A383,Games_Raw!$J$2:$J$1232,B383)</ns0:f>
        <ns0:v>0</ns0:v>
      </ns0:c>
      <ns0:c r="D383">
        <ns0:f>COUNTIFS(Games_Raw!$K$2:$K$1232,"Yes",Games_Raw!$I$2:$I$1232,B383,Games_Raw!$J$2:$J$1232,A383)</ns0:f>
        <ns0:v>2</ns0:v>
      </ns0:c>
      <ns0:c r="E383" t="str">
        <ns0:f>C383&amp;"-"&amp;D383</ns0:f>
        <ns0:v>0-2</ns0:v>
      </ns0:c>
      <ns0:c r="F383">
        <ns0:f>COUNTIFS(Games_Raw!$K$2:$K$1232,"Yes",Games_Raw!$I$2:$I$1232,A383)</ns0:f>
        <ns0:v>50</ns0:v>
      </ns0:c>
      <ns0:c r="G383">
        <ns0:f>COUNTIFS(Games_Raw!$K$2:$K$1232,"Yes",Games_Raw!$J$2:$J$1232,A383)</ns0:f>
        <ns0:v>32</ns0:v>
      </ns0:c>
    </ns0:row>
    <ns0:row r="384">
      <ns0:c r="A384" t="inlineStr">
        <ns0:is>
          <ns0:t>Los Angeles Lakers</ns0:t>
        </ns0:is>
      </ns0:c>
      <ns0:c r="B384" t="inlineStr">
        <ns0:is>
          <ns0:t>Cleveland Cavaliers</ns0:t>
        </ns0:is>
      </ns0:c>
      <ns0:c r="C384">
        <ns0:f>COUNTIFS(Games_Raw!$K$2:$K$1232,"Yes",Games_Raw!$I$2:$I$1232,A384,Games_Raw!$J$2:$J$1232,B384)</ns0:f>
        <ns0:v>0</ns0:v>
      </ns0:c>
      <ns0:c r="D384">
        <ns0:f>COUNTIFS(Games_Raw!$K$2:$K$1232,"Yes",Games_Raw!$I$2:$I$1232,B384,Games_Raw!$J$2:$J$1232,A384)</ns0:f>
        <ns0:v>2</ns0:v>
      </ns0:c>
      <ns0:c r="E384" t="str">
        <ns0:f>C384&amp;"-"&amp;D384</ns0:f>
        <ns0:v>0-2</ns0:v>
      </ns0:c>
      <ns0:c r="F384">
        <ns0:f>COUNTIFS(Games_Raw!$K$2:$K$1232,"Yes",Games_Raw!$I$2:$I$1232,A384)</ns0:f>
        <ns0:v>50</ns0:v>
      </ns0:c>
      <ns0:c r="G384">
        <ns0:f>COUNTIFS(Games_Raw!$K$2:$K$1232,"Yes",Games_Raw!$J$2:$J$1232,A384)</ns0:f>
        <ns0:v>32</ns0:v>
      </ns0:c>
    </ns0:row>
    <ns0:row r="385">
      <ns0:c r="A385" t="inlineStr">
        <ns0:is>
          <ns0:t>Los Angeles Lakers</ns0:t>
        </ns0:is>
      </ns0:c>
      <ns0:c r="B385" t="inlineStr">
        <ns0:is>
          <ns0:t>Dallas Mavericks</ns0:t>
        </ns0:is>
      </ns0:c>
      <ns0:c r="C385">
        <ns0:f>COUNTIFS(Games_Raw!$K$2:$K$1232,"Yes",Games_Raw!$I$2:$I$1232,A385,Games_Raw!$J$2:$J$1232,B385)</ns0:f>
        <ns0:v>2</ns0:v>
      </ns0:c>
      <ns0:c r="D385">
        <ns0:f>COUNTIFS(Games_Raw!$K$2:$K$1232,"Yes",Games_Raw!$I$2:$I$1232,B385,Games_Raw!$J$2:$J$1232,A385)</ns0:f>
        <ns0:v>1</ns0:v>
      </ns0:c>
      <ns0:c r="E385" t="str">
        <ns0:f>C385&amp;"-"&amp;D385</ns0:f>
        <ns0:v>2-1</ns0:v>
      </ns0:c>
      <ns0:c r="F385">
        <ns0:f>COUNTIFS(Games_Raw!$K$2:$K$1232,"Yes",Games_Raw!$I$2:$I$1232,A385)</ns0:f>
        <ns0:v>50</ns0:v>
      </ns0:c>
      <ns0:c r="G385">
        <ns0:f>COUNTIFS(Games_Raw!$K$2:$K$1232,"Yes",Games_Raw!$J$2:$J$1232,A385)</ns0:f>
        <ns0:v>32</ns0:v>
      </ns0:c>
    </ns0:row>
    <ns0:row r="386">
      <ns0:c r="A386" t="inlineStr">
        <ns0:is>
          <ns0:t>Los Angeles Lakers</ns0:t>
        </ns0:is>
      </ns0:c>
      <ns0:c r="B386" t="inlineStr">
        <ns0:is>
          <ns0:t>Denver Nuggets</ns0:t>
        </ns0:is>
      </ns0:c>
      <ns0:c r="C386">
        <ns0:f>COUNTIFS(Games_Raw!$K$2:$K$1232,"Yes",Games_Raw!$I$2:$I$1232,A386,Games_Raw!$J$2:$J$1232,B386)</ns0:f>
        <ns0:v>2</ns0:v>
      </ns0:c>
      <ns0:c r="D386">
        <ns0:f>COUNTIFS(Games_Raw!$K$2:$K$1232,"Yes",Games_Raw!$I$2:$I$1232,B386,Games_Raw!$J$2:$J$1232,A386)</ns0:f>
        <ns0:v>2</ns0:v>
      </ns0:c>
      <ns0:c r="E386" t="str">
        <ns0:f>C386&amp;"-"&amp;D386</ns0:f>
        <ns0:v>2-2</ns0:v>
      </ns0:c>
      <ns0:c r="F386">
        <ns0:f>COUNTIFS(Games_Raw!$K$2:$K$1232,"Yes",Games_Raw!$I$2:$I$1232,A386)</ns0:f>
        <ns0:v>50</ns0:v>
      </ns0:c>
      <ns0:c r="G386">
        <ns0:f>COUNTIFS(Games_Raw!$K$2:$K$1232,"Yes",Games_Raw!$J$2:$J$1232,A386)</ns0:f>
        <ns0:v>32</ns0:v>
      </ns0:c>
    </ns0:row>
    <ns0:row r="387">
      <ns0:c r="A387" t="inlineStr">
        <ns0:is>
          <ns0:t>Los Angeles Lakers</ns0:t>
        </ns0:is>
      </ns0:c>
      <ns0:c r="B387" t="inlineStr">
        <ns0:is>
          <ns0:t>Detroit Pistons</ns0:t>
        </ns0:is>
      </ns0:c>
      <ns0:c r="C387">
        <ns0:f>COUNTIFS(Games_Raw!$K$2:$K$1232,"Yes",Games_Raw!$I$2:$I$1232,A387,Games_Raw!$J$2:$J$1232,B387)</ns0:f>
        <ns0:v>0</ns0:v>
      </ns0:c>
      <ns0:c r="D387">
        <ns0:f>COUNTIFS(Games_Raw!$K$2:$K$1232,"Yes",Games_Raw!$I$2:$I$1232,B387,Games_Raw!$J$2:$J$1232,A387)</ns0:f>
        <ns0:v>2</ns0:v>
      </ns0:c>
      <ns0:c r="E387" t="str">
        <ns0:f>C387&amp;"-"&amp;D387</ns0:f>
        <ns0:v>0-2</ns0:v>
      </ns0:c>
      <ns0:c r="F387">
        <ns0:f>COUNTIFS(Games_Raw!$K$2:$K$1232,"Yes",Games_Raw!$I$2:$I$1232,A387)</ns0:f>
        <ns0:v>50</ns0:v>
      </ns0:c>
      <ns0:c r="G387">
        <ns0:f>COUNTIFS(Games_Raw!$K$2:$K$1232,"Yes",Games_Raw!$J$2:$J$1232,A387)</ns0:f>
        <ns0:v>32</ns0:v>
      </ns0:c>
    </ns0:row>
    <ns0:row r="388">
      <ns0:c r="A388" t="inlineStr">
        <ns0:is>
          <ns0:t>Los Angeles Lakers</ns0:t>
        </ns0:is>
      </ns0:c>
      <ns0:c r="B388" t="inlineStr">
        <ns0:is>
          <ns0:t>Golden State Warriors</ns0:t>
        </ns0:is>
      </ns0:c>
      <ns0:c r="C388">
        <ns0:f>COUNTIFS(Games_Raw!$K$2:$K$1232,"Yes",Games_Raw!$I$2:$I$1232,A388,Games_Raw!$J$2:$J$1232,B388)</ns0:f>
        <ns0:v>3</ns0:v>
      </ns0:c>
      <ns0:c r="D388">
        <ns0:f>COUNTIFS(Games_Raw!$K$2:$K$1232,"Yes",Games_Raw!$I$2:$I$1232,B388,Games_Raw!$J$2:$J$1232,A388)</ns0:f>
        <ns0:v>1</ns0:v>
      </ns0:c>
      <ns0:c r="E388" t="str">
        <ns0:f>C388&amp;"-"&amp;D388</ns0:f>
        <ns0:v>3-1</ns0:v>
      </ns0:c>
      <ns0:c r="F388">
        <ns0:f>COUNTIFS(Games_Raw!$K$2:$K$1232,"Yes",Games_Raw!$I$2:$I$1232,A388)</ns0:f>
        <ns0:v>50</ns0:v>
      </ns0:c>
      <ns0:c r="G388">
        <ns0:f>COUNTIFS(Games_Raw!$K$2:$K$1232,"Yes",Games_Raw!$J$2:$J$1232,A388)</ns0:f>
        <ns0:v>32</ns0:v>
      </ns0:c>
    </ns0:row>
    <ns0:row r="389">
      <ns0:c r="A389" t="inlineStr">
        <ns0:is>
          <ns0:t>Los Angeles Lakers</ns0:t>
        </ns0:is>
      </ns0:c>
      <ns0:c r="B389" t="inlineStr">
        <ns0:is>
          <ns0:t>Houston Rockets</ns0:t>
        </ns0:is>
      </ns0:c>
      <ns0:c r="C389">
        <ns0:f>COUNTIFS(Games_Raw!$K$2:$K$1232,"Yes",Games_Raw!$I$2:$I$1232,A389,Games_Raw!$J$2:$J$1232,B389)</ns0:f>
        <ns0:v>2</ns0:v>
      </ns0:c>
      <ns0:c r="D389">
        <ns0:f>COUNTIFS(Games_Raw!$K$2:$K$1232,"Yes",Games_Raw!$I$2:$I$1232,B389,Games_Raw!$J$2:$J$1232,A389)</ns0:f>
        <ns0:v>1</ns0:v>
      </ns0:c>
      <ns0:c r="E389" t="str">
        <ns0:f>C389&amp;"-"&amp;D389</ns0:f>
        <ns0:v>2-1</ns0:v>
      </ns0:c>
      <ns0:c r="F389">
        <ns0:f>COUNTIFS(Games_Raw!$K$2:$K$1232,"Yes",Games_Raw!$I$2:$I$1232,A389)</ns0:f>
        <ns0:v>50</ns0:v>
      </ns0:c>
      <ns0:c r="G389">
        <ns0:f>COUNTIFS(Games_Raw!$K$2:$K$1232,"Yes",Games_Raw!$J$2:$J$1232,A389)</ns0:f>
        <ns0:v>32</ns0:v>
      </ns0:c>
    </ns0:row>
    <ns0:row r="390">
      <ns0:c r="A390" t="inlineStr">
        <ns0:is>
          <ns0:t>Los Angeles Lakers</ns0:t>
        </ns0:is>
      </ns0:c>
      <ns0:c r="B390" t="inlineStr">
        <ns0:is>
          <ns0:t>Indiana Pacers</ns0:t>
        </ns0:is>
      </ns0:c>
      <ns0:c r="C390">
        <ns0:f>COUNTIFS(Games_Raw!$K$2:$K$1232,"Yes",Games_Raw!$I$2:$I$1232,A390,Games_Raw!$J$2:$J$1232,B390)</ns0:f>
        <ns0:v>2</ns0:v>
      </ns0:c>
      <ns0:c r="D390">
        <ns0:f>COUNTIFS(Games_Raw!$K$2:$K$1232,"Yes",Games_Raw!$I$2:$I$1232,B390,Games_Raw!$J$2:$J$1232,A390)</ns0:f>
        <ns0:v>0</ns0:v>
      </ns0:c>
      <ns0:c r="E390" t="str">
        <ns0:f>C390&amp;"-"&amp;D390</ns0:f>
        <ns0:v>2-0</ns0:v>
      </ns0:c>
      <ns0:c r="F390">
        <ns0:f>COUNTIFS(Games_Raw!$K$2:$K$1232,"Yes",Games_Raw!$I$2:$I$1232,A390)</ns0:f>
        <ns0:v>50</ns0:v>
      </ns0:c>
      <ns0:c r="G390">
        <ns0:f>COUNTIFS(Games_Raw!$K$2:$K$1232,"Yes",Games_Raw!$J$2:$J$1232,A390)</ns0:f>
        <ns0:v>32</ns0:v>
      </ns0:c>
    </ns0:row>
    <ns0:row r="391">
      <ns0:c r="A391" t="inlineStr">
        <ns0:is>
          <ns0:t>Los Angeles Lakers</ns0:t>
        </ns0:is>
      </ns0:c>
      <ns0:c r="B391" t="inlineStr">
        <ns0:is>
          <ns0:t>LA Clippers</ns0:t>
        </ns0:is>
      </ns0:c>
      <ns0:c r="C391">
        <ns0:f>COUNTIFS(Games_Raw!$K$2:$K$1232,"Yes",Games_Raw!$I$2:$I$1232,A391,Games_Raw!$J$2:$J$1232,B391)</ns0:f>
        <ns0:v>3</ns0:v>
      </ns0:c>
      <ns0:c r="D391">
        <ns0:f>COUNTIFS(Games_Raw!$K$2:$K$1232,"Yes",Games_Raw!$I$2:$I$1232,B391,Games_Raw!$J$2:$J$1232,A391)</ns0:f>
        <ns0:v>1</ns0:v>
      </ns0:c>
      <ns0:c r="E391" t="str">
        <ns0:f>C391&amp;"-"&amp;D391</ns0:f>
        <ns0:v>3-1</ns0:v>
      </ns0:c>
      <ns0:c r="F391">
        <ns0:f>COUNTIFS(Games_Raw!$K$2:$K$1232,"Yes",Games_Raw!$I$2:$I$1232,A391)</ns0:f>
        <ns0:v>50</ns0:v>
      </ns0:c>
      <ns0:c r="G391">
        <ns0:f>COUNTIFS(Games_Raw!$K$2:$K$1232,"Yes",Games_Raw!$J$2:$J$1232,A391)</ns0:f>
        <ns0:v>32</ns0:v>
      </ns0:c>
    </ns0:row>
    <ns0:row r="392">
      <ns0:c r="A392" t="inlineStr">
        <ns0:is>
          <ns0:t>Los Angeles Lakers</ns0:t>
        </ns0:is>
      </ns0:c>
      <ns0:c r="B392" t="inlineStr">
        <ns0:is>
          <ns0:t>Memphis Grizzlies</ns0:t>
        </ns0:is>
      </ns0:c>
      <ns0:c r="C392">
        <ns0:f>COUNTIFS(Games_Raw!$K$2:$K$1232,"Yes",Games_Raw!$I$2:$I$1232,A392,Games_Raw!$J$2:$J$1232,B392)</ns0:f>
        <ns0:v>3</ns0:v>
      </ns0:c>
      <ns0:c r="D392">
        <ns0:f>COUNTIFS(Games_Raw!$K$2:$K$1232,"Yes",Games_Raw!$I$2:$I$1232,B392,Games_Raw!$J$2:$J$1232,A392)</ns0:f>
        <ns0:v>1</ns0:v>
      </ns0:c>
      <ns0:c r="E392" t="str">
        <ns0:f>C392&amp;"-"&amp;D392</ns0:f>
        <ns0:v>3-1</ns0:v>
      </ns0:c>
      <ns0:c r="F392">
        <ns0:f>COUNTIFS(Games_Raw!$K$2:$K$1232,"Yes",Games_Raw!$I$2:$I$1232,A392)</ns0:f>
        <ns0:v>50</ns0:v>
      </ns0:c>
      <ns0:c r="G392">
        <ns0:f>COUNTIFS(Games_Raw!$K$2:$K$1232,"Yes",Games_Raw!$J$2:$J$1232,A392)</ns0:f>
        <ns0:v>32</ns0:v>
      </ns0:c>
    </ns0:row>
    <ns0:row r="393">
      <ns0:c r="A393" t="inlineStr">
        <ns0:is>
          <ns0:t>Los Angeles Lakers</ns0:t>
        </ns0:is>
      </ns0:c>
      <ns0:c r="B393" t="inlineStr">
        <ns0:is>
          <ns0:t>Miami Heat</ns0:t>
        </ns0:is>
      </ns0:c>
      <ns0:c r="C393">
        <ns0:f>COUNTIFS(Games_Raw!$K$2:$K$1232,"Yes",Games_Raw!$I$2:$I$1232,A393,Games_Raw!$J$2:$J$1232,B393)</ns0:f>
        <ns0:v>1</ns0:v>
      </ns0:c>
      <ns0:c r="D393">
        <ns0:f>COUNTIFS(Games_Raw!$K$2:$K$1232,"Yes",Games_Raw!$I$2:$I$1232,B393,Games_Raw!$J$2:$J$1232,A393)</ns0:f>
        <ns0:v>1</ns0:v>
      </ns0:c>
      <ns0:c r="E393" t="str">
        <ns0:f>C393&amp;"-"&amp;D393</ns0:f>
        <ns0:v>1-1</ns0:v>
      </ns0:c>
      <ns0:c r="F393">
        <ns0:f>COUNTIFS(Games_Raw!$K$2:$K$1232,"Yes",Games_Raw!$I$2:$I$1232,A393)</ns0:f>
        <ns0:v>50</ns0:v>
      </ns0:c>
      <ns0:c r="G393">
        <ns0:f>COUNTIFS(Games_Raw!$K$2:$K$1232,"Yes",Games_Raw!$J$2:$J$1232,A393)</ns0:f>
        <ns0:v>32</ns0:v>
      </ns0:c>
    </ns0:row>
    <ns0:row r="394">
      <ns0:c r="A394" t="inlineStr">
        <ns0:is>
          <ns0:t>Los Angeles Lakers</ns0:t>
        </ns0:is>
      </ns0:c>
      <ns0:c r="B394" t="inlineStr">
        <ns0:is>
          <ns0:t>Milwaukee Bucks</ns0:t>
        </ns0:is>
      </ns0:c>
      <ns0:c r="C394">
        <ns0:f>COUNTIFS(Games_Raw!$K$2:$K$1232,"Yes",Games_Raw!$I$2:$I$1232,A394,Games_Raw!$J$2:$J$1232,B394)</ns0:f>
        <ns0:v>0</ns0:v>
      </ns0:c>
      <ns0:c r="D394">
        <ns0:f>COUNTIFS(Games_Raw!$K$2:$K$1232,"Yes",Games_Raw!$I$2:$I$1232,B394,Games_Raw!$J$2:$J$1232,A394)</ns0:f>
        <ns0:v>2</ns0:v>
      </ns0:c>
      <ns0:c r="E394" t="str">
        <ns0:f>C394&amp;"-"&amp;D394</ns0:f>
        <ns0:v>0-2</ns0:v>
      </ns0:c>
      <ns0:c r="F394">
        <ns0:f>COUNTIFS(Games_Raw!$K$2:$K$1232,"Yes",Games_Raw!$I$2:$I$1232,A394)</ns0:f>
        <ns0:v>50</ns0:v>
      </ns0:c>
      <ns0:c r="G394">
        <ns0:f>COUNTIFS(Games_Raw!$K$2:$K$1232,"Yes",Games_Raw!$J$2:$J$1232,A394)</ns0:f>
        <ns0:v>32</ns0:v>
      </ns0:c>
    </ns0:row>
    <ns0:row r="395">
      <ns0:c r="A395" t="inlineStr">
        <ns0:is>
          <ns0:t>Los Angeles Lakers</ns0:t>
        </ns0:is>
      </ns0:c>
      <ns0:c r="B395" t="inlineStr">
        <ns0:is>
          <ns0:t>Minnesota Timberwolves</ns0:t>
        </ns0:is>
      </ns0:c>
      <ns0:c r="C395">
        <ns0:f>COUNTIFS(Games_Raw!$K$2:$K$1232,"Yes",Games_Raw!$I$2:$I$1232,A395,Games_Raw!$J$2:$J$1232,B395)</ns0:f>
        <ns0:v>2</ns0:v>
      </ns0:c>
      <ns0:c r="D395">
        <ns0:f>COUNTIFS(Games_Raw!$K$2:$K$1232,"Yes",Games_Raw!$I$2:$I$1232,B395,Games_Raw!$J$2:$J$1232,A395)</ns0:f>
        <ns0:v>2</ns0:v>
      </ns0:c>
      <ns0:c r="E395" t="str">
        <ns0:f>C395&amp;"-"&amp;D395</ns0:f>
        <ns0:v>2-2</ns0:v>
      </ns0:c>
      <ns0:c r="F395">
        <ns0:f>COUNTIFS(Games_Raw!$K$2:$K$1232,"Yes",Games_Raw!$I$2:$I$1232,A395)</ns0:f>
        <ns0:v>50</ns0:v>
      </ns0:c>
      <ns0:c r="G395">
        <ns0:f>COUNTIFS(Games_Raw!$K$2:$K$1232,"Yes",Games_Raw!$J$2:$J$1232,A395)</ns0:f>
        <ns0:v>32</ns0:v>
      </ns0:c>
    </ns0:row>
    <ns0:row r="396">
      <ns0:c r="A396" t="inlineStr">
        <ns0:is>
          <ns0:t>Los Angeles Lakers</ns0:t>
        </ns0:is>
      </ns0:c>
      <ns0:c r="B396" t="inlineStr">
        <ns0:is>
          <ns0:t>New Orleans Pelicans</ns0:t>
        </ns0:is>
      </ns0:c>
      <ns0:c r="C396">
        <ns0:f>COUNTIFS(Games_Raw!$K$2:$K$1232,"Yes",Games_Raw!$I$2:$I$1232,A396,Games_Raw!$J$2:$J$1232,B396)</ns0:f>
        <ns0:v>3</ns0:v>
      </ns0:c>
      <ns0:c r="D396">
        <ns0:f>COUNTIFS(Games_Raw!$K$2:$K$1232,"Yes",Games_Raw!$I$2:$I$1232,B396,Games_Raw!$J$2:$J$1232,A396)</ns0:f>
        <ns0:v>0</ns0:v>
      </ns0:c>
      <ns0:c r="E396" t="str">
        <ns0:f>C396&amp;"-"&amp;D396</ns0:f>
        <ns0:v>3-0</ns0:v>
      </ns0:c>
      <ns0:c r="F396">
        <ns0:f>COUNTIFS(Games_Raw!$K$2:$K$1232,"Yes",Games_Raw!$I$2:$I$1232,A396)</ns0:f>
        <ns0:v>50</ns0:v>
      </ns0:c>
      <ns0:c r="G396">
        <ns0:f>COUNTIFS(Games_Raw!$K$2:$K$1232,"Yes",Games_Raw!$J$2:$J$1232,A396)</ns0:f>
        <ns0:v>32</ns0:v>
      </ns0:c>
    </ns0:row>
    <ns0:row r="397">
      <ns0:c r="A397" t="inlineStr">
        <ns0:is>
          <ns0:t>Los Angeles Lakers</ns0:t>
        </ns0:is>
      </ns0:c>
      <ns0:c r="B397" t="inlineStr">
        <ns0:is>
          <ns0:t>New York Knicks</ns0:t>
        </ns0:is>
      </ns0:c>
      <ns0:c r="C397">
        <ns0:f>COUNTIFS(Games_Raw!$K$2:$K$1232,"Yes",Games_Raw!$I$2:$I$1232,A397,Games_Raw!$J$2:$J$1232,B397)</ns0:f>
        <ns0:v>2</ns0:v>
      </ns0:c>
      <ns0:c r="D397">
        <ns0:f>COUNTIFS(Games_Raw!$K$2:$K$1232,"Yes",Games_Raw!$I$2:$I$1232,B397,Games_Raw!$J$2:$J$1232,A397)</ns0:f>
        <ns0:v>0</ns0:v>
      </ns0:c>
      <ns0:c r="E397" t="str">
        <ns0:f>C397&amp;"-"&amp;D397</ns0:f>
        <ns0:v>2-0</ns0:v>
      </ns0:c>
      <ns0:c r="F397">
        <ns0:f>COUNTIFS(Games_Raw!$K$2:$K$1232,"Yes",Games_Raw!$I$2:$I$1232,A397)</ns0:f>
        <ns0:v>50</ns0:v>
      </ns0:c>
      <ns0:c r="G397">
        <ns0:f>COUNTIFS(Games_Raw!$K$2:$K$1232,"Yes",Games_Raw!$J$2:$J$1232,A397)</ns0:f>
        <ns0:v>32</ns0:v>
      </ns0:c>
    </ns0:row>
    <ns0:row r="398">
      <ns0:c r="A398" t="inlineStr">
        <ns0:is>
          <ns0:t>Los Angeles Lakers</ns0:t>
        </ns0:is>
      </ns0:c>
      <ns0:c r="B398" t="inlineStr">
        <ns0:is>
          <ns0:t>Oklahoma City Thunder</ns0:t>
        </ns0:is>
      </ns0:c>
      <ns0:c r="C398">
        <ns0:f>COUNTIFS(Games_Raw!$K$2:$K$1232,"Yes",Games_Raw!$I$2:$I$1232,A398,Games_Raw!$J$2:$J$1232,B398)</ns0:f>
        <ns0:v>1</ns0:v>
      </ns0:c>
      <ns0:c r="D398">
        <ns0:f>COUNTIFS(Games_Raw!$K$2:$K$1232,"Yes",Games_Raw!$I$2:$I$1232,B398,Games_Raw!$J$2:$J$1232,A398)</ns0:f>
        <ns0:v>2</ns0:v>
      </ns0:c>
      <ns0:c r="E398" t="str">
        <ns0:f>C398&amp;"-"&amp;D398</ns0:f>
        <ns0:v>1-2</ns0:v>
      </ns0:c>
      <ns0:c r="F398">
        <ns0:f>COUNTIFS(Games_Raw!$K$2:$K$1232,"Yes",Games_Raw!$I$2:$I$1232,A398)</ns0:f>
        <ns0:v>50</ns0:v>
      </ns0:c>
      <ns0:c r="G398">
        <ns0:f>COUNTIFS(Games_Raw!$K$2:$K$1232,"Yes",Games_Raw!$J$2:$J$1232,A398)</ns0:f>
        <ns0:v>32</ns0:v>
      </ns0:c>
    </ns0:row>
    <ns0:row r="399">
      <ns0:c r="A399" t="inlineStr">
        <ns0:is>
          <ns0:t>Los Angeles Lakers</ns0:t>
        </ns0:is>
      </ns0:c>
      <ns0:c r="B399" t="inlineStr">
        <ns0:is>
          <ns0:t>Orlando Magic</ns0:t>
        </ns0:is>
      </ns0:c>
      <ns0:c r="C399">
        <ns0:f>COUNTIFS(Games_Raw!$K$2:$K$1232,"Yes",Games_Raw!$I$2:$I$1232,A399,Games_Raw!$J$2:$J$1232,B399)</ns0:f>
        <ns0:v>0</ns0:v>
      </ns0:c>
      <ns0:c r="D399">
        <ns0:f>COUNTIFS(Games_Raw!$K$2:$K$1232,"Yes",Games_Raw!$I$2:$I$1232,B399,Games_Raw!$J$2:$J$1232,A399)</ns0:f>
        <ns0:v>2</ns0:v>
      </ns0:c>
      <ns0:c r="E399" t="str">
        <ns0:f>C399&amp;"-"&amp;D399</ns0:f>
        <ns0:v>0-2</ns0:v>
      </ns0:c>
      <ns0:c r="F399">
        <ns0:f>COUNTIFS(Games_Raw!$K$2:$K$1232,"Yes",Games_Raw!$I$2:$I$1232,A399)</ns0:f>
        <ns0:v>50</ns0:v>
      </ns0:c>
      <ns0:c r="G399">
        <ns0:f>COUNTIFS(Games_Raw!$K$2:$K$1232,"Yes",Games_Raw!$J$2:$J$1232,A399)</ns0:f>
        <ns0:v>32</ns0:v>
      </ns0:c>
    </ns0:row>
    <ns0:row r="400">
      <ns0:c r="A400" t="inlineStr">
        <ns0:is>
          <ns0:t>Los Angeles Lakers</ns0:t>
        </ns0:is>
      </ns0:c>
      <ns0:c r="B400" t="inlineStr">
        <ns0:is>
          <ns0:t>Philadelphia 76ers</ns0:t>
        </ns0:is>
      </ns0:c>
      <ns0:c r="C400">
        <ns0:f>COUNTIFS(Games_Raw!$K$2:$K$1232,"Yes",Games_Raw!$I$2:$I$1232,A400,Games_Raw!$J$2:$J$1232,B400)</ns0:f>
        <ns0:v>1</ns0:v>
      </ns0:c>
      <ns0:c r="D400">
        <ns0:f>COUNTIFS(Games_Raw!$K$2:$K$1232,"Yes",Games_Raw!$I$2:$I$1232,B400,Games_Raw!$J$2:$J$1232,A400)</ns0:f>
        <ns0:v>1</ns0:v>
      </ns0:c>
      <ns0:c r="E400" t="str">
        <ns0:f>C400&amp;"-"&amp;D400</ns0:f>
        <ns0:v>1-1</ns0:v>
      </ns0:c>
      <ns0:c r="F400">
        <ns0:f>COUNTIFS(Games_Raw!$K$2:$K$1232,"Yes",Games_Raw!$I$2:$I$1232,A400)</ns0:f>
        <ns0:v>50</ns0:v>
      </ns0:c>
      <ns0:c r="G400">
        <ns0:f>COUNTIFS(Games_Raw!$K$2:$K$1232,"Yes",Games_Raw!$J$2:$J$1232,A400)</ns0:f>
        <ns0:v>32</ns0:v>
      </ns0:c>
    </ns0:row>
    <ns0:row r="401">
      <ns0:c r="A401" t="inlineStr">
        <ns0:is>
          <ns0:t>Los Angeles Lakers</ns0:t>
        </ns0:is>
      </ns0:c>
      <ns0:c r="B401" t="inlineStr">
        <ns0:is>
          <ns0:t>Phoenix Suns</ns0:t>
        </ns0:is>
      </ns0:c>
      <ns0:c r="C401">
        <ns0:f>COUNTIFS(Games_Raw!$K$2:$K$1232,"Yes",Games_Raw!$I$2:$I$1232,A401,Games_Raw!$J$2:$J$1232,B401)</ns0:f>
        <ns0:v>2</ns0:v>
      </ns0:c>
      <ns0:c r="D401">
        <ns0:f>COUNTIFS(Games_Raw!$K$2:$K$1232,"Yes",Games_Raw!$I$2:$I$1232,B401,Games_Raw!$J$2:$J$1232,A401)</ns0:f>
        <ns0:v>2</ns0:v>
      </ns0:c>
      <ns0:c r="E401" t="str">
        <ns0:f>C401&amp;"-"&amp;D401</ns0:f>
        <ns0:v>2-2</ns0:v>
      </ns0:c>
      <ns0:c r="F401">
        <ns0:f>COUNTIFS(Games_Raw!$K$2:$K$1232,"Yes",Games_Raw!$I$2:$I$1232,A401)</ns0:f>
        <ns0:v>50</ns0:v>
      </ns0:c>
      <ns0:c r="G401">
        <ns0:f>COUNTIFS(Games_Raw!$K$2:$K$1232,"Yes",Games_Raw!$J$2:$J$1232,A401)</ns0:f>
        <ns0:v>32</ns0:v>
      </ns0:c>
    </ns0:row>
    <ns0:row r="402">
      <ns0:c r="A402" t="inlineStr">
        <ns0:is>
          <ns0:t>Los Angeles Lakers</ns0:t>
        </ns0:is>
      </ns0:c>
      <ns0:c r="B402" t="inlineStr">
        <ns0:is>
          <ns0:t>Portland Trail Blazers</ns0:t>
        </ns0:is>
      </ns0:c>
      <ns0:c r="C402">
        <ns0:f>COUNTIFS(Games_Raw!$K$2:$K$1232,"Yes",Games_Raw!$I$2:$I$1232,A402,Games_Raw!$J$2:$J$1232,B402)</ns0:f>
        <ns0:v>3</ns0:v>
      </ns0:c>
      <ns0:c r="D402">
        <ns0:f>COUNTIFS(Games_Raw!$K$2:$K$1232,"Yes",Games_Raw!$I$2:$I$1232,B402,Games_Raw!$J$2:$J$1232,A402)</ns0:f>
        <ns0:v>1</ns0:v>
      </ns0:c>
      <ns0:c r="E402" t="str">
        <ns0:f>C402&amp;"-"&amp;D402</ns0:f>
        <ns0:v>3-1</ns0:v>
      </ns0:c>
      <ns0:c r="F402">
        <ns0:f>COUNTIFS(Games_Raw!$K$2:$K$1232,"Yes",Games_Raw!$I$2:$I$1232,A402)</ns0:f>
        <ns0:v>50</ns0:v>
      </ns0:c>
      <ns0:c r="G402">
        <ns0:f>COUNTIFS(Games_Raw!$K$2:$K$1232,"Yes",Games_Raw!$J$2:$J$1232,A402)</ns0:f>
        <ns0:v>32</ns0:v>
      </ns0:c>
    </ns0:row>
    <ns0:row r="403">
      <ns0:c r="A403" t="inlineStr">
        <ns0:is>
          <ns0:t>Los Angeles Lakers</ns0:t>
        </ns0:is>
      </ns0:c>
      <ns0:c r="B403" t="inlineStr">
        <ns0:is>
          <ns0:t>Sacramento Kings</ns0:t>
        </ns0:is>
      </ns0:c>
      <ns0:c r="C403">
        <ns0:f>COUNTIFS(Games_Raw!$K$2:$K$1232,"Yes",Games_Raw!$I$2:$I$1232,A403,Games_Raw!$J$2:$J$1232,B403)</ns0:f>
        <ns0:v>4</ns0:v>
      </ns0:c>
      <ns0:c r="D403">
        <ns0:f>COUNTIFS(Games_Raw!$K$2:$K$1232,"Yes",Games_Raw!$I$2:$I$1232,B403,Games_Raw!$J$2:$J$1232,A403)</ns0:f>
        <ns0:v>0</ns0:v>
      </ns0:c>
      <ns0:c r="E403" t="str">
        <ns0:f>C403&amp;"-"&amp;D403</ns0:f>
        <ns0:v>4-0</ns0:v>
      </ns0:c>
      <ns0:c r="F403">
        <ns0:f>COUNTIFS(Games_Raw!$K$2:$K$1232,"Yes",Games_Raw!$I$2:$I$1232,A403)</ns0:f>
        <ns0:v>50</ns0:v>
      </ns0:c>
      <ns0:c r="G403">
        <ns0:f>COUNTIFS(Games_Raw!$K$2:$K$1232,"Yes",Games_Raw!$J$2:$J$1232,A403)</ns0:f>
        <ns0:v>32</ns0:v>
      </ns0:c>
    </ns0:row>
    <ns0:row r="404">
      <ns0:c r="A404" t="inlineStr">
        <ns0:is>
          <ns0:t>Los Angeles Lakers</ns0:t>
        </ns0:is>
      </ns0:c>
      <ns0:c r="B404" t="inlineStr">
        <ns0:is>
          <ns0:t>San Antonio Spurs</ns0:t>
        </ns0:is>
      </ns0:c>
      <ns0:c r="C404">
        <ns0:f>COUNTIFS(Games_Raw!$K$2:$K$1232,"Yes",Games_Raw!$I$2:$I$1232,A404,Games_Raw!$J$2:$J$1232,B404)</ns0:f>
        <ns0:v>3</ns0:v>
      </ns0:c>
      <ns0:c r="D404">
        <ns0:f>COUNTIFS(Games_Raw!$K$2:$K$1232,"Yes",Games_Raw!$I$2:$I$1232,B404,Games_Raw!$J$2:$J$1232,A404)</ns0:f>
        <ns0:v>1</ns0:v>
      </ns0:c>
      <ns0:c r="E404" t="str">
        <ns0:f>C404&amp;"-"&amp;D404</ns0:f>
        <ns0:v>3-1</ns0:v>
      </ns0:c>
      <ns0:c r="F404">
        <ns0:f>COUNTIFS(Games_Raw!$K$2:$K$1232,"Yes",Games_Raw!$I$2:$I$1232,A404)</ns0:f>
        <ns0:v>50</ns0:v>
      </ns0:c>
      <ns0:c r="G404">
        <ns0:f>COUNTIFS(Games_Raw!$K$2:$K$1232,"Yes",Games_Raw!$J$2:$J$1232,A404)</ns0:f>
        <ns0:v>32</ns0:v>
      </ns0:c>
    </ns0:row>
    <ns0:row r="405">
      <ns0:c r="A405" t="inlineStr">
        <ns0:is>
          <ns0:t>Los Angeles Lakers</ns0:t>
        </ns0:is>
      </ns0:c>
      <ns0:c r="B405" t="inlineStr">
        <ns0:is>
          <ns0:t>Toronto Raptors</ns0:t>
        </ns0:is>
      </ns0:c>
      <ns0:c r="C405">
        <ns0:f>COUNTIFS(Games_Raw!$K$2:$K$1232,"Yes",Games_Raw!$I$2:$I$1232,A405,Games_Raw!$J$2:$J$1232,B405)</ns0:f>
        <ns0:v>2</ns0:v>
      </ns0:c>
      <ns0:c r="D405">
        <ns0:f>COUNTIFS(Games_Raw!$K$2:$K$1232,"Yes",Games_Raw!$I$2:$I$1232,B405,Games_Raw!$J$2:$J$1232,A405)</ns0:f>
        <ns0:v>0</ns0:v>
      </ns0:c>
      <ns0:c r="E405" t="str">
        <ns0:f>C405&amp;"-"&amp;D405</ns0:f>
        <ns0:v>2-0</ns0:v>
      </ns0:c>
      <ns0:c r="F405">
        <ns0:f>COUNTIFS(Games_Raw!$K$2:$K$1232,"Yes",Games_Raw!$I$2:$I$1232,A405)</ns0:f>
        <ns0:v>50</ns0:v>
      </ns0:c>
      <ns0:c r="G405">
        <ns0:f>COUNTIFS(Games_Raw!$K$2:$K$1232,"Yes",Games_Raw!$J$2:$J$1232,A405)</ns0:f>
        <ns0:v>32</ns0:v>
      </ns0:c>
    </ns0:row>
    <ns0:row r="406">
      <ns0:c r="A406" t="inlineStr">
        <ns0:is>
          <ns0:t>Los Angeles Lakers</ns0:t>
        </ns0:is>
      </ns0:c>
      <ns0:c r="B406" t="inlineStr">
        <ns0:is>
          <ns0:t>Utah Jazz</ns0:t>
        </ns0:is>
      </ns0:c>
      <ns0:c r="C406">
        <ns0:f>COUNTIFS(Games_Raw!$K$2:$K$1232,"Yes",Games_Raw!$I$2:$I$1232,A406,Games_Raw!$J$2:$J$1232,B406)</ns0:f>
        <ns0:v>3</ns0:v>
      </ns0:c>
      <ns0:c r="D406">
        <ns0:f>COUNTIFS(Games_Raw!$K$2:$K$1232,"Yes",Games_Raw!$I$2:$I$1232,B406,Games_Raw!$J$2:$J$1232,A406)</ns0:f>
        <ns0:v>1</ns0:v>
      </ns0:c>
      <ns0:c r="E406" t="str">
        <ns0:f>C406&amp;"-"&amp;D406</ns0:f>
        <ns0:v>3-1</ns0:v>
      </ns0:c>
      <ns0:c r="F406">
        <ns0:f>COUNTIFS(Games_Raw!$K$2:$K$1232,"Yes",Games_Raw!$I$2:$I$1232,A406)</ns0:f>
        <ns0:v>50</ns0:v>
      </ns0:c>
      <ns0:c r="G406">
        <ns0:f>COUNTIFS(Games_Raw!$K$2:$K$1232,"Yes",Games_Raw!$J$2:$J$1232,A406)</ns0:f>
        <ns0:v>32</ns0:v>
      </ns0:c>
    </ns0:row>
    <ns0:row r="407">
      <ns0:c r="A407" t="inlineStr">
        <ns0:is>
          <ns0:t>Los Angeles Lakers</ns0:t>
        </ns0:is>
      </ns0:c>
      <ns0:c r="B407" t="inlineStr">
        <ns0:is>
          <ns0:t>Washington Wizards</ns0:t>
        </ns0:is>
      </ns0:c>
      <ns0:c r="C407">
        <ns0:f>COUNTIFS(Games_Raw!$K$2:$K$1232,"Yes",Games_Raw!$I$2:$I$1232,A407,Games_Raw!$J$2:$J$1232,B407)</ns0:f>
        <ns0:v>2</ns0:v>
      </ns0:c>
      <ns0:c r="D407">
        <ns0:f>COUNTIFS(Games_Raw!$K$2:$K$1232,"Yes",Games_Raw!$I$2:$I$1232,B407,Games_Raw!$J$2:$J$1232,A407)</ns0:f>
        <ns0:v>0</ns0:v>
      </ns0:c>
      <ns0:c r="E407" t="str">
        <ns0:f>C407&amp;"-"&amp;D407</ns0:f>
        <ns0:v>2-0</ns0:v>
      </ns0:c>
      <ns0:c r="F407">
        <ns0:f>COUNTIFS(Games_Raw!$K$2:$K$1232,"Yes",Games_Raw!$I$2:$I$1232,A407)</ns0:f>
        <ns0:v>50</ns0:v>
      </ns0:c>
      <ns0:c r="G407">
        <ns0:f>COUNTIFS(Games_Raw!$K$2:$K$1232,"Yes",Games_Raw!$J$2:$J$1232,A407)</ns0:f>
        <ns0:v>32</ns0:v>
      </ns0:c>
    </ns0:row>
    <ns0:row r="408">
      <ns0:c r="A408" t="inlineStr">
        <ns0:is>
          <ns0:t>Memphis Grizzlies</ns0:t>
        </ns0:is>
      </ns0:c>
      <ns0:c r="B408" t="inlineStr">
        <ns0:is>
          <ns0:t>Atlanta Hawks</ns0:t>
        </ns0:is>
      </ns0:c>
      <ns0:c r="C408">
        <ns0:f>COUNTIFS(Games_Raw!$K$2:$K$1232,"Yes",Games_Raw!$I$2:$I$1232,A408,Games_Raw!$J$2:$J$1232,B408)</ns0:f>
        <ns0:v>1</ns0:v>
      </ns0:c>
      <ns0:c r="D408">
        <ns0:f>COUNTIFS(Games_Raw!$K$2:$K$1232,"Yes",Games_Raw!$I$2:$I$1232,B408,Games_Raw!$J$2:$J$1232,A408)</ns0:f>
        <ns0:v>1</ns0:v>
      </ns0:c>
      <ns0:c r="E408" t="str">
        <ns0:f>C408&amp;"-"&amp;D408</ns0:f>
        <ns0:v>1-1</ns0:v>
      </ns0:c>
      <ns0:c r="F408">
        <ns0:f>COUNTIFS(Games_Raw!$K$2:$K$1232,"Yes",Games_Raw!$I$2:$I$1232,A408)</ns0:f>
        <ns0:v>48</ns0:v>
      </ns0:c>
      <ns0:c r="G408">
        <ns0:f>COUNTIFS(Games_Raw!$K$2:$K$1232,"Yes",Games_Raw!$J$2:$J$1232,A408)</ns0:f>
        <ns0:v>34</ns0:v>
      </ns0:c>
    </ns0:row>
    <ns0:row r="409">
      <ns0:c r="A409" t="inlineStr">
        <ns0:is>
          <ns0:t>Memphis Grizzlies</ns0:t>
        </ns0:is>
      </ns0:c>
      <ns0:c r="B409" t="inlineStr">
        <ns0:is>
          <ns0:t>Boston Celtics</ns0:t>
        </ns0:is>
      </ns0:c>
      <ns0:c r="C409">
        <ns0:f>COUNTIFS(Games_Raw!$K$2:$K$1232,"Yes",Games_Raw!$I$2:$I$1232,A409,Games_Raw!$J$2:$J$1232,B409)</ns0:f>
        <ns0:v>1</ns0:v>
      </ns0:c>
      <ns0:c r="D409">
        <ns0:f>COUNTIFS(Games_Raw!$K$2:$K$1232,"Yes",Games_Raw!$I$2:$I$1232,B409,Games_Raw!$J$2:$J$1232,A409)</ns0:f>
        <ns0:v>1</ns0:v>
      </ns0:c>
      <ns0:c r="E409" t="str">
        <ns0:f>C409&amp;"-"&amp;D409</ns0:f>
        <ns0:v>1-1</ns0:v>
      </ns0:c>
      <ns0:c r="F409">
        <ns0:f>COUNTIFS(Games_Raw!$K$2:$K$1232,"Yes",Games_Raw!$I$2:$I$1232,A409)</ns0:f>
        <ns0:v>48</ns0:v>
      </ns0:c>
      <ns0:c r="G409">
        <ns0:f>COUNTIFS(Games_Raw!$K$2:$K$1232,"Yes",Games_Raw!$J$2:$J$1232,A409)</ns0:f>
        <ns0:v>34</ns0:v>
      </ns0:c>
    </ns0:row>
    <ns0:row r="410">
      <ns0:c r="A410" t="inlineStr">
        <ns0:is>
          <ns0:t>Memphis Grizzlies</ns0:t>
        </ns0:is>
      </ns0:c>
      <ns0:c r="B410" t="inlineStr">
        <ns0:is>
          <ns0:t>Brooklyn Nets</ns0:t>
        </ns0:is>
      </ns0:c>
      <ns0:c r="C410">
        <ns0:f>COUNTIFS(Games_Raw!$K$2:$K$1232,"Yes",Games_Raw!$I$2:$I$1232,A410,Games_Raw!$J$2:$J$1232,B410)</ns0:f>
        <ns0:v>1</ns0:v>
      </ns0:c>
      <ns0:c r="D410">
        <ns0:f>COUNTIFS(Games_Raw!$K$2:$K$1232,"Yes",Games_Raw!$I$2:$I$1232,B410,Games_Raw!$J$2:$J$1232,A410)</ns0:f>
        <ns0:v>2</ns0:v>
      </ns0:c>
      <ns0:c r="E410" t="str">
        <ns0:f>C410&amp;"-"&amp;D410</ns0:f>
        <ns0:v>1-2</ns0:v>
      </ns0:c>
      <ns0:c r="F410">
        <ns0:f>COUNTIFS(Games_Raw!$K$2:$K$1232,"Yes",Games_Raw!$I$2:$I$1232,A410)</ns0:f>
        <ns0:v>48</ns0:v>
      </ns0:c>
      <ns0:c r="G410">
        <ns0:f>COUNTIFS(Games_Raw!$K$2:$K$1232,"Yes",Games_Raw!$J$2:$J$1232,A410)</ns0:f>
        <ns0:v>34</ns0:v>
      </ns0:c>
    </ns0:row>
    <ns0:row r="411">
      <ns0:c r="A411" t="inlineStr">
        <ns0:is>
          <ns0:t>Memphis Grizzlies</ns0:t>
        </ns0:is>
      </ns0:c>
      <ns0:c r="B411" t="inlineStr">
        <ns0:is>
          <ns0:t>Charlotte Hornets</ns0:t>
        </ns0:is>
      </ns0:c>
      <ns0:c r="C411">
        <ns0:f>COUNTIFS(Games_Raw!$K$2:$K$1232,"Yes",Games_Raw!$I$2:$I$1232,A411,Games_Raw!$J$2:$J$1232,B411)</ns0:f>
        <ns0:v>2</ns0:v>
      </ns0:c>
      <ns0:c r="D411">
        <ns0:f>COUNTIFS(Games_Raw!$K$2:$K$1232,"Yes",Games_Raw!$I$2:$I$1232,B411,Games_Raw!$J$2:$J$1232,A411)</ns0:f>
        <ns0:v>0</ns0:v>
      </ns0:c>
      <ns0:c r="E411" t="str">
        <ns0:f>C411&amp;"-"&amp;D411</ns0:f>
        <ns0:v>2-0</ns0:v>
      </ns0:c>
      <ns0:c r="F411">
        <ns0:f>COUNTIFS(Games_Raw!$K$2:$K$1232,"Yes",Games_Raw!$I$2:$I$1232,A411)</ns0:f>
        <ns0:v>48</ns0:v>
      </ns0:c>
      <ns0:c r="G411">
        <ns0:f>COUNTIFS(Games_Raw!$K$2:$K$1232,"Yes",Games_Raw!$J$2:$J$1232,A411)</ns0:f>
        <ns0:v>34</ns0:v>
      </ns0:c>
    </ns0:row>
    <ns0:row r="412">
      <ns0:c r="A412" t="inlineStr">
        <ns0:is>
          <ns0:t>Memphis Grizzlies</ns0:t>
        </ns0:is>
      </ns0:c>
      <ns0:c r="B412" t="inlineStr">
        <ns0:is>
          <ns0:t>Chicago Bulls</ns0:t>
        </ns0:is>
      </ns0:c>
      <ns0:c r="C412">
        <ns0:f>COUNTIFS(Games_Raw!$K$2:$K$1232,"Yes",Games_Raw!$I$2:$I$1232,A412,Games_Raw!$J$2:$J$1232,B412)</ns0:f>
        <ns0:v>1</ns0:v>
      </ns0:c>
      <ns0:c r="D412">
        <ns0:f>COUNTIFS(Games_Raw!$K$2:$K$1232,"Yes",Games_Raw!$I$2:$I$1232,B412,Games_Raw!$J$2:$J$1232,A412)</ns0:f>
        <ns0:v>1</ns0:v>
      </ns0:c>
      <ns0:c r="E412" t="str">
        <ns0:f>C412&amp;"-"&amp;D412</ns0:f>
        <ns0:v>1-1</ns0:v>
      </ns0:c>
      <ns0:c r="F412">
        <ns0:f>COUNTIFS(Games_Raw!$K$2:$K$1232,"Yes",Games_Raw!$I$2:$I$1232,A412)</ns0:f>
        <ns0:v>48</ns0:v>
      </ns0:c>
      <ns0:c r="G412">
        <ns0:f>COUNTIFS(Games_Raw!$K$2:$K$1232,"Yes",Games_Raw!$J$2:$J$1232,A412)</ns0:f>
        <ns0:v>34</ns0:v>
      </ns0:c>
    </ns0:row>
    <ns0:row r="413">
      <ns0:c r="A413" t="inlineStr">
        <ns0:is>
          <ns0:t>Memphis Grizzlies</ns0:t>
        </ns0:is>
      </ns0:c>
      <ns0:c r="B413" t="inlineStr">
        <ns0:is>
          <ns0:t>Cleveland Cavaliers</ns0:t>
        </ns0:is>
      </ns0:c>
      <ns0:c r="C413">
        <ns0:f>COUNTIFS(Games_Raw!$K$2:$K$1232,"Yes",Games_Raw!$I$2:$I$1232,A413,Games_Raw!$J$2:$J$1232,B413)</ns0:f>
        <ns0:v>0</ns0:v>
      </ns0:c>
      <ns0:c r="D413">
        <ns0:f>COUNTIFS(Games_Raw!$K$2:$K$1232,"Yes",Games_Raw!$I$2:$I$1232,B413,Games_Raw!$J$2:$J$1232,A413)</ns0:f>
        <ns0:v>2</ns0:v>
      </ns0:c>
      <ns0:c r="E413" t="str">
        <ns0:f>C413&amp;"-"&amp;D413</ns0:f>
        <ns0:v>0-2</ns0:v>
      </ns0:c>
      <ns0:c r="F413">
        <ns0:f>COUNTIFS(Games_Raw!$K$2:$K$1232,"Yes",Games_Raw!$I$2:$I$1232,A413)</ns0:f>
        <ns0:v>48</ns0:v>
      </ns0:c>
      <ns0:c r="G413">
        <ns0:f>COUNTIFS(Games_Raw!$K$2:$K$1232,"Yes",Games_Raw!$J$2:$J$1232,A413)</ns0:f>
        <ns0:v>34</ns0:v>
      </ns0:c>
    </ns0:row>
    <ns0:row r="414">
      <ns0:c r="A414" t="inlineStr">
        <ns0:is>
          <ns0:t>Memphis Grizzlies</ns0:t>
        </ns0:is>
      </ns0:c>
      <ns0:c r="B414" t="inlineStr">
        <ns0:is>
          <ns0:t>Dallas Mavericks</ns0:t>
        </ns0:is>
      </ns0:c>
      <ns0:c r="C414">
        <ns0:f>COUNTIFS(Games_Raw!$K$2:$K$1232,"Yes",Games_Raw!$I$2:$I$1232,A414,Games_Raw!$J$2:$J$1232,B414)</ns0:f>
        <ns0:v>3</ns0:v>
      </ns0:c>
      <ns0:c r="D414">
        <ns0:f>COUNTIFS(Games_Raw!$K$2:$K$1232,"Yes",Games_Raw!$I$2:$I$1232,B414,Games_Raw!$J$2:$J$1232,A414)</ns0:f>
        <ns0:v>1</ns0:v>
      </ns0:c>
      <ns0:c r="E414" t="str">
        <ns0:f>C414&amp;"-"&amp;D414</ns0:f>
        <ns0:v>3-1</ns0:v>
      </ns0:c>
      <ns0:c r="F414">
        <ns0:f>COUNTIFS(Games_Raw!$K$2:$K$1232,"Yes",Games_Raw!$I$2:$I$1232,A414)</ns0:f>
        <ns0:v>48</ns0:v>
      </ns0:c>
      <ns0:c r="G414">
        <ns0:f>COUNTIFS(Games_Raw!$K$2:$K$1232,"Yes",Games_Raw!$J$2:$J$1232,A414)</ns0:f>
        <ns0:v>34</ns0:v>
      </ns0:c>
    </ns0:row>
    <ns0:row r="415">
      <ns0:c r="A415" t="inlineStr">
        <ns0:is>
          <ns0:t>Memphis Grizzlies</ns0:t>
        </ns0:is>
      </ns0:c>
      <ns0:c r="B415" t="inlineStr">
        <ns0:is>
          <ns0:t>Denver Nuggets</ns0:t>
        </ns0:is>
      </ns0:c>
      <ns0:c r="C415">
        <ns0:f>COUNTIFS(Games_Raw!$K$2:$K$1232,"Yes",Games_Raw!$I$2:$I$1232,A415,Games_Raw!$J$2:$J$1232,B415)</ns0:f>
        <ns0:v>1</ns0:v>
      </ns0:c>
      <ns0:c r="D415">
        <ns0:f>COUNTIFS(Games_Raw!$K$2:$K$1232,"Yes",Games_Raw!$I$2:$I$1232,B415,Games_Raw!$J$2:$J$1232,A415)</ns0:f>
        <ns0:v>2</ns0:v>
      </ns0:c>
      <ns0:c r="E415" t="str">
        <ns0:f>C415&amp;"-"&amp;D415</ns0:f>
        <ns0:v>1-2</ns0:v>
      </ns0:c>
      <ns0:c r="F415">
        <ns0:f>COUNTIFS(Games_Raw!$K$2:$K$1232,"Yes",Games_Raw!$I$2:$I$1232,A415)</ns0:f>
        <ns0:v>48</ns0:v>
      </ns0:c>
      <ns0:c r="G415">
        <ns0:f>COUNTIFS(Games_Raw!$K$2:$K$1232,"Yes",Games_Raw!$J$2:$J$1232,A415)</ns0:f>
        <ns0:v>34</ns0:v>
      </ns0:c>
    </ns0:row>
    <ns0:row r="416">
      <ns0:c r="A416" t="inlineStr">
        <ns0:is>
          <ns0:t>Memphis Grizzlies</ns0:t>
        </ns0:is>
      </ns0:c>
      <ns0:c r="B416" t="inlineStr">
        <ns0:is>
          <ns0:t>Detroit Pistons</ns0:t>
        </ns0:is>
      </ns0:c>
      <ns0:c r="C416">
        <ns0:f>COUNTIFS(Games_Raw!$K$2:$K$1232,"Yes",Games_Raw!$I$2:$I$1232,A416,Games_Raw!$J$2:$J$1232,B416)</ns0:f>
        <ns0:v>2</ns0:v>
      </ns0:c>
      <ns0:c r="D416">
        <ns0:f>COUNTIFS(Games_Raw!$K$2:$K$1232,"Yes",Games_Raw!$I$2:$I$1232,B416,Games_Raw!$J$2:$J$1232,A416)</ns0:f>
        <ns0:v>0</ns0:v>
      </ns0:c>
      <ns0:c r="E416" t="str">
        <ns0:f>C416&amp;"-"&amp;D416</ns0:f>
        <ns0:v>2-0</ns0:v>
      </ns0:c>
      <ns0:c r="F416">
        <ns0:f>COUNTIFS(Games_Raw!$K$2:$K$1232,"Yes",Games_Raw!$I$2:$I$1232,A416)</ns0:f>
        <ns0:v>48</ns0:v>
      </ns0:c>
      <ns0:c r="G416">
        <ns0:f>COUNTIFS(Games_Raw!$K$2:$K$1232,"Yes",Games_Raw!$J$2:$J$1232,A416)</ns0:f>
        <ns0:v>34</ns0:v>
      </ns0:c>
    </ns0:row>
    <ns0:row r="417">
      <ns0:c r="A417" t="inlineStr">
        <ns0:is>
          <ns0:t>Memphis Grizzlies</ns0:t>
        </ns0:is>
      </ns0:c>
      <ns0:c r="B417" t="inlineStr">
        <ns0:is>
          <ns0:t>Golden State Warriors</ns0:t>
        </ns0:is>
      </ns0:c>
      <ns0:c r="C417">
        <ns0:f>COUNTIFS(Games_Raw!$K$2:$K$1232,"Yes",Games_Raw!$I$2:$I$1232,A417,Games_Raw!$J$2:$J$1232,B417)</ns0:f>
        <ns0:v>1</ns0:v>
      </ns0:c>
      <ns0:c r="D417">
        <ns0:f>COUNTIFS(Games_Raw!$K$2:$K$1232,"Yes",Games_Raw!$I$2:$I$1232,B417,Games_Raw!$J$2:$J$1232,A417)</ns0:f>
        <ns0:v>3</ns0:v>
      </ns0:c>
      <ns0:c r="E417" t="str">
        <ns0:f>C417&amp;"-"&amp;D417</ns0:f>
        <ns0:v>1-3</ns0:v>
      </ns0:c>
      <ns0:c r="F417">
        <ns0:f>COUNTIFS(Games_Raw!$K$2:$K$1232,"Yes",Games_Raw!$I$2:$I$1232,A417)</ns0:f>
        <ns0:v>48</ns0:v>
      </ns0:c>
      <ns0:c r="G417">
        <ns0:f>COUNTIFS(Games_Raw!$K$2:$K$1232,"Yes",Games_Raw!$J$2:$J$1232,A417)</ns0:f>
        <ns0:v>34</ns0:v>
      </ns0:c>
    </ns0:row>
    <ns0:row r="418">
      <ns0:c r="A418" t="inlineStr">
        <ns0:is>
          <ns0:t>Memphis Grizzlies</ns0:t>
        </ns0:is>
      </ns0:c>
      <ns0:c r="B418" t="inlineStr">
        <ns0:is>
          <ns0:t>Houston Rockets</ns0:t>
        </ns0:is>
      </ns0:c>
      <ns0:c r="C418">
        <ns0:f>COUNTIFS(Games_Raw!$K$2:$K$1232,"Yes",Games_Raw!$I$2:$I$1232,A418,Games_Raw!$J$2:$J$1232,B418)</ns0:f>
        <ns0:v>1</ns0:v>
      </ns0:c>
      <ns0:c r="D418">
        <ns0:f>COUNTIFS(Games_Raw!$K$2:$K$1232,"Yes",Games_Raw!$I$2:$I$1232,B418,Games_Raw!$J$2:$J$1232,A418)</ns0:f>
        <ns0:v>3</ns0:v>
      </ns0:c>
      <ns0:c r="E418" t="str">
        <ns0:f>C418&amp;"-"&amp;D418</ns0:f>
        <ns0:v>1-3</ns0:v>
      </ns0:c>
      <ns0:c r="F418">
        <ns0:f>COUNTIFS(Games_Raw!$K$2:$K$1232,"Yes",Games_Raw!$I$2:$I$1232,A418)</ns0:f>
        <ns0:v>48</ns0:v>
      </ns0:c>
      <ns0:c r="G418">
        <ns0:f>COUNTIFS(Games_Raw!$K$2:$K$1232,"Yes",Games_Raw!$J$2:$J$1232,A418)</ns0:f>
        <ns0:v>34</ns0:v>
      </ns0:c>
    </ns0:row>
    <ns0:row r="419">
      <ns0:c r="A419" t="inlineStr">
        <ns0:is>
          <ns0:t>Memphis Grizzlies</ns0:t>
        </ns0:is>
      </ns0:c>
      <ns0:c r="B419" t="inlineStr">
        <ns0:is>
          <ns0:t>Indiana Pacers</ns0:t>
        </ns0:is>
      </ns0:c>
      <ns0:c r="C419">
        <ns0:f>COUNTIFS(Games_Raw!$K$2:$K$1232,"Yes",Games_Raw!$I$2:$I$1232,A419,Games_Raw!$J$2:$J$1232,B419)</ns0:f>
        <ns0:v>1</ns0:v>
      </ns0:c>
      <ns0:c r="D419">
        <ns0:f>COUNTIFS(Games_Raw!$K$2:$K$1232,"Yes",Games_Raw!$I$2:$I$1232,B419,Games_Raw!$J$2:$J$1232,A419)</ns0:f>
        <ns0:v>1</ns0:v>
      </ns0:c>
      <ns0:c r="E419" t="str">
        <ns0:f>C419&amp;"-"&amp;D419</ns0:f>
        <ns0:v>1-1</ns0:v>
      </ns0:c>
      <ns0:c r="F419">
        <ns0:f>COUNTIFS(Games_Raw!$K$2:$K$1232,"Yes",Games_Raw!$I$2:$I$1232,A419)</ns0:f>
        <ns0:v>48</ns0:v>
      </ns0:c>
      <ns0:c r="G419">
        <ns0:f>COUNTIFS(Games_Raw!$K$2:$K$1232,"Yes",Games_Raw!$J$2:$J$1232,A419)</ns0:f>
        <ns0:v>34</ns0:v>
      </ns0:c>
    </ns0:row>
    <ns0:row r="420">
      <ns0:c r="A420" t="inlineStr">
        <ns0:is>
          <ns0:t>Memphis Grizzlies</ns0:t>
        </ns0:is>
      </ns0:c>
      <ns0:c r="B420" t="inlineStr">
        <ns0:is>
          <ns0:t>LA Clippers</ns0:t>
        </ns0:is>
      </ns0:c>
      <ns0:c r="C420">
        <ns0:f>COUNTIFS(Games_Raw!$K$2:$K$1232,"Yes",Games_Raw!$I$2:$I$1232,A420,Games_Raw!$J$2:$J$1232,B420)</ns0:f>
        <ns0:v>0</ns0:v>
      </ns0:c>
      <ns0:c r="D420">
        <ns0:f>COUNTIFS(Games_Raw!$K$2:$K$1232,"Yes",Games_Raw!$I$2:$I$1232,B420,Games_Raw!$J$2:$J$1232,A420)</ns0:f>
        <ns0:v>3</ns0:v>
      </ns0:c>
      <ns0:c r="E420" t="str">
        <ns0:f>C420&amp;"-"&amp;D420</ns0:f>
        <ns0:v>0-3</ns0:v>
      </ns0:c>
      <ns0:c r="F420">
        <ns0:f>COUNTIFS(Games_Raw!$K$2:$K$1232,"Yes",Games_Raw!$I$2:$I$1232,A420)</ns0:f>
        <ns0:v>48</ns0:v>
      </ns0:c>
      <ns0:c r="G420">
        <ns0:f>COUNTIFS(Games_Raw!$K$2:$K$1232,"Yes",Games_Raw!$J$2:$J$1232,A420)</ns0:f>
        <ns0:v>34</ns0:v>
      </ns0:c>
    </ns0:row>
    <ns0:row r="421">
      <ns0:c r="A421" t="inlineStr">
        <ns0:is>
          <ns0:t>Memphis Grizzlies</ns0:t>
        </ns0:is>
      </ns0:c>
      <ns0:c r="B421" t="inlineStr">
        <ns0:is>
          <ns0:t>Los Angeles Lakers</ns0:t>
        </ns0:is>
      </ns0:c>
      <ns0:c r="C421">
        <ns0:f>COUNTIFS(Games_Raw!$K$2:$K$1232,"Yes",Games_Raw!$I$2:$I$1232,A421,Games_Raw!$J$2:$J$1232,B421)</ns0:f>
        <ns0:v>1</ns0:v>
      </ns0:c>
      <ns0:c r="D421">
        <ns0:f>COUNTIFS(Games_Raw!$K$2:$K$1232,"Yes",Games_Raw!$I$2:$I$1232,B421,Games_Raw!$J$2:$J$1232,A421)</ns0:f>
        <ns0:v>3</ns0:v>
      </ns0:c>
      <ns0:c r="E421" t="str">
        <ns0:f>C421&amp;"-"&amp;D421</ns0:f>
        <ns0:v>1-3</ns0:v>
      </ns0:c>
      <ns0:c r="F421">
        <ns0:f>COUNTIFS(Games_Raw!$K$2:$K$1232,"Yes",Games_Raw!$I$2:$I$1232,A421)</ns0:f>
        <ns0:v>48</ns0:v>
      </ns0:c>
      <ns0:c r="G421">
        <ns0:f>COUNTIFS(Games_Raw!$K$2:$K$1232,"Yes",Games_Raw!$J$2:$J$1232,A421)</ns0:f>
        <ns0:v>34</ns0:v>
      </ns0:c>
    </ns0:row>
    <ns0:row r="422">
      <ns0:c r="A422" t="inlineStr">
        <ns0:is>
          <ns0:t>Memphis Grizzlies</ns0:t>
        </ns0:is>
      </ns0:c>
      <ns0:c r="B422" t="inlineStr">
        <ns0:is>
          <ns0:t>Miami Heat</ns0:t>
        </ns0:is>
      </ns0:c>
      <ns0:c r="C422">
        <ns0:f>COUNTIFS(Games_Raw!$K$2:$K$1232,"Yes",Games_Raw!$I$2:$I$1232,A422,Games_Raw!$J$2:$J$1232,B422)</ns0:f>
        <ns0:v>2</ns0:v>
      </ns0:c>
      <ns0:c r="D422">
        <ns0:f>COUNTIFS(Games_Raw!$K$2:$K$1232,"Yes",Games_Raw!$I$2:$I$1232,B422,Games_Raw!$J$2:$J$1232,A422)</ns0:f>
        <ns0:v>0</ns0:v>
      </ns0:c>
      <ns0:c r="E422" t="str">
        <ns0:f>C422&amp;"-"&amp;D422</ns0:f>
        <ns0:v>2-0</ns0:v>
      </ns0:c>
      <ns0:c r="F422">
        <ns0:f>COUNTIFS(Games_Raw!$K$2:$K$1232,"Yes",Games_Raw!$I$2:$I$1232,A422)</ns0:f>
        <ns0:v>48</ns0:v>
      </ns0:c>
      <ns0:c r="G422">
        <ns0:f>COUNTIFS(Games_Raw!$K$2:$K$1232,"Yes",Games_Raw!$J$2:$J$1232,A422)</ns0:f>
        <ns0:v>34</ns0:v>
      </ns0:c>
    </ns0:row>
    <ns0:row r="423">
      <ns0:c r="A423" t="inlineStr">
        <ns0:is>
          <ns0:t>Memphis Grizzlies</ns0:t>
        </ns0:is>
      </ns0:c>
      <ns0:c r="B423" t="inlineStr">
        <ns0:is>
          <ns0:t>Milwaukee Bucks</ns0:t>
        </ns0:is>
      </ns0:c>
      <ns0:c r="C423">
        <ns0:f>COUNTIFS(Games_Raw!$K$2:$K$1232,"Yes",Games_Raw!$I$2:$I$1232,A423,Games_Raw!$J$2:$J$1232,B423)</ns0:f>
        <ns0:v>2</ns0:v>
      </ns0:c>
      <ns0:c r="D423">
        <ns0:f>COUNTIFS(Games_Raw!$K$2:$K$1232,"Yes",Games_Raw!$I$2:$I$1232,B423,Games_Raw!$J$2:$J$1232,A423)</ns0:f>
        <ns0:v>0</ns0:v>
      </ns0:c>
      <ns0:c r="E423" t="str">
        <ns0:f>C423&amp;"-"&amp;D423</ns0:f>
        <ns0:v>2-0</ns0:v>
      </ns0:c>
      <ns0:c r="F423">
        <ns0:f>COUNTIFS(Games_Raw!$K$2:$K$1232,"Yes",Games_Raw!$I$2:$I$1232,A423)</ns0:f>
        <ns0:v>48</ns0:v>
      </ns0:c>
      <ns0:c r="G423">
        <ns0:f>COUNTIFS(Games_Raw!$K$2:$K$1232,"Yes",Games_Raw!$J$2:$J$1232,A423)</ns0:f>
        <ns0:v>34</ns0:v>
      </ns0:c>
    </ns0:row>
    <ns0:row r="424">
      <ns0:c r="A424" t="inlineStr">
        <ns0:is>
          <ns0:t>Memphis Grizzlies</ns0:t>
        </ns0:is>
      </ns0:c>
      <ns0:c r="B424" t="inlineStr">
        <ns0:is>
          <ns0:t>Minnesota Timberwolves</ns0:t>
        </ns0:is>
      </ns0:c>
      <ns0:c r="C424">
        <ns0:f>COUNTIFS(Games_Raw!$K$2:$K$1232,"Yes",Games_Raw!$I$2:$I$1232,A424,Games_Raw!$J$2:$J$1232,B424)</ns0:f>
        <ns0:v>2</ns0:v>
      </ns0:c>
      <ns0:c r="D424">
        <ns0:f>COUNTIFS(Games_Raw!$K$2:$K$1232,"Yes",Games_Raw!$I$2:$I$1232,B424,Games_Raw!$J$2:$J$1232,A424)</ns0:f>
        <ns0:v>1</ns0:v>
      </ns0:c>
      <ns0:c r="E424" t="str">
        <ns0:f>C424&amp;"-"&amp;D424</ns0:f>
        <ns0:v>2-1</ns0:v>
      </ns0:c>
      <ns0:c r="F424">
        <ns0:f>COUNTIFS(Games_Raw!$K$2:$K$1232,"Yes",Games_Raw!$I$2:$I$1232,A424)</ns0:f>
        <ns0:v>48</ns0:v>
      </ns0:c>
      <ns0:c r="G424">
        <ns0:f>COUNTIFS(Games_Raw!$K$2:$K$1232,"Yes",Games_Raw!$J$2:$J$1232,A424)</ns0:f>
        <ns0:v>34</ns0:v>
      </ns0:c>
    </ns0:row>
    <ns0:row r="425">
      <ns0:c r="A425" t="inlineStr">
        <ns0:is>
          <ns0:t>Memphis Grizzlies</ns0:t>
        </ns0:is>
      </ns0:c>
      <ns0:c r="B425" t="inlineStr">
        <ns0:is>
          <ns0:t>New Orleans Pelicans</ns0:t>
        </ns0:is>
      </ns0:c>
      <ns0:c r="C425">
        <ns0:f>COUNTIFS(Games_Raw!$K$2:$K$1232,"Yes",Games_Raw!$I$2:$I$1232,A425,Games_Raw!$J$2:$J$1232,B425)</ns0:f>
        <ns0:v>4</ns0:v>
      </ns0:c>
      <ns0:c r="D425">
        <ns0:f>COUNTIFS(Games_Raw!$K$2:$K$1232,"Yes",Games_Raw!$I$2:$I$1232,B425,Games_Raw!$J$2:$J$1232,A425)</ns0:f>
        <ns0:v>0</ns0:v>
      </ns0:c>
      <ns0:c r="E425" t="str">
        <ns0:f>C425&amp;"-"&amp;D425</ns0:f>
        <ns0:v>4-0</ns0:v>
      </ns0:c>
      <ns0:c r="F425">
        <ns0:f>COUNTIFS(Games_Raw!$K$2:$K$1232,"Yes",Games_Raw!$I$2:$I$1232,A425)</ns0:f>
        <ns0:v>48</ns0:v>
      </ns0:c>
      <ns0:c r="G425">
        <ns0:f>COUNTIFS(Games_Raw!$K$2:$K$1232,"Yes",Games_Raw!$J$2:$J$1232,A425)</ns0:f>
        <ns0:v>34</ns0:v>
      </ns0:c>
    </ns0:row>
    <ns0:row r="426">
      <ns0:c r="A426" t="inlineStr">
        <ns0:is>
          <ns0:t>Memphis Grizzlies</ns0:t>
        </ns0:is>
      </ns0:c>
      <ns0:c r="B426" t="inlineStr">
        <ns0:is>
          <ns0:t>New York Knicks</ns0:t>
        </ns0:is>
      </ns0:c>
      <ns0:c r="C426">
        <ns0:f>COUNTIFS(Games_Raw!$K$2:$K$1232,"Yes",Games_Raw!$I$2:$I$1232,A426,Games_Raw!$J$2:$J$1232,B426)</ns0:f>
        <ns0:v>0</ns0:v>
      </ns0:c>
      <ns0:c r="D426">
        <ns0:f>COUNTIFS(Games_Raw!$K$2:$K$1232,"Yes",Games_Raw!$I$2:$I$1232,B426,Games_Raw!$J$2:$J$1232,A426)</ns0:f>
        <ns0:v>2</ns0:v>
      </ns0:c>
      <ns0:c r="E426" t="str">
        <ns0:f>C426&amp;"-"&amp;D426</ns0:f>
        <ns0:v>0-2</ns0:v>
      </ns0:c>
      <ns0:c r="F426">
        <ns0:f>COUNTIFS(Games_Raw!$K$2:$K$1232,"Yes",Games_Raw!$I$2:$I$1232,A426)</ns0:f>
        <ns0:v>48</ns0:v>
      </ns0:c>
      <ns0:c r="G426">
        <ns0:f>COUNTIFS(Games_Raw!$K$2:$K$1232,"Yes",Games_Raw!$J$2:$J$1232,A426)</ns0:f>
        <ns0:v>34</ns0:v>
      </ns0:c>
    </ns0:row>
    <ns0:row r="427">
      <ns0:c r="A427" t="inlineStr">
        <ns0:is>
          <ns0:t>Memphis Grizzlies</ns0:t>
        </ns0:is>
      </ns0:c>
      <ns0:c r="B427" t="inlineStr">
        <ns0:is>
          <ns0:t>Oklahoma City Thunder</ns0:t>
        </ns0:is>
      </ns0:c>
      <ns0:c r="C427">
        <ns0:f>COUNTIFS(Games_Raw!$K$2:$K$1232,"Yes",Games_Raw!$I$2:$I$1232,A427,Games_Raw!$J$2:$J$1232,B427)</ns0:f>
        <ns0:v>0</ns0:v>
      </ns0:c>
      <ns0:c r="D427">
        <ns0:f>COUNTIFS(Games_Raw!$K$2:$K$1232,"Yes",Games_Raw!$I$2:$I$1232,B427,Games_Raw!$J$2:$J$1232,A427)</ns0:f>
        <ns0:v>4</ns0:v>
      </ns0:c>
      <ns0:c r="E427" t="str">
        <ns0:f>C427&amp;"-"&amp;D427</ns0:f>
        <ns0:v>0-4</ns0:v>
      </ns0:c>
      <ns0:c r="F427">
        <ns0:f>COUNTIFS(Games_Raw!$K$2:$K$1232,"Yes",Games_Raw!$I$2:$I$1232,A427)</ns0:f>
        <ns0:v>48</ns0:v>
      </ns0:c>
      <ns0:c r="G427">
        <ns0:f>COUNTIFS(Games_Raw!$K$2:$K$1232,"Yes",Games_Raw!$J$2:$J$1232,A427)</ns0:f>
        <ns0:v>34</ns0:v>
      </ns0:c>
    </ns0:row>
    <ns0:row r="428">
      <ns0:c r="A428" t="inlineStr">
        <ns0:is>
          <ns0:t>Memphis Grizzlies</ns0:t>
        </ns0:is>
      </ns0:c>
      <ns0:c r="B428" t="inlineStr">
        <ns0:is>
          <ns0:t>Orlando Magic</ns0:t>
        </ns0:is>
      </ns0:c>
      <ns0:c r="C428">
        <ns0:f>COUNTIFS(Games_Raw!$K$2:$K$1232,"Yes",Games_Raw!$I$2:$I$1232,A428,Games_Raw!$J$2:$J$1232,B428)</ns0:f>
        <ns0:v>2</ns0:v>
      </ns0:c>
      <ns0:c r="D428">
        <ns0:f>COUNTIFS(Games_Raw!$K$2:$K$1232,"Yes",Games_Raw!$I$2:$I$1232,B428,Games_Raw!$J$2:$J$1232,A428)</ns0:f>
        <ns0:v>0</ns0:v>
      </ns0:c>
      <ns0:c r="E428" t="str">
        <ns0:f>C428&amp;"-"&amp;D428</ns0:f>
        <ns0:v>2-0</ns0:v>
      </ns0:c>
      <ns0:c r="F428">
        <ns0:f>COUNTIFS(Games_Raw!$K$2:$K$1232,"Yes",Games_Raw!$I$2:$I$1232,A428)</ns0:f>
        <ns0:v>48</ns0:v>
      </ns0:c>
      <ns0:c r="G428">
        <ns0:f>COUNTIFS(Games_Raw!$K$2:$K$1232,"Yes",Games_Raw!$J$2:$J$1232,A428)</ns0:f>
        <ns0:v>34</ns0:v>
      </ns0:c>
    </ns0:row>
    <ns0:row r="429">
      <ns0:c r="A429" t="inlineStr">
        <ns0:is>
          <ns0:t>Memphis Grizzlies</ns0:t>
        </ns0:is>
      </ns0:c>
      <ns0:c r="B429" t="inlineStr">
        <ns0:is>
          <ns0:t>Philadelphia 76ers</ns0:t>
        </ns0:is>
      </ns0:c>
      <ns0:c r="C429">
        <ns0:f>COUNTIFS(Games_Raw!$K$2:$K$1232,"Yes",Games_Raw!$I$2:$I$1232,A429,Games_Raw!$J$2:$J$1232,B429)</ns0:f>
        <ns0:v>2</ns0:v>
      </ns0:c>
      <ns0:c r="D429">
        <ns0:f>COUNTIFS(Games_Raw!$K$2:$K$1232,"Yes",Games_Raw!$I$2:$I$1232,B429,Games_Raw!$J$2:$J$1232,A429)</ns0:f>
        <ns0:v>0</ns0:v>
      </ns0:c>
      <ns0:c r="E429" t="str">
        <ns0:f>C429&amp;"-"&amp;D429</ns0:f>
        <ns0:v>2-0</ns0:v>
      </ns0:c>
      <ns0:c r="F429">
        <ns0:f>COUNTIFS(Games_Raw!$K$2:$K$1232,"Yes",Games_Raw!$I$2:$I$1232,A429)</ns0:f>
        <ns0:v>48</ns0:v>
      </ns0:c>
      <ns0:c r="G429">
        <ns0:f>COUNTIFS(Games_Raw!$K$2:$K$1232,"Yes",Games_Raw!$J$2:$J$1232,A429)</ns0:f>
        <ns0:v>34</ns0:v>
      </ns0:c>
    </ns0:row>
    <ns0:row r="430">
      <ns0:c r="A430" t="inlineStr">
        <ns0:is>
          <ns0:t>Memphis Grizzlies</ns0:t>
        </ns0:is>
      </ns0:c>
      <ns0:c r="B430" t="inlineStr">
        <ns0:is>
          <ns0:t>Phoenix Suns</ns0:t>
        </ns0:is>
      </ns0:c>
      <ns0:c r="C430">
        <ns0:f>COUNTIFS(Games_Raw!$K$2:$K$1232,"Yes",Games_Raw!$I$2:$I$1232,A430,Games_Raw!$J$2:$J$1232,B430)</ns0:f>
        <ns0:v>4</ns0:v>
      </ns0:c>
      <ns0:c r="D430">
        <ns0:f>COUNTIFS(Games_Raw!$K$2:$K$1232,"Yes",Games_Raw!$I$2:$I$1232,B430,Games_Raw!$J$2:$J$1232,A430)</ns0:f>
        <ns0:v>0</ns0:v>
      </ns0:c>
      <ns0:c r="E430" t="str">
        <ns0:f>C430&amp;"-"&amp;D430</ns0:f>
        <ns0:v>4-0</ns0:v>
      </ns0:c>
      <ns0:c r="F430">
        <ns0:f>COUNTIFS(Games_Raw!$K$2:$K$1232,"Yes",Games_Raw!$I$2:$I$1232,A430)</ns0:f>
        <ns0:v>48</ns0:v>
      </ns0:c>
      <ns0:c r="G430">
        <ns0:f>COUNTIFS(Games_Raw!$K$2:$K$1232,"Yes",Games_Raw!$J$2:$J$1232,A430)</ns0:f>
        <ns0:v>34</ns0:v>
      </ns0:c>
    </ns0:row>
    <ns0:row r="431">
      <ns0:c r="A431" t="inlineStr">
        <ns0:is>
          <ns0:t>Memphis Grizzlies</ns0:t>
        </ns0:is>
      </ns0:c>
      <ns0:c r="B431" t="inlineStr">
        <ns0:is>
          <ns0:t>Portland Trail Blazers</ns0:t>
        </ns0:is>
      </ns0:c>
      <ns0:c r="C431">
        <ns0:f>COUNTIFS(Games_Raw!$K$2:$K$1232,"Yes",Games_Raw!$I$2:$I$1232,A431,Games_Raw!$J$2:$J$1232,B431)</ns0:f>
        <ns0:v>2</ns0:v>
      </ns0:c>
      <ns0:c r="D431">
        <ns0:f>COUNTIFS(Games_Raw!$K$2:$K$1232,"Yes",Games_Raw!$I$2:$I$1232,B431,Games_Raw!$J$2:$J$1232,A431)</ns0:f>
        <ns0:v>1</ns0:v>
      </ns0:c>
      <ns0:c r="E431" t="str">
        <ns0:f>C431&amp;"-"&amp;D431</ns0:f>
        <ns0:v>2-1</ns0:v>
      </ns0:c>
      <ns0:c r="F431">
        <ns0:f>COUNTIFS(Games_Raw!$K$2:$K$1232,"Yes",Games_Raw!$I$2:$I$1232,A431)</ns0:f>
        <ns0:v>48</ns0:v>
      </ns0:c>
      <ns0:c r="G431">
        <ns0:f>COUNTIFS(Games_Raw!$K$2:$K$1232,"Yes",Games_Raw!$J$2:$J$1232,A431)</ns0:f>
        <ns0:v>34</ns0:v>
      </ns0:c>
    </ns0:row>
    <ns0:row r="432">
      <ns0:c r="A432" t="inlineStr">
        <ns0:is>
          <ns0:t>Memphis Grizzlies</ns0:t>
        </ns0:is>
      </ns0:c>
      <ns0:c r="B432" t="inlineStr">
        <ns0:is>
          <ns0:t>Sacramento Kings</ns0:t>
        </ns0:is>
      </ns0:c>
      <ns0:c r="C432">
        <ns0:f>COUNTIFS(Games_Raw!$K$2:$K$1232,"Yes",Games_Raw!$I$2:$I$1232,A432,Games_Raw!$J$2:$J$1232,B432)</ns0:f>
        <ns0:v>1</ns0:v>
      </ns0:c>
      <ns0:c r="D432">
        <ns0:f>COUNTIFS(Games_Raw!$K$2:$K$1232,"Yes",Games_Raw!$I$2:$I$1232,B432,Games_Raw!$J$2:$J$1232,A432)</ns0:f>
        <ns0:v>2</ns0:v>
      </ns0:c>
      <ns0:c r="E432" t="str">
        <ns0:f>C432&amp;"-"&amp;D432</ns0:f>
        <ns0:v>1-2</ns0:v>
      </ns0:c>
      <ns0:c r="F432">
        <ns0:f>COUNTIFS(Games_Raw!$K$2:$K$1232,"Yes",Games_Raw!$I$2:$I$1232,A432)</ns0:f>
        <ns0:v>48</ns0:v>
      </ns0:c>
      <ns0:c r="G432">
        <ns0:f>COUNTIFS(Games_Raw!$K$2:$K$1232,"Yes",Games_Raw!$J$2:$J$1232,A432)</ns0:f>
        <ns0:v>34</ns0:v>
      </ns0:c>
    </ns0:row>
    <ns0:row r="433">
      <ns0:c r="A433" t="inlineStr">
        <ns0:is>
          <ns0:t>Memphis Grizzlies</ns0:t>
        </ns0:is>
      </ns0:c>
      <ns0:c r="B433" t="inlineStr">
        <ns0:is>
          <ns0:t>San Antonio Spurs</ns0:t>
        </ns0:is>
      </ns0:c>
      <ns0:c r="C433">
        <ns0:f>COUNTIFS(Games_Raw!$K$2:$K$1232,"Yes",Games_Raw!$I$2:$I$1232,A433,Games_Raw!$J$2:$J$1232,B433)</ns0:f>
        <ns0:v>3</ns0:v>
      </ns0:c>
      <ns0:c r="D433">
        <ns0:f>COUNTIFS(Games_Raw!$K$2:$K$1232,"Yes",Games_Raw!$I$2:$I$1232,B433,Games_Raw!$J$2:$J$1232,A433)</ns0:f>
        <ns0:v>1</ns0:v>
      </ns0:c>
      <ns0:c r="E433" t="str">
        <ns0:f>C433&amp;"-"&amp;D433</ns0:f>
        <ns0:v>3-1</ns0:v>
      </ns0:c>
      <ns0:c r="F433">
        <ns0:f>COUNTIFS(Games_Raw!$K$2:$K$1232,"Yes",Games_Raw!$I$2:$I$1232,A433)</ns0:f>
        <ns0:v>48</ns0:v>
      </ns0:c>
      <ns0:c r="G433">
        <ns0:f>COUNTIFS(Games_Raw!$K$2:$K$1232,"Yes",Games_Raw!$J$2:$J$1232,A433)</ns0:f>
        <ns0:v>34</ns0:v>
      </ns0:c>
    </ns0:row>
    <ns0:row r="434">
      <ns0:c r="A434" t="inlineStr">
        <ns0:is>
          <ns0:t>Memphis Grizzlies</ns0:t>
        </ns0:is>
      </ns0:c>
      <ns0:c r="B434" t="inlineStr">
        <ns0:is>
          <ns0:t>Toronto Raptors</ns0:t>
        </ns0:is>
      </ns0:c>
      <ns0:c r="C434">
        <ns0:f>COUNTIFS(Games_Raw!$K$2:$K$1232,"Yes",Games_Raw!$I$2:$I$1232,A434,Games_Raw!$J$2:$J$1232,B434)</ns0:f>
        <ns0:v>2</ns0:v>
      </ns0:c>
      <ns0:c r="D434">
        <ns0:f>COUNTIFS(Games_Raw!$K$2:$K$1232,"Yes",Games_Raw!$I$2:$I$1232,B434,Games_Raw!$J$2:$J$1232,A434)</ns0:f>
        <ns0:v>0</ns0:v>
      </ns0:c>
      <ns0:c r="E434" t="str">
        <ns0:f>C434&amp;"-"&amp;D434</ns0:f>
        <ns0:v>2-0</ns0:v>
      </ns0:c>
      <ns0:c r="F434">
        <ns0:f>COUNTIFS(Games_Raw!$K$2:$K$1232,"Yes",Games_Raw!$I$2:$I$1232,A434)</ns0:f>
        <ns0:v>48</ns0:v>
      </ns0:c>
      <ns0:c r="G434">
        <ns0:f>COUNTIFS(Games_Raw!$K$2:$K$1232,"Yes",Games_Raw!$J$2:$J$1232,A434)</ns0:f>
        <ns0:v>34</ns0:v>
      </ns0:c>
    </ns0:row>
    <ns0:row r="435">
      <ns0:c r="A435" t="inlineStr">
        <ns0:is>
          <ns0:t>Memphis Grizzlies</ns0:t>
        </ns0:is>
      </ns0:c>
      <ns0:c r="B435" t="inlineStr">
        <ns0:is>
          <ns0:t>Utah Jazz</ns0:t>
        </ns0:is>
      </ns0:c>
      <ns0:c r="C435">
        <ns0:f>COUNTIFS(Games_Raw!$K$2:$K$1232,"Yes",Games_Raw!$I$2:$I$1232,A435,Games_Raw!$J$2:$J$1232,B435)</ns0:f>
        <ns0:v>4</ns0:v>
      </ns0:c>
      <ns0:c r="D435">
        <ns0:f>COUNTIFS(Games_Raw!$K$2:$K$1232,"Yes",Games_Raw!$I$2:$I$1232,B435,Games_Raw!$J$2:$J$1232,A435)</ns0:f>
        <ns0:v>0</ns0:v>
      </ns0:c>
      <ns0:c r="E435" t="str">
        <ns0:f>C435&amp;"-"&amp;D435</ns0:f>
        <ns0:v>4-0</ns0:v>
      </ns0:c>
      <ns0:c r="F435">
        <ns0:f>COUNTIFS(Games_Raw!$K$2:$K$1232,"Yes",Games_Raw!$I$2:$I$1232,A435)</ns0:f>
        <ns0:v>48</ns0:v>
      </ns0:c>
      <ns0:c r="G435">
        <ns0:f>COUNTIFS(Games_Raw!$K$2:$K$1232,"Yes",Games_Raw!$J$2:$J$1232,A435)</ns0:f>
        <ns0:v>34</ns0:v>
      </ns0:c>
    </ns0:row>
    <ns0:row r="436">
      <ns0:c r="A436" t="inlineStr">
        <ns0:is>
          <ns0:t>Memphis Grizzlies</ns0:t>
        </ns0:is>
      </ns0:c>
      <ns0:c r="B436" t="inlineStr">
        <ns0:is>
          <ns0:t>Washington Wizards</ns0:t>
        </ns0:is>
      </ns0:c>
      <ns0:c r="C436">
        <ns0:f>COUNTIFS(Games_Raw!$K$2:$K$1232,"Yes",Games_Raw!$I$2:$I$1232,A436,Games_Raw!$J$2:$J$1232,B436)</ns0:f>
        <ns0:v>2</ns0:v>
      </ns0:c>
      <ns0:c r="D436">
        <ns0:f>COUNTIFS(Games_Raw!$K$2:$K$1232,"Yes",Games_Raw!$I$2:$I$1232,B436,Games_Raw!$J$2:$J$1232,A436)</ns0:f>
        <ns0:v>0</ns0:v>
      </ns0:c>
      <ns0:c r="E436" t="str">
        <ns0:f>C436&amp;"-"&amp;D436</ns0:f>
        <ns0:v>2-0</ns0:v>
      </ns0:c>
      <ns0:c r="F436">
        <ns0:f>COUNTIFS(Games_Raw!$K$2:$K$1232,"Yes",Games_Raw!$I$2:$I$1232,A436)</ns0:f>
        <ns0:v>48</ns0:v>
      </ns0:c>
      <ns0:c r="G436">
        <ns0:f>COUNTIFS(Games_Raw!$K$2:$K$1232,"Yes",Games_Raw!$J$2:$J$1232,A436)</ns0:f>
        <ns0:v>34</ns0:v>
      </ns0:c>
    </ns0:row>
    <ns0:row r="437">
      <ns0:c r="A437" t="inlineStr">
        <ns0:is>
          <ns0:t>Miami Heat</ns0:t>
        </ns0:is>
      </ns0:c>
      <ns0:c r="B437" t="inlineStr">
        <ns0:is>
          <ns0:t>Atlanta Hawks</ns0:t>
        </ns0:is>
      </ns0:c>
      <ns0:c r="C437">
        <ns0:f>COUNTIFS(Games_Raw!$K$2:$K$1232,"Yes",Games_Raw!$I$2:$I$1232,A437,Games_Raw!$J$2:$J$1232,B437)</ns0:f>
        <ns0:v>2</ns0:v>
      </ns0:c>
      <ns0:c r="D437">
        <ns0:f>COUNTIFS(Games_Raw!$K$2:$K$1232,"Yes",Games_Raw!$I$2:$I$1232,B437,Games_Raw!$J$2:$J$1232,A437)</ns0:f>
        <ns0:v>2</ns0:v>
      </ns0:c>
      <ns0:c r="E437" t="str">
        <ns0:f>C437&amp;"-"&amp;D437</ns0:f>
        <ns0:v>2-2</ns0:v>
      </ns0:c>
      <ns0:c r="F437">
        <ns0:f>COUNTIFS(Games_Raw!$K$2:$K$1232,"Yes",Games_Raw!$I$2:$I$1232,A437)</ns0:f>
        <ns0:v>37</ns0:v>
      </ns0:c>
      <ns0:c r="G437">
        <ns0:f>COUNTIFS(Games_Raw!$K$2:$K$1232,"Yes",Games_Raw!$J$2:$J$1232,A437)</ns0:f>
        <ns0:v>45</ns0:v>
      </ns0:c>
    </ns0:row>
    <ns0:row r="438">
      <ns0:c r="A438" t="inlineStr">
        <ns0:is>
          <ns0:t>Miami Heat</ns0:t>
        </ns0:is>
      </ns0:c>
      <ns0:c r="B438" t="inlineStr">
        <ns0:is>
          <ns0:t>Boston Celtics</ns0:t>
        </ns0:is>
      </ns0:c>
      <ns0:c r="C438">
        <ns0:f>COUNTIFS(Games_Raw!$K$2:$K$1232,"Yes",Games_Raw!$I$2:$I$1232,A438,Games_Raw!$J$2:$J$1232,B438)</ns0:f>
        <ns0:v>1</ns0:v>
      </ns0:c>
      <ns0:c r="D438">
        <ns0:f>COUNTIFS(Games_Raw!$K$2:$K$1232,"Yes",Games_Raw!$I$2:$I$1232,B438,Games_Raw!$J$2:$J$1232,A438)</ns0:f>
        <ns0:v>3</ns0:v>
      </ns0:c>
      <ns0:c r="E438" t="str">
        <ns0:f>C438&amp;"-"&amp;D438</ns0:f>
        <ns0:v>1-3</ns0:v>
      </ns0:c>
      <ns0:c r="F438">
        <ns0:f>COUNTIFS(Games_Raw!$K$2:$K$1232,"Yes",Games_Raw!$I$2:$I$1232,A438)</ns0:f>
        <ns0:v>37</ns0:v>
      </ns0:c>
      <ns0:c r="G438">
        <ns0:f>COUNTIFS(Games_Raw!$K$2:$K$1232,"Yes",Games_Raw!$J$2:$J$1232,A438)</ns0:f>
        <ns0:v>45</ns0:v>
      </ns0:c>
    </ns0:row>
    <ns0:row r="439">
      <ns0:c r="A439" t="inlineStr">
        <ns0:is>
          <ns0:t>Miami Heat</ns0:t>
        </ns0:is>
      </ns0:c>
      <ns0:c r="B439" t="inlineStr">
        <ns0:is>
          <ns0:t>Brooklyn Nets</ns0:t>
        </ns0:is>
      </ns0:c>
      <ns0:c r="C439">
        <ns0:f>COUNTIFS(Games_Raw!$K$2:$K$1232,"Yes",Games_Raw!$I$2:$I$1232,A439,Games_Raw!$J$2:$J$1232,B439)</ns0:f>
        <ns0:v>2</ns0:v>
      </ns0:c>
      <ns0:c r="D439">
        <ns0:f>COUNTIFS(Games_Raw!$K$2:$K$1232,"Yes",Games_Raw!$I$2:$I$1232,B439,Games_Raw!$J$2:$J$1232,A439)</ns0:f>
        <ns0:v>1</ns0:v>
      </ns0:c>
      <ns0:c r="E439" t="str">
        <ns0:f>C439&amp;"-"&amp;D439</ns0:f>
        <ns0:v>2-1</ns0:v>
      </ns0:c>
      <ns0:c r="F439">
        <ns0:f>COUNTIFS(Games_Raw!$K$2:$K$1232,"Yes",Games_Raw!$I$2:$I$1232,A439)</ns0:f>
        <ns0:v>37</ns0:v>
      </ns0:c>
      <ns0:c r="G439">
        <ns0:f>COUNTIFS(Games_Raw!$K$2:$K$1232,"Yes",Games_Raw!$J$2:$J$1232,A439)</ns0:f>
        <ns0:v>45</ns0:v>
      </ns0:c>
    </ns0:row>
    <ns0:row r="440">
      <ns0:c r="A440" t="inlineStr">
        <ns0:is>
          <ns0:t>Miami Heat</ns0:t>
        </ns0:is>
      </ns0:c>
      <ns0:c r="B440" t="inlineStr">
        <ns0:is>
          <ns0:t>Charlotte Hornets</ns0:t>
        </ns0:is>
      </ns0:c>
      <ns0:c r="C440">
        <ns0:f>COUNTIFS(Games_Raw!$K$2:$K$1232,"Yes",Games_Raw!$I$2:$I$1232,A440,Games_Raw!$J$2:$J$1232,B440)</ns0:f>
        <ns0:v>3</ns0:v>
      </ns0:c>
      <ns0:c r="D440">
        <ns0:f>COUNTIFS(Games_Raw!$K$2:$K$1232,"Yes",Games_Raw!$I$2:$I$1232,B440,Games_Raw!$J$2:$J$1232,A440)</ns0:f>
        <ns0:v>1</ns0:v>
      </ns0:c>
      <ns0:c r="E440" t="str">
        <ns0:f>C440&amp;"-"&amp;D440</ns0:f>
        <ns0:v>3-1</ns0:v>
      </ns0:c>
      <ns0:c r="F440">
        <ns0:f>COUNTIFS(Games_Raw!$K$2:$K$1232,"Yes",Games_Raw!$I$2:$I$1232,A440)</ns0:f>
        <ns0:v>37</ns0:v>
      </ns0:c>
      <ns0:c r="G440">
        <ns0:f>COUNTIFS(Games_Raw!$K$2:$K$1232,"Yes",Games_Raw!$J$2:$J$1232,A440)</ns0:f>
        <ns0:v>45</ns0:v>
      </ns0:c>
    </ns0:row>
    <ns0:row r="441">
      <ns0:c r="A441" t="inlineStr">
        <ns0:is>
          <ns0:t>Miami Heat</ns0:t>
        </ns0:is>
      </ns0:c>
      <ns0:c r="B441" t="inlineStr">
        <ns0:is>
          <ns0:t>Chicago Bulls</ns0:t>
        </ns0:is>
      </ns0:c>
      <ns0:c r="C441">
        <ns0:f>COUNTIFS(Games_Raw!$K$2:$K$1232,"Yes",Games_Raw!$I$2:$I$1232,A441,Games_Raw!$J$2:$J$1232,B441)</ns0:f>
        <ns0:v>0</ns0:v>
      </ns0:c>
      <ns0:c r="D441">
        <ns0:f>COUNTIFS(Games_Raw!$K$2:$K$1232,"Yes",Games_Raw!$I$2:$I$1232,B441,Games_Raw!$J$2:$J$1232,A441)</ns0:f>
        <ns0:v>3</ns0:v>
      </ns0:c>
      <ns0:c r="E441" t="str">
        <ns0:f>C441&amp;"-"&amp;D441</ns0:f>
        <ns0:v>0-3</ns0:v>
      </ns0:c>
      <ns0:c r="F441">
        <ns0:f>COUNTIFS(Games_Raw!$K$2:$K$1232,"Yes",Games_Raw!$I$2:$I$1232,A441)</ns0:f>
        <ns0:v>37</ns0:v>
      </ns0:c>
      <ns0:c r="G441">
        <ns0:f>COUNTIFS(Games_Raw!$K$2:$K$1232,"Yes",Games_Raw!$J$2:$J$1232,A441)</ns0:f>
        <ns0:v>45</ns0:v>
      </ns0:c>
    </ns0:row>
    <ns0:row r="442">
      <ns0:c r="A442" t="inlineStr">
        <ns0:is>
          <ns0:t>Miami Heat</ns0:t>
        </ns0:is>
      </ns0:c>
      <ns0:c r="B442" t="inlineStr">
        <ns0:is>
          <ns0:t>Cleveland Cavaliers</ns0:t>
        </ns0:is>
      </ns0:c>
      <ns0:c r="C442">
        <ns0:f>COUNTIFS(Games_Raw!$K$2:$K$1232,"Yes",Games_Raw!$I$2:$I$1232,A442,Games_Raw!$J$2:$J$1232,B442)</ns0:f>
        <ns0:v>1</ns0:v>
      </ns0:c>
      <ns0:c r="D442">
        <ns0:f>COUNTIFS(Games_Raw!$K$2:$K$1232,"Yes",Games_Raw!$I$2:$I$1232,B442,Games_Raw!$J$2:$J$1232,A442)</ns0:f>
        <ns0:v>2</ns0:v>
      </ns0:c>
      <ns0:c r="E442" t="str">
        <ns0:f>C442&amp;"-"&amp;D442</ns0:f>
        <ns0:v>1-2</ns0:v>
      </ns0:c>
      <ns0:c r="F442">
        <ns0:f>COUNTIFS(Games_Raw!$K$2:$K$1232,"Yes",Games_Raw!$I$2:$I$1232,A442)</ns0:f>
        <ns0:v>37</ns0:v>
      </ns0:c>
      <ns0:c r="G442">
        <ns0:f>COUNTIFS(Games_Raw!$K$2:$K$1232,"Yes",Games_Raw!$J$2:$J$1232,A442)</ns0:f>
        <ns0:v>45</ns0:v>
      </ns0:c>
    </ns0:row>
    <ns0:row r="443">
      <ns0:c r="A443" t="inlineStr">
        <ns0:is>
          <ns0:t>Miami Heat</ns0:t>
        </ns0:is>
      </ns0:c>
      <ns0:c r="B443" t="inlineStr">
        <ns0:is>
          <ns0:t>Dallas Mavericks</ns0:t>
        </ns0:is>
      </ns0:c>
      <ns0:c r="C443">
        <ns0:f>COUNTIFS(Games_Raw!$K$2:$K$1232,"Yes",Games_Raw!$I$2:$I$1232,A443,Games_Raw!$J$2:$J$1232,B443)</ns0:f>
        <ns0:v>1</ns0:v>
      </ns0:c>
      <ns0:c r="D443">
        <ns0:f>COUNTIFS(Games_Raw!$K$2:$K$1232,"Yes",Games_Raw!$I$2:$I$1232,B443,Games_Raw!$J$2:$J$1232,A443)</ns0:f>
        <ns0:v>1</ns0:v>
      </ns0:c>
      <ns0:c r="E443" t="str">
        <ns0:f>C443&amp;"-"&amp;D443</ns0:f>
        <ns0:v>1-1</ns0:v>
      </ns0:c>
      <ns0:c r="F443">
        <ns0:f>COUNTIFS(Games_Raw!$K$2:$K$1232,"Yes",Games_Raw!$I$2:$I$1232,A443)</ns0:f>
        <ns0:v>37</ns0:v>
      </ns0:c>
      <ns0:c r="G443">
        <ns0:f>COUNTIFS(Games_Raw!$K$2:$K$1232,"Yes",Games_Raw!$J$2:$J$1232,A443)</ns0:f>
        <ns0:v>45</ns0:v>
      </ns0:c>
    </ns0:row>
    <ns0:row r="444">
      <ns0:c r="A444" t="inlineStr">
        <ns0:is>
          <ns0:t>Miami Heat</ns0:t>
        </ns0:is>
      </ns0:c>
      <ns0:c r="B444" t="inlineStr">
        <ns0:is>
          <ns0:t>Denver Nuggets</ns0:t>
        </ns0:is>
      </ns0:c>
      <ns0:c r="C444">
        <ns0:f>COUNTIFS(Games_Raw!$K$2:$K$1232,"Yes",Games_Raw!$I$2:$I$1232,A444,Games_Raw!$J$2:$J$1232,B444)</ns0:f>
        <ns0:v>0</ns0:v>
      </ns0:c>
      <ns0:c r="D444">
        <ns0:f>COUNTIFS(Games_Raw!$K$2:$K$1232,"Yes",Games_Raw!$I$2:$I$1232,B444,Games_Raw!$J$2:$J$1232,A444)</ns0:f>
        <ns0:v>2</ns0:v>
      </ns0:c>
      <ns0:c r="E444" t="str">
        <ns0:f>C444&amp;"-"&amp;D444</ns0:f>
        <ns0:v>0-2</ns0:v>
      </ns0:c>
      <ns0:c r="F444">
        <ns0:f>COUNTIFS(Games_Raw!$K$2:$K$1232,"Yes",Games_Raw!$I$2:$I$1232,A444)</ns0:f>
        <ns0:v>37</ns0:v>
      </ns0:c>
      <ns0:c r="G444">
        <ns0:f>COUNTIFS(Games_Raw!$K$2:$K$1232,"Yes",Games_Raw!$J$2:$J$1232,A444)</ns0:f>
        <ns0:v>45</ns0:v>
      </ns0:c>
    </ns0:row>
    <ns0:row r="445">
      <ns0:c r="A445" t="inlineStr">
        <ns0:is>
          <ns0:t>Miami Heat</ns0:t>
        </ns0:is>
      </ns0:c>
      <ns0:c r="B445" t="inlineStr">
        <ns0:is>
          <ns0:t>Detroit Pistons</ns0:t>
        </ns0:is>
      </ns0:c>
      <ns0:c r="C445">
        <ns0:f>COUNTIFS(Games_Raw!$K$2:$K$1232,"Yes",Games_Raw!$I$2:$I$1232,A445,Games_Raw!$J$2:$J$1232,B445)</ns0:f>
        <ns0:v>1</ns0:v>
      </ns0:c>
      <ns0:c r="D445">
        <ns0:f>COUNTIFS(Games_Raw!$K$2:$K$1232,"Yes",Games_Raw!$I$2:$I$1232,B445,Games_Raw!$J$2:$J$1232,A445)</ns0:f>
        <ns0:v>3</ns0:v>
      </ns0:c>
      <ns0:c r="E445" t="str">
        <ns0:f>C445&amp;"-"&amp;D445</ns0:f>
        <ns0:v>1-3</ns0:v>
      </ns0:c>
      <ns0:c r="F445">
        <ns0:f>COUNTIFS(Games_Raw!$K$2:$K$1232,"Yes",Games_Raw!$I$2:$I$1232,A445)</ns0:f>
        <ns0:v>37</ns0:v>
      </ns0:c>
      <ns0:c r="G445">
        <ns0:f>COUNTIFS(Games_Raw!$K$2:$K$1232,"Yes",Games_Raw!$J$2:$J$1232,A445)</ns0:f>
        <ns0:v>45</ns0:v>
      </ns0:c>
    </ns0:row>
    <ns0:row r="446">
      <ns0:c r="A446" t="inlineStr">
        <ns0:is>
          <ns0:t>Miami Heat</ns0:t>
        </ns0:is>
      </ns0:c>
      <ns0:c r="B446" t="inlineStr">
        <ns0:is>
          <ns0:t>Golden State Warriors</ns0:t>
        </ns0:is>
      </ns0:c>
      <ns0:c r="C446">
        <ns0:f>COUNTIFS(Games_Raw!$K$2:$K$1232,"Yes",Games_Raw!$I$2:$I$1232,A446,Games_Raw!$J$2:$J$1232,B446)</ns0:f>
        <ns0:v>2</ns0:v>
      </ns0:c>
      <ns0:c r="D446">
        <ns0:f>COUNTIFS(Games_Raw!$K$2:$K$1232,"Yes",Games_Raw!$I$2:$I$1232,B446,Games_Raw!$J$2:$J$1232,A446)</ns0:f>
        <ns0:v>0</ns0:v>
      </ns0:c>
      <ns0:c r="E446" t="str">
        <ns0:f>C446&amp;"-"&amp;D446</ns0:f>
        <ns0:v>2-0</ns0:v>
      </ns0:c>
      <ns0:c r="F446">
        <ns0:f>COUNTIFS(Games_Raw!$K$2:$K$1232,"Yes",Games_Raw!$I$2:$I$1232,A446)</ns0:f>
        <ns0:v>37</ns0:v>
      </ns0:c>
      <ns0:c r="G446">
        <ns0:f>COUNTIFS(Games_Raw!$K$2:$K$1232,"Yes",Games_Raw!$J$2:$J$1232,A446)</ns0:f>
        <ns0:v>45</ns0:v>
      </ns0:c>
    </ns0:row>
    <ns0:row r="447">
      <ns0:c r="A447" t="inlineStr">
        <ns0:is>
          <ns0:t>Miami Heat</ns0:t>
        </ns0:is>
      </ns0:c>
      <ns0:c r="B447" t="inlineStr">
        <ns0:is>
          <ns0:t>Houston Rockets</ns0:t>
        </ns0:is>
      </ns0:c>
      <ns0:c r="C447">
        <ns0:f>COUNTIFS(Games_Raw!$K$2:$K$1232,"Yes",Games_Raw!$I$2:$I$1232,A447,Games_Raw!$J$2:$J$1232,B447)</ns0:f>
        <ns0:v>1</ns0:v>
      </ns0:c>
      <ns0:c r="D447">
        <ns0:f>COUNTIFS(Games_Raw!$K$2:$K$1232,"Yes",Games_Raw!$I$2:$I$1232,B447,Games_Raw!$J$2:$J$1232,A447)</ns0:f>
        <ns0:v>1</ns0:v>
      </ns0:c>
      <ns0:c r="E447" t="str">
        <ns0:f>C447&amp;"-"&amp;D447</ns0:f>
        <ns0:v>1-1</ns0:v>
      </ns0:c>
      <ns0:c r="F447">
        <ns0:f>COUNTIFS(Games_Raw!$K$2:$K$1232,"Yes",Games_Raw!$I$2:$I$1232,A447)</ns0:f>
        <ns0:v>37</ns0:v>
      </ns0:c>
      <ns0:c r="G447">
        <ns0:f>COUNTIFS(Games_Raw!$K$2:$K$1232,"Yes",Games_Raw!$J$2:$J$1232,A447)</ns0:f>
        <ns0:v>45</ns0:v>
      </ns0:c>
    </ns0:row>
    <ns0:row r="448">
      <ns0:c r="A448" t="inlineStr">
        <ns0:is>
          <ns0:t>Miami Heat</ns0:t>
        </ns0:is>
      </ns0:c>
      <ns0:c r="B448" t="inlineStr">
        <ns0:is>
          <ns0:t>Indiana Pacers</ns0:t>
        </ns0:is>
      </ns0:c>
      <ns0:c r="C448">
        <ns0:f>COUNTIFS(Games_Raw!$K$2:$K$1232,"Yes",Games_Raw!$I$2:$I$1232,A448,Games_Raw!$J$2:$J$1232,B448)</ns0:f>
        <ns0:v>2</ns0:v>
      </ns0:c>
      <ns0:c r="D448">
        <ns0:f>COUNTIFS(Games_Raw!$K$2:$K$1232,"Yes",Games_Raw!$I$2:$I$1232,B448,Games_Raw!$J$2:$J$1232,A448)</ns0:f>
        <ns0:v>2</ns0:v>
      </ns0:c>
      <ns0:c r="E448" t="str">
        <ns0:f>C448&amp;"-"&amp;D448</ns0:f>
        <ns0:v>2-2</ns0:v>
      </ns0:c>
      <ns0:c r="F448">
        <ns0:f>COUNTIFS(Games_Raw!$K$2:$K$1232,"Yes",Games_Raw!$I$2:$I$1232,A448)</ns0:f>
        <ns0:v>37</ns0:v>
      </ns0:c>
      <ns0:c r="G448">
        <ns0:f>COUNTIFS(Games_Raw!$K$2:$K$1232,"Yes",Games_Raw!$J$2:$J$1232,A448)</ns0:f>
        <ns0:v>45</ns0:v>
      </ns0:c>
    </ns0:row>
    <ns0:row r="449">
      <ns0:c r="A449" t="inlineStr">
        <ns0:is>
          <ns0:t>Miami Heat</ns0:t>
        </ns0:is>
      </ns0:c>
      <ns0:c r="B449" t="inlineStr">
        <ns0:is>
          <ns0:t>LA Clippers</ns0:t>
        </ns0:is>
      </ns0:c>
      <ns0:c r="C449">
        <ns0:f>COUNTIFS(Games_Raw!$K$2:$K$1232,"Yes",Games_Raw!$I$2:$I$1232,A449,Games_Raw!$J$2:$J$1232,B449)</ns0:f>
        <ns0:v>0</ns0:v>
      </ns0:c>
      <ns0:c r="D449">
        <ns0:f>COUNTIFS(Games_Raw!$K$2:$K$1232,"Yes",Games_Raw!$I$2:$I$1232,B449,Games_Raw!$J$2:$J$1232,A449)</ns0:f>
        <ns0:v>2</ns0:v>
      </ns0:c>
      <ns0:c r="E449" t="str">
        <ns0:f>C449&amp;"-"&amp;D449</ns0:f>
        <ns0:v>0-2</ns0:v>
      </ns0:c>
      <ns0:c r="F449">
        <ns0:f>COUNTIFS(Games_Raw!$K$2:$K$1232,"Yes",Games_Raw!$I$2:$I$1232,A449)</ns0:f>
        <ns0:v>37</ns0:v>
      </ns0:c>
      <ns0:c r="G449">
        <ns0:f>COUNTIFS(Games_Raw!$K$2:$K$1232,"Yes",Games_Raw!$J$2:$J$1232,A449)</ns0:f>
        <ns0:v>45</ns0:v>
      </ns0:c>
    </ns0:row>
    <ns0:row r="450">
      <ns0:c r="A450" t="inlineStr">
        <ns0:is>
          <ns0:t>Miami Heat</ns0:t>
        </ns0:is>
      </ns0:c>
      <ns0:c r="B450" t="inlineStr">
        <ns0:is>
          <ns0:t>Los Angeles Lakers</ns0:t>
        </ns0:is>
      </ns0:c>
      <ns0:c r="C450">
        <ns0:f>COUNTIFS(Games_Raw!$K$2:$K$1232,"Yes",Games_Raw!$I$2:$I$1232,A450,Games_Raw!$J$2:$J$1232,B450)</ns0:f>
        <ns0:v>1</ns0:v>
      </ns0:c>
      <ns0:c r="D450">
        <ns0:f>COUNTIFS(Games_Raw!$K$2:$K$1232,"Yes",Games_Raw!$I$2:$I$1232,B450,Games_Raw!$J$2:$J$1232,A450)</ns0:f>
        <ns0:v>1</ns0:v>
      </ns0:c>
      <ns0:c r="E450" t="str">
        <ns0:f>C450&amp;"-"&amp;D450</ns0:f>
        <ns0:v>1-1</ns0:v>
      </ns0:c>
      <ns0:c r="F450">
        <ns0:f>COUNTIFS(Games_Raw!$K$2:$K$1232,"Yes",Games_Raw!$I$2:$I$1232,A450)</ns0:f>
        <ns0:v>37</ns0:v>
      </ns0:c>
      <ns0:c r="G450">
        <ns0:f>COUNTIFS(Games_Raw!$K$2:$K$1232,"Yes",Games_Raw!$J$2:$J$1232,A450)</ns0:f>
        <ns0:v>45</ns0:v>
      </ns0:c>
    </ns0:row>
    <ns0:row r="451">
      <ns0:c r="A451" t="inlineStr">
        <ns0:is>
          <ns0:t>Miami Heat</ns0:t>
        </ns0:is>
      </ns0:c>
      <ns0:c r="B451" t="inlineStr">
        <ns0:is>
          <ns0:t>Memphis Grizzlies</ns0:t>
        </ns0:is>
      </ns0:c>
      <ns0:c r="C451">
        <ns0:f>COUNTIFS(Games_Raw!$K$2:$K$1232,"Yes",Games_Raw!$I$2:$I$1232,A451,Games_Raw!$J$2:$J$1232,B451)</ns0:f>
        <ns0:v>0</ns0:v>
      </ns0:c>
      <ns0:c r="D451">
        <ns0:f>COUNTIFS(Games_Raw!$K$2:$K$1232,"Yes",Games_Raw!$I$2:$I$1232,B451,Games_Raw!$J$2:$J$1232,A451)</ns0:f>
        <ns0:v>2</ns0:v>
      </ns0:c>
      <ns0:c r="E451" t="str">
        <ns0:f>C451&amp;"-"&amp;D451</ns0:f>
        <ns0:v>0-2</ns0:v>
      </ns0:c>
      <ns0:c r="F451">
        <ns0:f>COUNTIFS(Games_Raw!$K$2:$K$1232,"Yes",Games_Raw!$I$2:$I$1232,A451)</ns0:f>
        <ns0:v>37</ns0:v>
      </ns0:c>
      <ns0:c r="G451">
        <ns0:f>COUNTIFS(Games_Raw!$K$2:$K$1232,"Yes",Games_Raw!$J$2:$J$1232,A451)</ns0:f>
        <ns0:v>45</ns0:v>
      </ns0:c>
    </ns0:row>
    <ns0:row r="452">
      <ns0:c r="A452" t="inlineStr">
        <ns0:is>
          <ns0:t>Miami Heat</ns0:t>
        </ns0:is>
      </ns0:c>
      <ns0:c r="B452" t="inlineStr">
        <ns0:is>
          <ns0:t>Milwaukee Bucks</ns0:t>
        </ns0:is>
      </ns0:c>
      <ns0:c r="C452">
        <ns0:f>COUNTIFS(Games_Raw!$K$2:$K$1232,"Yes",Games_Raw!$I$2:$I$1232,A452,Games_Raw!$J$2:$J$1232,B452)</ns0:f>
        <ns0:v>0</ns0:v>
      </ns0:c>
      <ns0:c r="D452">
        <ns0:f>COUNTIFS(Games_Raw!$K$2:$K$1232,"Yes",Games_Raw!$I$2:$I$1232,B452,Games_Raw!$J$2:$J$1232,A452)</ns0:f>
        <ns0:v>4</ns0:v>
      </ns0:c>
      <ns0:c r="E452" t="str">
        <ns0:f>C452&amp;"-"&amp;D452</ns0:f>
        <ns0:v>0-4</ns0:v>
      </ns0:c>
      <ns0:c r="F452">
        <ns0:f>COUNTIFS(Games_Raw!$K$2:$K$1232,"Yes",Games_Raw!$I$2:$I$1232,A452)</ns0:f>
        <ns0:v>37</ns0:v>
      </ns0:c>
      <ns0:c r="G452">
        <ns0:f>COUNTIFS(Games_Raw!$K$2:$K$1232,"Yes",Games_Raw!$J$2:$J$1232,A452)</ns0:f>
        <ns0:v>45</ns0:v>
      </ns0:c>
    </ns0:row>
    <ns0:row r="453">
      <ns0:c r="A453" t="inlineStr">
        <ns0:is>
          <ns0:t>Miami Heat</ns0:t>
        </ns0:is>
      </ns0:c>
      <ns0:c r="B453" t="inlineStr">
        <ns0:is>
          <ns0:t>Minnesota Timberwolves</ns0:t>
        </ns0:is>
      </ns0:c>
      <ns0:c r="C453">
        <ns0:f>COUNTIFS(Games_Raw!$K$2:$K$1232,"Yes",Games_Raw!$I$2:$I$1232,A453,Games_Raw!$J$2:$J$1232,B453)</ns0:f>
        <ns0:v>1</ns0:v>
      </ns0:c>
      <ns0:c r="D453">
        <ns0:f>COUNTIFS(Games_Raw!$K$2:$K$1232,"Yes",Games_Raw!$I$2:$I$1232,B453,Games_Raw!$J$2:$J$1232,A453)</ns0:f>
        <ns0:v>1</ns0:v>
      </ns0:c>
      <ns0:c r="E453" t="str">
        <ns0:f>C453&amp;"-"&amp;D453</ns0:f>
        <ns0:v>1-1</ns0:v>
      </ns0:c>
      <ns0:c r="F453">
        <ns0:f>COUNTIFS(Games_Raw!$K$2:$K$1232,"Yes",Games_Raw!$I$2:$I$1232,A453)</ns0:f>
        <ns0:v>37</ns0:v>
      </ns0:c>
      <ns0:c r="G453">
        <ns0:f>COUNTIFS(Games_Raw!$K$2:$K$1232,"Yes",Games_Raw!$J$2:$J$1232,A453)</ns0:f>
        <ns0:v>45</ns0:v>
      </ns0:c>
    </ns0:row>
    <ns0:row r="454">
      <ns0:c r="A454" t="inlineStr">
        <ns0:is>
          <ns0:t>Miami Heat</ns0:t>
        </ns0:is>
      </ns0:c>
      <ns0:c r="B454" t="inlineStr">
        <ns0:is>
          <ns0:t>New Orleans Pelicans</ns0:t>
        </ns0:is>
      </ns0:c>
      <ns0:c r="C454">
        <ns0:f>COUNTIFS(Games_Raw!$K$2:$K$1232,"Yes",Games_Raw!$I$2:$I$1232,A454,Games_Raw!$J$2:$J$1232,B454)</ns0:f>
        <ns0:v>2</ns0:v>
      </ns0:c>
      <ns0:c r="D454">
        <ns0:f>COUNTIFS(Games_Raw!$K$2:$K$1232,"Yes",Games_Raw!$I$2:$I$1232,B454,Games_Raw!$J$2:$J$1232,A454)</ns0:f>
        <ns0:v>0</ns0:v>
      </ns0:c>
      <ns0:c r="E454" t="str">
        <ns0:f>C454&amp;"-"&amp;D454</ns0:f>
        <ns0:v>2-0</ns0:v>
      </ns0:c>
      <ns0:c r="F454">
        <ns0:f>COUNTIFS(Games_Raw!$K$2:$K$1232,"Yes",Games_Raw!$I$2:$I$1232,A454)</ns0:f>
        <ns0:v>37</ns0:v>
      </ns0:c>
      <ns0:c r="G454">
        <ns0:f>COUNTIFS(Games_Raw!$K$2:$K$1232,"Yes",Games_Raw!$J$2:$J$1232,A454)</ns0:f>
        <ns0:v>45</ns0:v>
      </ns0:c>
    </ns0:row>
    <ns0:row r="455">
      <ns0:c r="A455" t="inlineStr">
        <ns0:is>
          <ns0:t>Miami Heat</ns0:t>
        </ns0:is>
      </ns0:c>
      <ns0:c r="B455" t="inlineStr">
        <ns0:is>
          <ns0:t>New York Knicks</ns0:t>
        </ns0:is>
      </ns0:c>
      <ns0:c r="C455">
        <ns0:f>COUNTIFS(Games_Raw!$K$2:$K$1232,"Yes",Games_Raw!$I$2:$I$1232,A455,Games_Raw!$J$2:$J$1232,B455)</ns0:f>
        <ns0:v>0</ns0:v>
      </ns0:c>
      <ns0:c r="D455">
        <ns0:f>COUNTIFS(Games_Raw!$K$2:$K$1232,"Yes",Games_Raw!$I$2:$I$1232,B455,Games_Raw!$J$2:$J$1232,A455)</ns0:f>
        <ns0:v>3</ns0:v>
      </ns0:c>
      <ns0:c r="E455" t="str">
        <ns0:f>C455&amp;"-"&amp;D455</ns0:f>
        <ns0:v>0-3</ns0:v>
      </ns0:c>
      <ns0:c r="F455">
        <ns0:f>COUNTIFS(Games_Raw!$K$2:$K$1232,"Yes",Games_Raw!$I$2:$I$1232,A455)</ns0:f>
        <ns0:v>37</ns0:v>
      </ns0:c>
      <ns0:c r="G455">
        <ns0:f>COUNTIFS(Games_Raw!$K$2:$K$1232,"Yes",Games_Raw!$J$2:$J$1232,A455)</ns0:f>
        <ns0:v>45</ns0:v>
      </ns0:c>
    </ns0:row>
    <ns0:row r="456">
      <ns0:c r="A456" t="inlineStr">
        <ns0:is>
          <ns0:t>Miami Heat</ns0:t>
        </ns0:is>
      </ns0:c>
      <ns0:c r="B456" t="inlineStr">
        <ns0:is>
          <ns0:t>Oklahoma City Thunder</ns0:t>
        </ns0:is>
      </ns0:c>
      <ns0:c r="C456">
        <ns0:f>COUNTIFS(Games_Raw!$K$2:$K$1232,"Yes",Games_Raw!$I$2:$I$1232,A456,Games_Raw!$J$2:$J$1232,B456)</ns0:f>
        <ns0:v>0</ns0:v>
      </ns0:c>
      <ns0:c r="D456">
        <ns0:f>COUNTIFS(Games_Raw!$K$2:$K$1232,"Yes",Games_Raw!$I$2:$I$1232,B456,Games_Raw!$J$2:$J$1232,A456)</ns0:f>
        <ns0:v>2</ns0:v>
      </ns0:c>
      <ns0:c r="E456" t="str">
        <ns0:f>C456&amp;"-"&amp;D456</ns0:f>
        <ns0:v>0-2</ns0:v>
      </ns0:c>
      <ns0:c r="F456">
        <ns0:f>COUNTIFS(Games_Raw!$K$2:$K$1232,"Yes",Games_Raw!$I$2:$I$1232,A456)</ns0:f>
        <ns0:v>37</ns0:v>
      </ns0:c>
      <ns0:c r="G456">
        <ns0:f>COUNTIFS(Games_Raw!$K$2:$K$1232,"Yes",Games_Raw!$J$2:$J$1232,A456)</ns0:f>
        <ns0:v>45</ns0:v>
      </ns0:c>
    </ns0:row>
    <ns0:row r="457">
      <ns0:c r="A457" t="inlineStr">
        <ns0:is>
          <ns0:t>Miami Heat</ns0:t>
        </ns0:is>
      </ns0:c>
      <ns0:c r="B457" t="inlineStr">
        <ns0:is>
          <ns0:t>Orlando Magic</ns0:t>
        </ns0:is>
      </ns0:c>
      <ns0:c r="C457">
        <ns0:f>COUNTIFS(Games_Raw!$K$2:$K$1232,"Yes",Games_Raw!$I$2:$I$1232,A457,Games_Raw!$J$2:$J$1232,B457)</ns0:f>
        <ns0:v>2</ns0:v>
      </ns0:c>
      <ns0:c r="D457">
        <ns0:f>COUNTIFS(Games_Raw!$K$2:$K$1232,"Yes",Games_Raw!$I$2:$I$1232,B457,Games_Raw!$J$2:$J$1232,A457)</ns0:f>
        <ns0:v>2</ns0:v>
      </ns0:c>
      <ns0:c r="E457" t="str">
        <ns0:f>C457&amp;"-"&amp;D457</ns0:f>
        <ns0:v>2-2</ns0:v>
      </ns0:c>
      <ns0:c r="F457">
        <ns0:f>COUNTIFS(Games_Raw!$K$2:$K$1232,"Yes",Games_Raw!$I$2:$I$1232,A457)</ns0:f>
        <ns0:v>37</ns0:v>
      </ns0:c>
      <ns0:c r="G457">
        <ns0:f>COUNTIFS(Games_Raw!$K$2:$K$1232,"Yes",Games_Raw!$J$2:$J$1232,A457)</ns0:f>
        <ns0:v>45</ns0:v>
      </ns0:c>
    </ns0:row>
    <ns0:row r="458">
      <ns0:c r="A458" t="inlineStr">
        <ns0:is>
          <ns0:t>Miami Heat</ns0:t>
        </ns0:is>
      </ns0:c>
      <ns0:c r="B458" t="inlineStr">
        <ns0:is>
          <ns0:t>Philadelphia 76ers</ns0:t>
        </ns0:is>
      </ns0:c>
      <ns0:c r="C458">
        <ns0:f>COUNTIFS(Games_Raw!$K$2:$K$1232,"Yes",Games_Raw!$I$2:$I$1232,A458,Games_Raw!$J$2:$J$1232,B458)</ns0:f>
        <ns0:v>4</ns0:v>
      </ns0:c>
      <ns0:c r="D458">
        <ns0:f>COUNTIFS(Games_Raw!$K$2:$K$1232,"Yes",Games_Raw!$I$2:$I$1232,B458,Games_Raw!$J$2:$J$1232,A458)</ns0:f>
        <ns0:v>0</ns0:v>
      </ns0:c>
      <ns0:c r="E458" t="str">
        <ns0:f>C458&amp;"-"&amp;D458</ns0:f>
        <ns0:v>4-0</ns0:v>
      </ns0:c>
      <ns0:c r="F458">
        <ns0:f>COUNTIFS(Games_Raw!$K$2:$K$1232,"Yes",Games_Raw!$I$2:$I$1232,A458)</ns0:f>
        <ns0:v>37</ns0:v>
      </ns0:c>
      <ns0:c r="G458">
        <ns0:f>COUNTIFS(Games_Raw!$K$2:$K$1232,"Yes",Games_Raw!$J$2:$J$1232,A458)</ns0:f>
        <ns0:v>45</ns0:v>
      </ns0:c>
    </ns0:row>
    <ns0:row r="459">
      <ns0:c r="A459" t="inlineStr">
        <ns0:is>
          <ns0:t>Miami Heat</ns0:t>
        </ns0:is>
      </ns0:c>
      <ns0:c r="B459" t="inlineStr">
        <ns0:is>
          <ns0:t>Phoenix Suns</ns0:t>
        </ns0:is>
      </ns0:c>
      <ns0:c r="C459">
        <ns0:f>COUNTIFS(Games_Raw!$K$2:$K$1232,"Yes",Games_Raw!$I$2:$I$1232,A459,Games_Raw!$J$2:$J$1232,B459)</ns0:f>
        <ns0:v>1</ns0:v>
      </ns0:c>
      <ns0:c r="D459">
        <ns0:f>COUNTIFS(Games_Raw!$K$2:$K$1232,"Yes",Games_Raw!$I$2:$I$1232,B459,Games_Raw!$J$2:$J$1232,A459)</ns0:f>
        <ns0:v>1</ns0:v>
      </ns0:c>
      <ns0:c r="E459" t="str">
        <ns0:f>C459&amp;"-"&amp;D459</ns0:f>
        <ns0:v>1-1</ns0:v>
      </ns0:c>
      <ns0:c r="F459">
        <ns0:f>COUNTIFS(Games_Raw!$K$2:$K$1232,"Yes",Games_Raw!$I$2:$I$1232,A459)</ns0:f>
        <ns0:v>37</ns0:v>
      </ns0:c>
      <ns0:c r="G459">
        <ns0:f>COUNTIFS(Games_Raw!$K$2:$K$1232,"Yes",Games_Raw!$J$2:$J$1232,A459)</ns0:f>
        <ns0:v>45</ns0:v>
      </ns0:c>
    </ns0:row>
    <ns0:row r="460">
      <ns0:c r="A460" t="inlineStr">
        <ns0:is>
          <ns0:t>Miami Heat</ns0:t>
        </ns0:is>
      </ns0:c>
      <ns0:c r="B460" t="inlineStr">
        <ns0:is>
          <ns0:t>Portland Trail Blazers</ns0:t>
        </ns0:is>
      </ns0:c>
      <ns0:c r="C460">
        <ns0:f>COUNTIFS(Games_Raw!$K$2:$K$1232,"Yes",Games_Raw!$I$2:$I$1232,A460,Games_Raw!$J$2:$J$1232,B460)</ns0:f>
        <ns0:v>1</ns0:v>
      </ns0:c>
      <ns0:c r="D460">
        <ns0:f>COUNTIFS(Games_Raw!$K$2:$K$1232,"Yes",Games_Raw!$I$2:$I$1232,B460,Games_Raw!$J$2:$J$1232,A460)</ns0:f>
        <ns0:v>1</ns0:v>
      </ns0:c>
      <ns0:c r="E460" t="str">
        <ns0:f>C460&amp;"-"&amp;D460</ns0:f>
        <ns0:v>1-1</ns0:v>
      </ns0:c>
      <ns0:c r="F460">
        <ns0:f>COUNTIFS(Games_Raw!$K$2:$K$1232,"Yes",Games_Raw!$I$2:$I$1232,A460)</ns0:f>
        <ns0:v>37</ns0:v>
      </ns0:c>
      <ns0:c r="G460">
        <ns0:f>COUNTIFS(Games_Raw!$K$2:$K$1232,"Yes",Games_Raw!$J$2:$J$1232,A460)</ns0:f>
        <ns0:v>45</ns0:v>
      </ns0:c>
    </ns0:row>
    <ns0:row r="461">
      <ns0:c r="A461" t="inlineStr">
        <ns0:is>
          <ns0:t>Miami Heat</ns0:t>
        </ns0:is>
      </ns0:c>
      <ns0:c r="B461" t="inlineStr">
        <ns0:is>
          <ns0:t>Sacramento Kings</ns0:t>
        </ns0:is>
      </ns0:c>
      <ns0:c r="C461">
        <ns0:f>COUNTIFS(Games_Raw!$K$2:$K$1232,"Yes",Games_Raw!$I$2:$I$1232,A461,Games_Raw!$J$2:$J$1232,B461)</ns0:f>
        <ns0:v>0</ns0:v>
      </ns0:c>
      <ns0:c r="D461">
        <ns0:f>COUNTIFS(Games_Raw!$K$2:$K$1232,"Yes",Games_Raw!$I$2:$I$1232,B461,Games_Raw!$J$2:$J$1232,A461)</ns0:f>
        <ns0:v>2</ns0:v>
      </ns0:c>
      <ns0:c r="E461" t="str">
        <ns0:f>C461&amp;"-"&amp;D461</ns0:f>
        <ns0:v>0-2</ns0:v>
      </ns0:c>
      <ns0:c r="F461">
        <ns0:f>COUNTIFS(Games_Raw!$K$2:$K$1232,"Yes",Games_Raw!$I$2:$I$1232,A461)</ns0:f>
        <ns0:v>37</ns0:v>
      </ns0:c>
      <ns0:c r="G461">
        <ns0:f>COUNTIFS(Games_Raw!$K$2:$K$1232,"Yes",Games_Raw!$J$2:$J$1232,A461)</ns0:f>
        <ns0:v>45</ns0:v>
      </ns0:c>
    </ns0:row>
    <ns0:row r="462">
      <ns0:c r="A462" t="inlineStr">
        <ns0:is>
          <ns0:t>Miami Heat</ns0:t>
        </ns0:is>
      </ns0:c>
      <ns0:c r="B462" t="inlineStr">
        <ns0:is>
          <ns0:t>San Antonio Spurs</ns0:t>
        </ns0:is>
      </ns0:c>
      <ns0:c r="C462">
        <ns0:f>COUNTIFS(Games_Raw!$K$2:$K$1232,"Yes",Games_Raw!$I$2:$I$1232,A462,Games_Raw!$J$2:$J$1232,B462)</ns0:f>
        <ns0:v>2</ns0:v>
      </ns0:c>
      <ns0:c r="D462">
        <ns0:f>COUNTIFS(Games_Raw!$K$2:$K$1232,"Yes",Games_Raw!$I$2:$I$1232,B462,Games_Raw!$J$2:$J$1232,A462)</ns0:f>
        <ns0:v>0</ns0:v>
      </ns0:c>
      <ns0:c r="E462" t="str">
        <ns0:f>C462&amp;"-"&amp;D462</ns0:f>
        <ns0:v>2-0</ns0:v>
      </ns0:c>
      <ns0:c r="F462">
        <ns0:f>COUNTIFS(Games_Raw!$K$2:$K$1232,"Yes",Games_Raw!$I$2:$I$1232,A462)</ns0:f>
        <ns0:v>37</ns0:v>
      </ns0:c>
      <ns0:c r="G462">
        <ns0:f>COUNTIFS(Games_Raw!$K$2:$K$1232,"Yes",Games_Raw!$J$2:$J$1232,A462)</ns0:f>
        <ns0:v>45</ns0:v>
      </ns0:c>
    </ns0:row>
    <ns0:row r="463">
      <ns0:c r="A463" t="inlineStr">
        <ns0:is>
          <ns0:t>Miami Heat</ns0:t>
        </ns0:is>
      </ns0:c>
      <ns0:c r="B463" t="inlineStr">
        <ns0:is>
          <ns0:t>Toronto Raptors</ns0:t>
        </ns0:is>
      </ns0:c>
      <ns0:c r="C463">
        <ns0:f>COUNTIFS(Games_Raw!$K$2:$K$1232,"Yes",Games_Raw!$I$2:$I$1232,A463,Games_Raw!$J$2:$J$1232,B463)</ns0:f>
        <ns0:v>3</ns0:v>
      </ns0:c>
      <ns0:c r="D463">
        <ns0:f>COUNTIFS(Games_Raw!$K$2:$K$1232,"Yes",Games_Raw!$I$2:$I$1232,B463,Games_Raw!$J$2:$J$1232,A463)</ns0:f>
        <ns0:v>1</ns0:v>
      </ns0:c>
      <ns0:c r="E463" t="str">
        <ns0:f>C463&amp;"-"&amp;D463</ns0:f>
        <ns0:v>3-1</ns0:v>
      </ns0:c>
      <ns0:c r="F463">
        <ns0:f>COUNTIFS(Games_Raw!$K$2:$K$1232,"Yes",Games_Raw!$I$2:$I$1232,A463)</ns0:f>
        <ns0:v>37</ns0:v>
      </ns0:c>
      <ns0:c r="G463">
        <ns0:f>COUNTIFS(Games_Raw!$K$2:$K$1232,"Yes",Games_Raw!$J$2:$J$1232,A463)</ns0:f>
        <ns0:v>45</ns0:v>
      </ns0:c>
    </ns0:row>
    <ns0:row r="464">
      <ns0:c r="A464" t="inlineStr">
        <ns0:is>
          <ns0:t>Miami Heat</ns0:t>
        </ns0:is>
      </ns0:c>
      <ns0:c r="B464" t="inlineStr">
        <ns0:is>
          <ns0:t>Utah Jazz</ns0:t>
        </ns0:is>
      </ns0:c>
      <ns0:c r="C464">
        <ns0:f>COUNTIFS(Games_Raw!$K$2:$K$1232,"Yes",Games_Raw!$I$2:$I$1232,A464,Games_Raw!$J$2:$J$1232,B464)</ns0:f>
        <ns0:v>1</ns0:v>
      </ns0:c>
      <ns0:c r="D464">
        <ns0:f>COUNTIFS(Games_Raw!$K$2:$K$1232,"Yes",Games_Raw!$I$2:$I$1232,B464,Games_Raw!$J$2:$J$1232,A464)</ns0:f>
        <ns0:v>1</ns0:v>
      </ns0:c>
      <ns0:c r="E464" t="str">
        <ns0:f>C464&amp;"-"&amp;D464</ns0:f>
        <ns0:v>1-1</ns0:v>
      </ns0:c>
      <ns0:c r="F464">
        <ns0:f>COUNTIFS(Games_Raw!$K$2:$K$1232,"Yes",Games_Raw!$I$2:$I$1232,A464)</ns0:f>
        <ns0:v>37</ns0:v>
      </ns0:c>
      <ns0:c r="G464">
        <ns0:f>COUNTIFS(Games_Raw!$K$2:$K$1232,"Yes",Games_Raw!$J$2:$J$1232,A464)</ns0:f>
        <ns0:v>45</ns0:v>
      </ns0:c>
    </ns0:row>
    <ns0:row r="465">
      <ns0:c r="A465" t="inlineStr">
        <ns0:is>
          <ns0:t>Miami Heat</ns0:t>
        </ns0:is>
      </ns0:c>
      <ns0:c r="B465" t="inlineStr">
        <ns0:is>
          <ns0:t>Washington Wizards</ns0:t>
        </ns0:is>
      </ns0:c>
      <ns0:c r="C465">
        <ns0:f>COUNTIFS(Games_Raw!$K$2:$K$1232,"Yes",Games_Raw!$I$2:$I$1232,A465,Games_Raw!$J$2:$J$1232,B465)</ns0:f>
        <ns0:v>3</ns0:v>
      </ns0:c>
      <ns0:c r="D465">
        <ns0:f>COUNTIFS(Games_Raw!$K$2:$K$1232,"Yes",Games_Raw!$I$2:$I$1232,B465,Games_Raw!$J$2:$J$1232,A465)</ns0:f>
        <ns0:v>1</ns0:v>
      </ns0:c>
      <ns0:c r="E465" t="str">
        <ns0:f>C465&amp;"-"&amp;D465</ns0:f>
        <ns0:v>3-1</ns0:v>
      </ns0:c>
      <ns0:c r="F465">
        <ns0:f>COUNTIFS(Games_Raw!$K$2:$K$1232,"Yes",Games_Raw!$I$2:$I$1232,A465)</ns0:f>
        <ns0:v>37</ns0:v>
      </ns0:c>
      <ns0:c r="G465">
        <ns0:f>COUNTIFS(Games_Raw!$K$2:$K$1232,"Yes",Games_Raw!$J$2:$J$1232,A465)</ns0:f>
        <ns0:v>45</ns0:v>
      </ns0:c>
    </ns0:row>
    <ns0:row r="466">
      <ns0:c r="A466" t="inlineStr">
        <ns0:is>
          <ns0:t>Milwaukee Bucks</ns0:t>
        </ns0:is>
      </ns0:c>
      <ns0:c r="B466" t="inlineStr">
        <ns0:is>
          <ns0:t>Atlanta Hawks</ns0:t>
        </ns0:is>
      </ns0:c>
      <ns0:c r="C466">
        <ns0:f>COUNTIFS(Games_Raw!$K$2:$K$1232,"Yes",Games_Raw!$I$2:$I$1232,A466,Games_Raw!$J$2:$J$1232,B466)</ns0:f>
        <ns0:v>2</ns0:v>
      </ns0:c>
      <ns0:c r="D466">
        <ns0:f>COUNTIFS(Games_Raw!$K$2:$K$1232,"Yes",Games_Raw!$I$2:$I$1232,B466,Games_Raw!$J$2:$J$1232,A466)</ns0:f>
        <ns0:v>3</ns0:v>
      </ns0:c>
      <ns0:c r="E466" t="str">
        <ns0:f>C466&amp;"-"&amp;D466</ns0:f>
        <ns0:v>2-3</ns0:v>
      </ns0:c>
      <ns0:c r="F466">
        <ns0:f>COUNTIFS(Games_Raw!$K$2:$K$1232,"Yes",Games_Raw!$I$2:$I$1232,A466)</ns0:f>
        <ns0:v>48</ns0:v>
      </ns0:c>
      <ns0:c r="G466">
        <ns0:f>COUNTIFS(Games_Raw!$K$2:$K$1232,"Yes",Games_Raw!$J$2:$J$1232,A466)</ns0:f>
        <ns0:v>34</ns0:v>
      </ns0:c>
    </ns0:row>
    <ns0:row r="467">
      <ns0:c r="A467" t="inlineStr">
        <ns0:is>
          <ns0:t>Milwaukee Bucks</ns0:t>
        </ns0:is>
      </ns0:c>
      <ns0:c r="B467" t="inlineStr">
        <ns0:is>
          <ns0:t>Boston Celtics</ns0:t>
        </ns0:is>
      </ns0:c>
      <ns0:c r="C467">
        <ns0:f>COUNTIFS(Games_Raw!$K$2:$K$1232,"Yes",Games_Raw!$I$2:$I$1232,A467,Games_Raw!$J$2:$J$1232,B467)</ns0:f>
        <ns0:v>0</ns0:v>
      </ns0:c>
      <ns0:c r="D467">
        <ns0:f>COUNTIFS(Games_Raw!$K$2:$K$1232,"Yes",Games_Raw!$I$2:$I$1232,B467,Games_Raw!$J$2:$J$1232,A467)</ns0:f>
        <ns0:v>3</ns0:v>
      </ns0:c>
      <ns0:c r="E467" t="str">
        <ns0:f>C467&amp;"-"&amp;D467</ns0:f>
        <ns0:v>0-3</ns0:v>
      </ns0:c>
      <ns0:c r="F467">
        <ns0:f>COUNTIFS(Games_Raw!$K$2:$K$1232,"Yes",Games_Raw!$I$2:$I$1232,A467)</ns0:f>
        <ns0:v>48</ns0:v>
      </ns0:c>
      <ns0:c r="G467">
        <ns0:f>COUNTIFS(Games_Raw!$K$2:$K$1232,"Yes",Games_Raw!$J$2:$J$1232,A467)</ns0:f>
        <ns0:v>34</ns0:v>
      </ns0:c>
    </ns0:row>
    <ns0:row r="468">
      <ns0:c r="A468" t="inlineStr">
        <ns0:is>
          <ns0:t>Milwaukee Bucks</ns0:t>
        </ns0:is>
      </ns0:c>
      <ns0:c r="B468" t="inlineStr">
        <ns0:is>
          <ns0:t>Brooklyn Nets</ns0:t>
        </ns0:is>
      </ns0:c>
      <ns0:c r="C468">
        <ns0:f>COUNTIFS(Games_Raw!$K$2:$K$1232,"Yes",Games_Raw!$I$2:$I$1232,A468,Games_Raw!$J$2:$J$1232,B468)</ns0:f>
        <ns0:v>1</ns0:v>
      </ns0:c>
      <ns0:c r="D468">
        <ns0:f>COUNTIFS(Games_Raw!$K$2:$K$1232,"Yes",Games_Raw!$I$2:$I$1232,B468,Games_Raw!$J$2:$J$1232,A468)</ns0:f>
        <ns0:v>3</ns0:v>
      </ns0:c>
      <ns0:c r="E468" t="str">
        <ns0:f>C468&amp;"-"&amp;D468</ns0:f>
        <ns0:v>1-3</ns0:v>
      </ns0:c>
      <ns0:c r="F468">
        <ns0:f>COUNTIFS(Games_Raw!$K$2:$K$1232,"Yes",Games_Raw!$I$2:$I$1232,A468)</ns0:f>
        <ns0:v>48</ns0:v>
      </ns0:c>
      <ns0:c r="G468">
        <ns0:f>COUNTIFS(Games_Raw!$K$2:$K$1232,"Yes",Games_Raw!$J$2:$J$1232,A468)</ns0:f>
        <ns0:v>34</ns0:v>
      </ns0:c>
    </ns0:row>
    <ns0:row r="469">
      <ns0:c r="A469" t="inlineStr">
        <ns0:is>
          <ns0:t>Milwaukee Bucks</ns0:t>
        </ns0:is>
      </ns0:c>
      <ns0:c r="B469" t="inlineStr">
        <ns0:is>
          <ns0:t>Charlotte Hornets</ns0:t>
        </ns0:is>
      </ns0:c>
      <ns0:c r="C469">
        <ns0:f>COUNTIFS(Games_Raw!$K$2:$K$1232,"Yes",Games_Raw!$I$2:$I$1232,A469,Games_Raw!$J$2:$J$1232,B469)</ns0:f>
        <ns0:v>2</ns0:v>
      </ns0:c>
      <ns0:c r="D469">
        <ns0:f>COUNTIFS(Games_Raw!$K$2:$K$1232,"Yes",Games_Raw!$I$2:$I$1232,B469,Games_Raw!$J$2:$J$1232,A469)</ns0:f>
        <ns0:v>1</ns0:v>
      </ns0:c>
      <ns0:c r="E469" t="str">
        <ns0:f>C469&amp;"-"&amp;D469</ns0:f>
        <ns0:v>2-1</ns0:v>
      </ns0:c>
      <ns0:c r="F469">
        <ns0:f>COUNTIFS(Games_Raw!$K$2:$K$1232,"Yes",Games_Raw!$I$2:$I$1232,A469)</ns0:f>
        <ns0:v>48</ns0:v>
      </ns0:c>
      <ns0:c r="G469">
        <ns0:f>COUNTIFS(Games_Raw!$K$2:$K$1232,"Yes",Games_Raw!$J$2:$J$1232,A469)</ns0:f>
        <ns0:v>34</ns0:v>
      </ns0:c>
    </ns0:row>
    <ns0:row r="470">
      <ns0:c r="A470" t="inlineStr">
        <ns0:is>
          <ns0:t>Milwaukee Bucks</ns0:t>
        </ns0:is>
      </ns0:c>
      <ns0:c r="B470" t="inlineStr">
        <ns0:is>
          <ns0:t>Chicago Bulls</ns0:t>
        </ns0:is>
      </ns0:c>
      <ns0:c r="C470">
        <ns0:f>COUNTIFS(Games_Raw!$K$2:$K$1232,"Yes",Games_Raw!$I$2:$I$1232,A470,Games_Raw!$J$2:$J$1232,B470)</ns0:f>
        <ns0:v>2</ns0:v>
      </ns0:c>
      <ns0:c r="D470">
        <ns0:f>COUNTIFS(Games_Raw!$K$2:$K$1232,"Yes",Games_Raw!$I$2:$I$1232,B470,Games_Raw!$J$2:$J$1232,A470)</ns0:f>
        <ns0:v>2</ns0:v>
      </ns0:c>
      <ns0:c r="E470" t="str">
        <ns0:f>C470&amp;"-"&amp;D470</ns0:f>
        <ns0:v>2-2</ns0:v>
      </ns0:c>
      <ns0:c r="F470">
        <ns0:f>COUNTIFS(Games_Raw!$K$2:$K$1232,"Yes",Games_Raw!$I$2:$I$1232,A470)</ns0:f>
        <ns0:v>48</ns0:v>
      </ns0:c>
      <ns0:c r="G470">
        <ns0:f>COUNTIFS(Games_Raw!$K$2:$K$1232,"Yes",Games_Raw!$J$2:$J$1232,A470)</ns0:f>
        <ns0:v>34</ns0:v>
      </ns0:c>
    </ns0:row>
    <ns0:row r="471">
      <ns0:c r="A471" t="inlineStr">
        <ns0:is>
          <ns0:t>Milwaukee Bucks</ns0:t>
        </ns0:is>
      </ns0:c>
      <ns0:c r="B471" t="inlineStr">
        <ns0:is>
          <ns0:t>Cleveland Cavaliers</ns0:t>
        </ns0:is>
      </ns0:c>
      <ns0:c r="C471">
        <ns0:f>COUNTIFS(Games_Raw!$K$2:$K$1232,"Yes",Games_Raw!$I$2:$I$1232,A471,Games_Raw!$J$2:$J$1232,B471)</ns0:f>
        <ns0:v>0</ns0:v>
      </ns0:c>
      <ns0:c r="D471">
        <ns0:f>COUNTIFS(Games_Raw!$K$2:$K$1232,"Yes",Games_Raw!$I$2:$I$1232,B471,Games_Raw!$J$2:$J$1232,A471)</ns0:f>
        <ns0:v>4</ns0:v>
      </ns0:c>
      <ns0:c r="E471" t="str">
        <ns0:f>C471&amp;"-"&amp;D471</ns0:f>
        <ns0:v>0-4</ns0:v>
      </ns0:c>
      <ns0:c r="F471">
        <ns0:f>COUNTIFS(Games_Raw!$K$2:$K$1232,"Yes",Games_Raw!$I$2:$I$1232,A471)</ns0:f>
        <ns0:v>48</ns0:v>
      </ns0:c>
      <ns0:c r="G471">
        <ns0:f>COUNTIFS(Games_Raw!$K$2:$K$1232,"Yes",Games_Raw!$J$2:$J$1232,A471)</ns0:f>
        <ns0:v>34</ns0:v>
      </ns0:c>
    </ns0:row>
    <ns0:row r="472">
      <ns0:c r="A472" t="inlineStr">
        <ns0:is>
          <ns0:t>Milwaukee Bucks</ns0:t>
        </ns0:is>
      </ns0:c>
      <ns0:c r="B472" t="inlineStr">
        <ns0:is>
          <ns0:t>Dallas Mavericks</ns0:t>
        </ns0:is>
      </ns0:c>
      <ns0:c r="C472">
        <ns0:f>COUNTIFS(Games_Raw!$K$2:$K$1232,"Yes",Games_Raw!$I$2:$I$1232,A472,Games_Raw!$J$2:$J$1232,B472)</ns0:f>
        <ns0:v>2</ns0:v>
      </ns0:c>
      <ns0:c r="D472">
        <ns0:f>COUNTIFS(Games_Raw!$K$2:$K$1232,"Yes",Games_Raw!$I$2:$I$1232,B472,Games_Raw!$J$2:$J$1232,A472)</ns0:f>
        <ns0:v>0</ns0:v>
      </ns0:c>
      <ns0:c r="E472" t="str">
        <ns0:f>C472&amp;"-"&amp;D472</ns0:f>
        <ns0:v>2-0</ns0:v>
      </ns0:c>
      <ns0:c r="F472">
        <ns0:f>COUNTIFS(Games_Raw!$K$2:$K$1232,"Yes",Games_Raw!$I$2:$I$1232,A472)</ns0:f>
        <ns0:v>48</ns0:v>
      </ns0:c>
      <ns0:c r="G472">
        <ns0:f>COUNTIFS(Games_Raw!$K$2:$K$1232,"Yes",Games_Raw!$J$2:$J$1232,A472)</ns0:f>
        <ns0:v>34</ns0:v>
      </ns0:c>
    </ns0:row>
    <ns0:row r="473">
      <ns0:c r="A473" t="inlineStr">
        <ns0:is>
          <ns0:t>Milwaukee Bucks</ns0:t>
        </ns0:is>
      </ns0:c>
      <ns0:c r="B473" t="inlineStr">
        <ns0:is>
          <ns0:t>Denver Nuggets</ns0:t>
        </ns0:is>
      </ns0:c>
      <ns0:c r="C473">
        <ns0:f>COUNTIFS(Games_Raw!$K$2:$K$1232,"Yes",Games_Raw!$I$2:$I$1232,A473,Games_Raw!$J$2:$J$1232,B473)</ns0:f>
        <ns0:v>1</ns0:v>
      </ns0:c>
      <ns0:c r="D473">
        <ns0:f>COUNTIFS(Games_Raw!$K$2:$K$1232,"Yes",Games_Raw!$I$2:$I$1232,B473,Games_Raw!$J$2:$J$1232,A473)</ns0:f>
        <ns0:v>1</ns0:v>
      </ns0:c>
      <ns0:c r="E473" t="str">
        <ns0:f>C473&amp;"-"&amp;D473</ns0:f>
        <ns0:v>1-1</ns0:v>
      </ns0:c>
      <ns0:c r="F473">
        <ns0:f>COUNTIFS(Games_Raw!$K$2:$K$1232,"Yes",Games_Raw!$I$2:$I$1232,A473)</ns0:f>
        <ns0:v>48</ns0:v>
      </ns0:c>
      <ns0:c r="G473">
        <ns0:f>COUNTIFS(Games_Raw!$K$2:$K$1232,"Yes",Games_Raw!$J$2:$J$1232,A473)</ns0:f>
        <ns0:v>34</ns0:v>
      </ns0:c>
    </ns0:row>
    <ns0:row r="474">
      <ns0:c r="A474" t="inlineStr">
        <ns0:is>
          <ns0:t>Milwaukee Bucks</ns0:t>
        </ns0:is>
      </ns0:c>
      <ns0:c r="B474" t="inlineStr">
        <ns0:is>
          <ns0:t>Detroit Pistons</ns0:t>
        </ns0:is>
      </ns0:c>
      <ns0:c r="C474">
        <ns0:f>COUNTIFS(Games_Raw!$K$2:$K$1232,"Yes",Games_Raw!$I$2:$I$1232,A474,Games_Raw!$J$2:$J$1232,B474)</ns0:f>
        <ns0:v>4</ns0:v>
      </ns0:c>
      <ns0:c r="D474">
        <ns0:f>COUNTIFS(Games_Raw!$K$2:$K$1232,"Yes",Games_Raw!$I$2:$I$1232,B474,Games_Raw!$J$2:$J$1232,A474)</ns0:f>
        <ns0:v>0</ns0:v>
      </ns0:c>
      <ns0:c r="E474" t="str">
        <ns0:f>C474&amp;"-"&amp;D474</ns0:f>
        <ns0:v>4-0</ns0:v>
      </ns0:c>
      <ns0:c r="F474">
        <ns0:f>COUNTIFS(Games_Raw!$K$2:$K$1232,"Yes",Games_Raw!$I$2:$I$1232,A474)</ns0:f>
        <ns0:v>48</ns0:v>
      </ns0:c>
      <ns0:c r="G474">
        <ns0:f>COUNTIFS(Games_Raw!$K$2:$K$1232,"Yes",Games_Raw!$J$2:$J$1232,A474)</ns0:f>
        <ns0:v>34</ns0:v>
      </ns0:c>
    </ns0:row>
    <ns0:row r="475">
      <ns0:c r="A475" t="inlineStr">
        <ns0:is>
          <ns0:t>Milwaukee Bucks</ns0:t>
        </ns0:is>
      </ns0:c>
      <ns0:c r="B475" t="inlineStr">
        <ns0:is>
          <ns0:t>Golden State Warriors</ns0:t>
        </ns0:is>
      </ns0:c>
      <ns0:c r="C475">
        <ns0:f>COUNTIFS(Games_Raw!$K$2:$K$1232,"Yes",Games_Raw!$I$2:$I$1232,A475,Games_Raw!$J$2:$J$1232,B475)</ns0:f>
        <ns0:v>0</ns0:v>
      </ns0:c>
      <ns0:c r="D475">
        <ns0:f>COUNTIFS(Games_Raw!$K$2:$K$1232,"Yes",Games_Raw!$I$2:$I$1232,B475,Games_Raw!$J$2:$J$1232,A475)</ns0:f>
        <ns0:v>2</ns0:v>
      </ns0:c>
      <ns0:c r="E475" t="str">
        <ns0:f>C475&amp;"-"&amp;D475</ns0:f>
        <ns0:v>0-2</ns0:v>
      </ns0:c>
      <ns0:c r="F475">
        <ns0:f>COUNTIFS(Games_Raw!$K$2:$K$1232,"Yes",Games_Raw!$I$2:$I$1232,A475)</ns0:f>
        <ns0:v>48</ns0:v>
      </ns0:c>
      <ns0:c r="G475">
        <ns0:f>COUNTIFS(Games_Raw!$K$2:$K$1232,"Yes",Games_Raw!$J$2:$J$1232,A475)</ns0:f>
        <ns0:v>34</ns0:v>
      </ns0:c>
    </ns0:row>
    <ns0:row r="476">
      <ns0:c r="A476" t="inlineStr">
        <ns0:is>
          <ns0:t>Milwaukee Bucks</ns0:t>
        </ns0:is>
      </ns0:c>
      <ns0:c r="B476" t="inlineStr">
        <ns0:is>
          <ns0:t>Houston Rockets</ns0:t>
        </ns0:is>
      </ns0:c>
      <ns0:c r="C476">
        <ns0:f>COUNTIFS(Games_Raw!$K$2:$K$1232,"Yes",Games_Raw!$I$2:$I$1232,A476,Games_Raw!$J$2:$J$1232,B476)</ns0:f>
        <ns0:v>1</ns0:v>
      </ns0:c>
      <ns0:c r="D476">
        <ns0:f>COUNTIFS(Games_Raw!$K$2:$K$1232,"Yes",Games_Raw!$I$2:$I$1232,B476,Games_Raw!$J$2:$J$1232,A476)</ns0:f>
        <ns0:v>1</ns0:v>
      </ns0:c>
      <ns0:c r="E476" t="str">
        <ns0:f>C476&amp;"-"&amp;D476</ns0:f>
        <ns0:v>1-1</ns0:v>
      </ns0:c>
      <ns0:c r="F476">
        <ns0:f>COUNTIFS(Games_Raw!$K$2:$K$1232,"Yes",Games_Raw!$I$2:$I$1232,A476)</ns0:f>
        <ns0:v>48</ns0:v>
      </ns0:c>
      <ns0:c r="G476">
        <ns0:f>COUNTIFS(Games_Raw!$K$2:$K$1232,"Yes",Games_Raw!$J$2:$J$1232,A476)</ns0:f>
        <ns0:v>34</ns0:v>
      </ns0:c>
    </ns0:row>
    <ns0:row r="477">
      <ns0:c r="A477" t="inlineStr">
        <ns0:is>
          <ns0:t>Milwaukee Bucks</ns0:t>
        </ns0:is>
      </ns0:c>
      <ns0:c r="B477" t="inlineStr">
        <ns0:is>
          <ns0:t>Indiana Pacers</ns0:t>
        </ns0:is>
      </ns0:c>
      <ns0:c r="C477">
        <ns0:f>COUNTIFS(Games_Raw!$K$2:$K$1232,"Yes",Games_Raw!$I$2:$I$1232,A477,Games_Raw!$J$2:$J$1232,B477)</ns0:f>
        <ns0:v>3</ns0:v>
      </ns0:c>
      <ns0:c r="D477">
        <ns0:f>COUNTIFS(Games_Raw!$K$2:$K$1232,"Yes",Games_Raw!$I$2:$I$1232,B477,Games_Raw!$J$2:$J$1232,A477)</ns0:f>
        <ns0:v>1</ns0:v>
      </ns0:c>
      <ns0:c r="E477" t="str">
        <ns0:f>C477&amp;"-"&amp;D477</ns0:f>
        <ns0:v>3-1</ns0:v>
      </ns0:c>
      <ns0:c r="F477">
        <ns0:f>COUNTIFS(Games_Raw!$K$2:$K$1232,"Yes",Games_Raw!$I$2:$I$1232,A477)</ns0:f>
        <ns0:v>48</ns0:v>
      </ns0:c>
      <ns0:c r="G477">
        <ns0:f>COUNTIFS(Games_Raw!$K$2:$K$1232,"Yes",Games_Raw!$J$2:$J$1232,A477)</ns0:f>
        <ns0:v>34</ns0:v>
      </ns0:c>
    </ns0:row>
    <ns0:row r="478">
      <ns0:c r="A478" t="inlineStr">
        <ns0:is>
          <ns0:t>Milwaukee Bucks</ns0:t>
        </ns0:is>
      </ns0:c>
      <ns0:c r="B478" t="inlineStr">
        <ns0:is>
          <ns0:t>LA Clippers</ns0:t>
        </ns0:is>
      </ns0:c>
      <ns0:c r="C478">
        <ns0:f>COUNTIFS(Games_Raw!$K$2:$K$1232,"Yes",Games_Raw!$I$2:$I$1232,A478,Games_Raw!$J$2:$J$1232,B478)</ns0:f>
        <ns0:v>1</ns0:v>
      </ns0:c>
      <ns0:c r="D478">
        <ns0:f>COUNTIFS(Games_Raw!$K$2:$K$1232,"Yes",Games_Raw!$I$2:$I$1232,B478,Games_Raw!$J$2:$J$1232,A478)</ns0:f>
        <ns0:v>1</ns0:v>
      </ns0:c>
      <ns0:c r="E478" t="str">
        <ns0:f>C478&amp;"-"&amp;D478</ns0:f>
        <ns0:v>1-1</ns0:v>
      </ns0:c>
      <ns0:c r="F478">
        <ns0:f>COUNTIFS(Games_Raw!$K$2:$K$1232,"Yes",Games_Raw!$I$2:$I$1232,A478)</ns0:f>
        <ns0:v>48</ns0:v>
      </ns0:c>
      <ns0:c r="G478">
        <ns0:f>COUNTIFS(Games_Raw!$K$2:$K$1232,"Yes",Games_Raw!$J$2:$J$1232,A478)</ns0:f>
        <ns0:v>34</ns0:v>
      </ns0:c>
    </ns0:row>
    <ns0:row r="479">
      <ns0:c r="A479" t="inlineStr">
        <ns0:is>
          <ns0:t>Milwaukee Bucks</ns0:t>
        </ns0:is>
      </ns0:c>
      <ns0:c r="B479" t="inlineStr">
        <ns0:is>
          <ns0:t>Los Angeles Lakers</ns0:t>
        </ns0:is>
      </ns0:c>
      <ns0:c r="C479">
        <ns0:f>COUNTIFS(Games_Raw!$K$2:$K$1232,"Yes",Games_Raw!$I$2:$I$1232,A479,Games_Raw!$J$2:$J$1232,B479)</ns0:f>
        <ns0:v>2</ns0:v>
      </ns0:c>
      <ns0:c r="D479">
        <ns0:f>COUNTIFS(Games_Raw!$K$2:$K$1232,"Yes",Games_Raw!$I$2:$I$1232,B479,Games_Raw!$J$2:$J$1232,A479)</ns0:f>
        <ns0:v>0</ns0:v>
      </ns0:c>
      <ns0:c r="E479" t="str">
        <ns0:f>C479&amp;"-"&amp;D479</ns0:f>
        <ns0:v>2-0</ns0:v>
      </ns0:c>
      <ns0:c r="F479">
        <ns0:f>COUNTIFS(Games_Raw!$K$2:$K$1232,"Yes",Games_Raw!$I$2:$I$1232,A479)</ns0:f>
        <ns0:v>48</ns0:v>
      </ns0:c>
      <ns0:c r="G479">
        <ns0:f>COUNTIFS(Games_Raw!$K$2:$K$1232,"Yes",Games_Raw!$J$2:$J$1232,A479)</ns0:f>
        <ns0:v>34</ns0:v>
      </ns0:c>
    </ns0:row>
    <ns0:row r="480">
      <ns0:c r="A480" t="inlineStr">
        <ns0:is>
          <ns0:t>Milwaukee Bucks</ns0:t>
        </ns0:is>
      </ns0:c>
      <ns0:c r="B480" t="inlineStr">
        <ns0:is>
          <ns0:t>Memphis Grizzlies</ns0:t>
        </ns0:is>
      </ns0:c>
      <ns0:c r="C480">
        <ns0:f>COUNTIFS(Games_Raw!$K$2:$K$1232,"Yes",Games_Raw!$I$2:$I$1232,A480,Games_Raw!$J$2:$J$1232,B480)</ns0:f>
        <ns0:v>0</ns0:v>
      </ns0:c>
      <ns0:c r="D480">
        <ns0:f>COUNTIFS(Games_Raw!$K$2:$K$1232,"Yes",Games_Raw!$I$2:$I$1232,B480,Games_Raw!$J$2:$J$1232,A480)</ns0:f>
        <ns0:v>2</ns0:v>
      </ns0:c>
      <ns0:c r="E480" t="str">
        <ns0:f>C480&amp;"-"&amp;D480</ns0:f>
        <ns0:v>0-2</ns0:v>
      </ns0:c>
      <ns0:c r="F480">
        <ns0:f>COUNTIFS(Games_Raw!$K$2:$K$1232,"Yes",Games_Raw!$I$2:$I$1232,A480)</ns0:f>
        <ns0:v>48</ns0:v>
      </ns0:c>
      <ns0:c r="G480">
        <ns0:f>COUNTIFS(Games_Raw!$K$2:$K$1232,"Yes",Games_Raw!$J$2:$J$1232,A480)</ns0:f>
        <ns0:v>34</ns0:v>
      </ns0:c>
    </ns0:row>
    <ns0:row r="481">
      <ns0:c r="A481" t="inlineStr">
        <ns0:is>
          <ns0:t>Milwaukee Bucks</ns0:t>
        </ns0:is>
      </ns0:c>
      <ns0:c r="B481" t="inlineStr">
        <ns0:is>
          <ns0:t>Miami Heat</ns0:t>
        </ns0:is>
      </ns0:c>
      <ns0:c r="C481">
        <ns0:f>COUNTIFS(Games_Raw!$K$2:$K$1232,"Yes",Games_Raw!$I$2:$I$1232,A481,Games_Raw!$J$2:$J$1232,B481)</ns0:f>
        <ns0:v>4</ns0:v>
      </ns0:c>
      <ns0:c r="D481">
        <ns0:f>COUNTIFS(Games_Raw!$K$2:$K$1232,"Yes",Games_Raw!$I$2:$I$1232,B481,Games_Raw!$J$2:$J$1232,A481)</ns0:f>
        <ns0:v>0</ns0:v>
      </ns0:c>
      <ns0:c r="E481" t="str">
        <ns0:f>C481&amp;"-"&amp;D481</ns0:f>
        <ns0:v>4-0</ns0:v>
      </ns0:c>
      <ns0:c r="F481">
        <ns0:f>COUNTIFS(Games_Raw!$K$2:$K$1232,"Yes",Games_Raw!$I$2:$I$1232,A481)</ns0:f>
        <ns0:v>48</ns0:v>
      </ns0:c>
      <ns0:c r="G481">
        <ns0:f>COUNTIFS(Games_Raw!$K$2:$K$1232,"Yes",Games_Raw!$J$2:$J$1232,A481)</ns0:f>
        <ns0:v>34</ns0:v>
      </ns0:c>
    </ns0:row>
    <ns0:row r="482">
      <ns0:c r="A482" t="inlineStr">
        <ns0:is>
          <ns0:t>Milwaukee Bucks</ns0:t>
        </ns0:is>
      </ns0:c>
      <ns0:c r="B482" t="inlineStr">
        <ns0:is>
          <ns0:t>Minnesota Timberwolves</ns0:t>
        </ns0:is>
      </ns0:c>
      <ns0:c r="C482">
        <ns0:f>COUNTIFS(Games_Raw!$K$2:$K$1232,"Yes",Games_Raw!$I$2:$I$1232,A482,Games_Raw!$J$2:$J$1232,B482)</ns0:f>
        <ns0:v>2</ns0:v>
      </ns0:c>
      <ns0:c r="D482">
        <ns0:f>COUNTIFS(Games_Raw!$K$2:$K$1232,"Yes",Games_Raw!$I$2:$I$1232,B482,Games_Raw!$J$2:$J$1232,A482)</ns0:f>
        <ns0:v>0</ns0:v>
      </ns0:c>
      <ns0:c r="E482" t="str">
        <ns0:f>C482&amp;"-"&amp;D482</ns0:f>
        <ns0:v>2-0</ns0:v>
      </ns0:c>
      <ns0:c r="F482">
        <ns0:f>COUNTIFS(Games_Raw!$K$2:$K$1232,"Yes",Games_Raw!$I$2:$I$1232,A482)</ns0:f>
        <ns0:v>48</ns0:v>
      </ns0:c>
      <ns0:c r="G482">
        <ns0:f>COUNTIFS(Games_Raw!$K$2:$K$1232,"Yes",Games_Raw!$J$2:$J$1232,A482)</ns0:f>
        <ns0:v>34</ns0:v>
      </ns0:c>
    </ns0:row>
    <ns0:row r="483">
      <ns0:c r="A483" t="inlineStr">
        <ns0:is>
          <ns0:t>Milwaukee Bucks</ns0:t>
        </ns0:is>
      </ns0:c>
      <ns0:c r="B483" t="inlineStr">
        <ns0:is>
          <ns0:t>New Orleans Pelicans</ns0:t>
        </ns0:is>
      </ns0:c>
      <ns0:c r="C483">
        <ns0:f>COUNTIFS(Games_Raw!$K$2:$K$1232,"Yes",Games_Raw!$I$2:$I$1232,A483,Games_Raw!$J$2:$J$1232,B483)</ns0:f>
        <ns0:v>2</ns0:v>
      </ns0:c>
      <ns0:c r="D483">
        <ns0:f>COUNTIFS(Games_Raw!$K$2:$K$1232,"Yes",Games_Raw!$I$2:$I$1232,B483,Games_Raw!$J$2:$J$1232,A483)</ns0:f>
        <ns0:v>0</ns0:v>
      </ns0:c>
      <ns0:c r="E483" t="str">
        <ns0:f>C483&amp;"-"&amp;D483</ns0:f>
        <ns0:v>2-0</ns0:v>
      </ns0:c>
      <ns0:c r="F483">
        <ns0:f>COUNTIFS(Games_Raw!$K$2:$K$1232,"Yes",Games_Raw!$I$2:$I$1232,A483)</ns0:f>
        <ns0:v>48</ns0:v>
      </ns0:c>
      <ns0:c r="G483">
        <ns0:f>COUNTIFS(Games_Raw!$K$2:$K$1232,"Yes",Games_Raw!$J$2:$J$1232,A483)</ns0:f>
        <ns0:v>34</ns0:v>
      </ns0:c>
    </ns0:row>
    <ns0:row r="484">
      <ns0:c r="A484" t="inlineStr">
        <ns0:is>
          <ns0:t>Milwaukee Bucks</ns0:t>
        </ns0:is>
      </ns0:c>
      <ns0:c r="B484" t="inlineStr">
        <ns0:is>
          <ns0:t>New York Knicks</ns0:t>
        </ns0:is>
      </ns0:c>
      <ns0:c r="C484">
        <ns0:f>COUNTIFS(Games_Raw!$K$2:$K$1232,"Yes",Games_Raw!$I$2:$I$1232,A484,Games_Raw!$J$2:$J$1232,B484)</ns0:f>
        <ns0:v>0</ns0:v>
      </ns0:c>
      <ns0:c r="D484">
        <ns0:f>COUNTIFS(Games_Raw!$K$2:$K$1232,"Yes",Games_Raw!$I$2:$I$1232,B484,Games_Raw!$J$2:$J$1232,A484)</ns0:f>
        <ns0:v>3</ns0:v>
      </ns0:c>
      <ns0:c r="E484" t="str">
        <ns0:f>C484&amp;"-"&amp;D484</ns0:f>
        <ns0:v>0-3</ns0:v>
      </ns0:c>
      <ns0:c r="F484">
        <ns0:f>COUNTIFS(Games_Raw!$K$2:$K$1232,"Yes",Games_Raw!$I$2:$I$1232,A484)</ns0:f>
        <ns0:v>48</ns0:v>
      </ns0:c>
      <ns0:c r="G484">
        <ns0:f>COUNTIFS(Games_Raw!$K$2:$K$1232,"Yes",Games_Raw!$J$2:$J$1232,A484)</ns0:f>
        <ns0:v>34</ns0:v>
      </ns0:c>
    </ns0:row>
    <ns0:row r="485">
      <ns0:c r="A485" t="inlineStr">
        <ns0:is>
          <ns0:t>Milwaukee Bucks</ns0:t>
        </ns0:is>
      </ns0:c>
      <ns0:c r="B485" t="inlineStr">
        <ns0:is>
          <ns0:t>Oklahoma City Thunder</ns0:t>
        </ns0:is>
      </ns0:c>
      <ns0:c r="C485">
        <ns0:f>COUNTIFS(Games_Raw!$K$2:$K$1232,"Yes",Games_Raw!$I$2:$I$1232,A485,Games_Raw!$J$2:$J$1232,B485)</ns0:f>
        <ns0:v>0</ns0:v>
      </ns0:c>
      <ns0:c r="D485">
        <ns0:f>COUNTIFS(Games_Raw!$K$2:$K$1232,"Yes",Games_Raw!$I$2:$I$1232,B485,Games_Raw!$J$2:$J$1232,A485)</ns0:f>
        <ns0:v>2</ns0:v>
      </ns0:c>
      <ns0:c r="E485" t="str">
        <ns0:f>C485&amp;"-"&amp;D485</ns0:f>
        <ns0:v>0-2</ns0:v>
      </ns0:c>
      <ns0:c r="F485">
        <ns0:f>COUNTIFS(Games_Raw!$K$2:$K$1232,"Yes",Games_Raw!$I$2:$I$1232,A485)</ns0:f>
        <ns0:v>48</ns0:v>
      </ns0:c>
      <ns0:c r="G485">
        <ns0:f>COUNTIFS(Games_Raw!$K$2:$K$1232,"Yes",Games_Raw!$J$2:$J$1232,A485)</ns0:f>
        <ns0:v>34</ns0:v>
      </ns0:c>
    </ns0:row>
    <ns0:row r="486">
      <ns0:c r="A486" t="inlineStr">
        <ns0:is>
          <ns0:t>Milwaukee Bucks</ns0:t>
        </ns0:is>
      </ns0:c>
      <ns0:c r="B486" t="inlineStr">
        <ns0:is>
          <ns0:t>Orlando Magic</ns0:t>
        </ns0:is>
      </ns0:c>
      <ns0:c r="C486">
        <ns0:f>COUNTIFS(Games_Raw!$K$2:$K$1232,"Yes",Games_Raw!$I$2:$I$1232,A486,Games_Raw!$J$2:$J$1232,B486)</ns0:f>
        <ns0:v>3</ns0:v>
      </ns0:c>
      <ns0:c r="D486">
        <ns0:f>COUNTIFS(Games_Raw!$K$2:$K$1232,"Yes",Games_Raw!$I$2:$I$1232,B486,Games_Raw!$J$2:$J$1232,A486)</ns0:f>
        <ns0:v>1</ns0:v>
      </ns0:c>
      <ns0:c r="E486" t="str">
        <ns0:f>C486&amp;"-"&amp;D486</ns0:f>
        <ns0:v>3-1</ns0:v>
      </ns0:c>
      <ns0:c r="F486">
        <ns0:f>COUNTIFS(Games_Raw!$K$2:$K$1232,"Yes",Games_Raw!$I$2:$I$1232,A486)</ns0:f>
        <ns0:v>48</ns0:v>
      </ns0:c>
      <ns0:c r="G486">
        <ns0:f>COUNTIFS(Games_Raw!$K$2:$K$1232,"Yes",Games_Raw!$J$2:$J$1232,A486)</ns0:f>
        <ns0:v>34</ns0:v>
      </ns0:c>
    </ns0:row>
    <ns0:row r="487">
      <ns0:c r="A487" t="inlineStr">
        <ns0:is>
          <ns0:t>Milwaukee Bucks</ns0:t>
        </ns0:is>
      </ns0:c>
      <ns0:c r="B487" t="inlineStr">
        <ns0:is>
          <ns0:t>Philadelphia 76ers</ns0:t>
        </ns0:is>
      </ns0:c>
      <ns0:c r="C487">
        <ns0:f>COUNTIFS(Games_Raw!$K$2:$K$1232,"Yes",Games_Raw!$I$2:$I$1232,A487,Games_Raw!$J$2:$J$1232,B487)</ns0:f>
        <ns0:v>4</ns0:v>
      </ns0:c>
      <ns0:c r="D487">
        <ns0:f>COUNTIFS(Games_Raw!$K$2:$K$1232,"Yes",Games_Raw!$I$2:$I$1232,B487,Games_Raw!$J$2:$J$1232,A487)</ns0:f>
        <ns0:v>0</ns0:v>
      </ns0:c>
      <ns0:c r="E487" t="str">
        <ns0:f>C487&amp;"-"&amp;D487</ns0:f>
        <ns0:v>4-0</ns0:v>
      </ns0:c>
      <ns0:c r="F487">
        <ns0:f>COUNTIFS(Games_Raw!$K$2:$K$1232,"Yes",Games_Raw!$I$2:$I$1232,A487)</ns0:f>
        <ns0:v>48</ns0:v>
      </ns0:c>
      <ns0:c r="G487">
        <ns0:f>COUNTIFS(Games_Raw!$K$2:$K$1232,"Yes",Games_Raw!$J$2:$J$1232,A487)</ns0:f>
        <ns0:v>34</ns0:v>
      </ns0:c>
    </ns0:row>
    <ns0:row r="488">
      <ns0:c r="A488" t="inlineStr">
        <ns0:is>
          <ns0:t>Milwaukee Bucks</ns0:t>
        </ns0:is>
      </ns0:c>
      <ns0:c r="B488" t="inlineStr">
        <ns0:is>
          <ns0:t>Phoenix Suns</ns0:t>
        </ns0:is>
      </ns0:c>
      <ns0:c r="C488">
        <ns0:f>COUNTIFS(Games_Raw!$K$2:$K$1232,"Yes",Games_Raw!$I$2:$I$1232,A488,Games_Raw!$J$2:$J$1232,B488)</ns0:f>
        <ns0:v>1</ns0:v>
      </ns0:c>
      <ns0:c r="D488">
        <ns0:f>COUNTIFS(Games_Raw!$K$2:$K$1232,"Yes",Games_Raw!$I$2:$I$1232,B488,Games_Raw!$J$2:$J$1232,A488)</ns0:f>
        <ns0:v>1</ns0:v>
      </ns0:c>
      <ns0:c r="E488" t="str">
        <ns0:f>C488&amp;"-"&amp;D488</ns0:f>
        <ns0:v>1-1</ns0:v>
      </ns0:c>
      <ns0:c r="F488">
        <ns0:f>COUNTIFS(Games_Raw!$K$2:$K$1232,"Yes",Games_Raw!$I$2:$I$1232,A488)</ns0:f>
        <ns0:v>48</ns0:v>
      </ns0:c>
      <ns0:c r="G488">
        <ns0:f>COUNTIFS(Games_Raw!$K$2:$K$1232,"Yes",Games_Raw!$J$2:$J$1232,A488)</ns0:f>
        <ns0:v>34</ns0:v>
      </ns0:c>
    </ns0:row>
    <ns0:row r="489">
      <ns0:c r="A489" t="inlineStr">
        <ns0:is>
          <ns0:t>Milwaukee Bucks</ns0:t>
        </ns0:is>
      </ns0:c>
      <ns0:c r="B489" t="inlineStr">
        <ns0:is>
          <ns0:t>Portland Trail Blazers</ns0:t>
        </ns0:is>
      </ns0:c>
      <ns0:c r="C489">
        <ns0:f>COUNTIFS(Games_Raw!$K$2:$K$1232,"Yes",Games_Raw!$I$2:$I$1232,A489,Games_Raw!$J$2:$J$1232,B489)</ns0:f>
        <ns0:v>0</ns0:v>
      </ns0:c>
      <ns0:c r="D489">
        <ns0:f>COUNTIFS(Games_Raw!$K$2:$K$1232,"Yes",Games_Raw!$I$2:$I$1232,B489,Games_Raw!$J$2:$J$1232,A489)</ns0:f>
        <ns0:v>2</ns0:v>
      </ns0:c>
      <ns0:c r="E489" t="str">
        <ns0:f>C489&amp;"-"&amp;D489</ns0:f>
        <ns0:v>0-2</ns0:v>
      </ns0:c>
      <ns0:c r="F489">
        <ns0:f>COUNTIFS(Games_Raw!$K$2:$K$1232,"Yes",Games_Raw!$I$2:$I$1232,A489)</ns0:f>
        <ns0:v>48</ns0:v>
      </ns0:c>
      <ns0:c r="G489">
        <ns0:f>COUNTIFS(Games_Raw!$K$2:$K$1232,"Yes",Games_Raw!$J$2:$J$1232,A489)</ns0:f>
        <ns0:v>34</ns0:v>
      </ns0:c>
    </ns0:row>
    <ns0:row r="490">
      <ns0:c r="A490" t="inlineStr">
        <ns0:is>
          <ns0:t>Milwaukee Bucks</ns0:t>
        </ns0:is>
      </ns0:c>
      <ns0:c r="B490" t="inlineStr">
        <ns0:is>
          <ns0:t>Sacramento Kings</ns0:t>
        </ns0:is>
      </ns0:c>
      <ns0:c r="C490">
        <ns0:f>COUNTIFS(Games_Raw!$K$2:$K$1232,"Yes",Games_Raw!$I$2:$I$1232,A490,Games_Raw!$J$2:$J$1232,B490)</ns0:f>
        <ns0:v>2</ns0:v>
      </ns0:c>
      <ns0:c r="D490">
        <ns0:f>COUNTIFS(Games_Raw!$K$2:$K$1232,"Yes",Games_Raw!$I$2:$I$1232,B490,Games_Raw!$J$2:$J$1232,A490)</ns0:f>
        <ns0:v>0</ns0:v>
      </ns0:c>
      <ns0:c r="E490" t="str">
        <ns0:f>C490&amp;"-"&amp;D490</ns0:f>
        <ns0:v>2-0</ns0:v>
      </ns0:c>
      <ns0:c r="F490">
        <ns0:f>COUNTIFS(Games_Raw!$K$2:$K$1232,"Yes",Games_Raw!$I$2:$I$1232,A490)</ns0:f>
        <ns0:v>48</ns0:v>
      </ns0:c>
      <ns0:c r="G490">
        <ns0:f>COUNTIFS(Games_Raw!$K$2:$K$1232,"Yes",Games_Raw!$J$2:$J$1232,A490)</ns0:f>
        <ns0:v>34</ns0:v>
      </ns0:c>
    </ns0:row>
    <ns0:row r="491">
      <ns0:c r="A491" t="inlineStr">
        <ns0:is>
          <ns0:t>Milwaukee Bucks</ns0:t>
        </ns0:is>
      </ns0:c>
      <ns0:c r="B491" t="inlineStr">
        <ns0:is>
          <ns0:t>San Antonio Spurs</ns0:t>
        </ns0:is>
      </ns0:c>
      <ns0:c r="C491">
        <ns0:f>COUNTIFS(Games_Raw!$K$2:$K$1232,"Yes",Games_Raw!$I$2:$I$1232,A491,Games_Raw!$J$2:$J$1232,B491)</ns0:f>
        <ns0:v>1</ns0:v>
      </ns0:c>
      <ns0:c r="D491">
        <ns0:f>COUNTIFS(Games_Raw!$K$2:$K$1232,"Yes",Games_Raw!$I$2:$I$1232,B491,Games_Raw!$J$2:$J$1232,A491)</ns0:f>
        <ns0:v>1</ns0:v>
      </ns0:c>
      <ns0:c r="E491" t="str">
        <ns0:f>C491&amp;"-"&amp;D491</ns0:f>
        <ns0:v>1-1</ns0:v>
      </ns0:c>
      <ns0:c r="F491">
        <ns0:f>COUNTIFS(Games_Raw!$K$2:$K$1232,"Yes",Games_Raw!$I$2:$I$1232,A491)</ns0:f>
        <ns0:v>48</ns0:v>
      </ns0:c>
      <ns0:c r="G491">
        <ns0:f>COUNTIFS(Games_Raw!$K$2:$K$1232,"Yes",Games_Raw!$J$2:$J$1232,A491)</ns0:f>
        <ns0:v>34</ns0:v>
      </ns0:c>
    </ns0:row>
    <ns0:row r="492">
      <ns0:c r="A492" t="inlineStr">
        <ns0:is>
          <ns0:t>Milwaukee Bucks</ns0:t>
        </ns0:is>
      </ns0:c>
      <ns0:c r="B492" t="inlineStr">
        <ns0:is>
          <ns0:t>Toronto Raptors</ns0:t>
        </ns0:is>
      </ns0:c>
      <ns0:c r="C492">
        <ns0:f>COUNTIFS(Games_Raw!$K$2:$K$1232,"Yes",Games_Raw!$I$2:$I$1232,A492,Games_Raw!$J$2:$J$1232,B492)</ns0:f>
        <ns0:v>3</ns0:v>
      </ns0:c>
      <ns0:c r="D492">
        <ns0:f>COUNTIFS(Games_Raw!$K$2:$K$1232,"Yes",Games_Raw!$I$2:$I$1232,B492,Games_Raw!$J$2:$J$1232,A492)</ns0:f>
        <ns0:v>0</ns0:v>
      </ns0:c>
      <ns0:c r="E492" t="str">
        <ns0:f>C492&amp;"-"&amp;D492</ns0:f>
        <ns0:v>3-0</ns0:v>
      </ns0:c>
      <ns0:c r="F492">
        <ns0:f>COUNTIFS(Games_Raw!$K$2:$K$1232,"Yes",Games_Raw!$I$2:$I$1232,A492)</ns0:f>
        <ns0:v>48</ns0:v>
      </ns0:c>
      <ns0:c r="G492">
        <ns0:f>COUNTIFS(Games_Raw!$K$2:$K$1232,"Yes",Games_Raw!$J$2:$J$1232,A492)</ns0:f>
        <ns0:v>34</ns0:v>
      </ns0:c>
    </ns0:row>
    <ns0:row r="493">
      <ns0:c r="A493" t="inlineStr">
        <ns0:is>
          <ns0:t>Milwaukee Bucks</ns0:t>
        </ns0:is>
      </ns0:c>
      <ns0:c r="B493" t="inlineStr">
        <ns0:is>
          <ns0:t>Utah Jazz</ns0:t>
        </ns0:is>
      </ns0:c>
      <ns0:c r="C493">
        <ns0:f>COUNTIFS(Games_Raw!$K$2:$K$1232,"Yes",Games_Raw!$I$2:$I$1232,A493,Games_Raw!$J$2:$J$1232,B493)</ns0:f>
        <ns0:v>2</ns0:v>
      </ns0:c>
      <ns0:c r="D493">
        <ns0:f>COUNTIFS(Games_Raw!$K$2:$K$1232,"Yes",Games_Raw!$I$2:$I$1232,B493,Games_Raw!$J$2:$J$1232,A493)</ns0:f>
        <ns0:v>0</ns0:v>
      </ns0:c>
      <ns0:c r="E493" t="str">
        <ns0:f>C493&amp;"-"&amp;D493</ns0:f>
        <ns0:v>2-0</ns0:v>
      </ns0:c>
      <ns0:c r="F493">
        <ns0:f>COUNTIFS(Games_Raw!$K$2:$K$1232,"Yes",Games_Raw!$I$2:$I$1232,A493)</ns0:f>
        <ns0:v>48</ns0:v>
      </ns0:c>
      <ns0:c r="G493">
        <ns0:f>COUNTIFS(Games_Raw!$K$2:$K$1232,"Yes",Games_Raw!$J$2:$J$1232,A493)</ns0:f>
        <ns0:v>34</ns0:v>
      </ns0:c>
    </ns0:row>
    <ns0:row r="494">
      <ns0:c r="A494" t="inlineStr">
        <ns0:is>
          <ns0:t>Milwaukee Bucks</ns0:t>
        </ns0:is>
      </ns0:c>
      <ns0:c r="B494" t="inlineStr">
        <ns0:is>
          <ns0:t>Washington Wizards</ns0:t>
        </ns0:is>
      </ns0:c>
      <ns0:c r="C494">
        <ns0:f>COUNTIFS(Games_Raw!$K$2:$K$1232,"Yes",Games_Raw!$I$2:$I$1232,A494,Games_Raw!$J$2:$J$1232,B494)</ns0:f>
        <ns0:v>3</ns0:v>
      </ns0:c>
      <ns0:c r="D494">
        <ns0:f>COUNTIFS(Games_Raw!$K$2:$K$1232,"Yes",Games_Raw!$I$2:$I$1232,B494,Games_Raw!$J$2:$J$1232,A494)</ns0:f>
        <ns0:v>0</ns0:v>
      </ns0:c>
      <ns0:c r="E494" t="str">
        <ns0:f>C494&amp;"-"&amp;D494</ns0:f>
        <ns0:v>3-0</ns0:v>
      </ns0:c>
      <ns0:c r="F494">
        <ns0:f>COUNTIFS(Games_Raw!$K$2:$K$1232,"Yes",Games_Raw!$I$2:$I$1232,A494)</ns0:f>
        <ns0:v>48</ns0:v>
      </ns0:c>
      <ns0:c r="G494">
        <ns0:f>COUNTIFS(Games_Raw!$K$2:$K$1232,"Yes",Games_Raw!$J$2:$J$1232,A494)</ns0:f>
        <ns0:v>34</ns0:v>
      </ns0:c>
    </ns0:row>
    <ns0:row r="495">
      <ns0:c r="A495" t="inlineStr">
        <ns0:is>
          <ns0:t>Minnesota Timberwolves</ns0:t>
        </ns0:is>
      </ns0:c>
      <ns0:c r="B495" t="inlineStr">
        <ns0:is>
          <ns0:t>Atlanta Hawks</ns0:t>
        </ns0:is>
      </ns0:c>
      <ns0:c r="C495">
        <ns0:f>COUNTIFS(Games_Raw!$K$2:$K$1232,"Yes",Games_Raw!$I$2:$I$1232,A495,Games_Raw!$J$2:$J$1232,B495)</ns0:f>
        <ns0:v>1</ns0:v>
      </ns0:c>
      <ns0:c r="D495">
        <ns0:f>COUNTIFS(Games_Raw!$K$2:$K$1232,"Yes",Games_Raw!$I$2:$I$1232,B495,Games_Raw!$J$2:$J$1232,A495)</ns0:f>
        <ns0:v>1</ns0:v>
      </ns0:c>
      <ns0:c r="E495" t="str">
        <ns0:f>C495&amp;"-"&amp;D495</ns0:f>
        <ns0:v>1-1</ns0:v>
      </ns0:c>
      <ns0:c r="F495">
        <ns0:f>COUNTIFS(Games_Raw!$K$2:$K$1232,"Yes",Games_Raw!$I$2:$I$1232,A495)</ns0:f>
        <ns0:v>49</ns0:v>
      </ns0:c>
      <ns0:c r="G495">
        <ns0:f>COUNTIFS(Games_Raw!$K$2:$K$1232,"Yes",Games_Raw!$J$2:$J$1232,A495)</ns0:f>
        <ns0:v>33</ns0:v>
      </ns0:c>
    </ns0:row>
    <ns0:row r="496">
      <ns0:c r="A496" t="inlineStr">
        <ns0:is>
          <ns0:t>Minnesota Timberwolves</ns0:t>
        </ns0:is>
      </ns0:c>
      <ns0:c r="B496" t="inlineStr">
        <ns0:is>
          <ns0:t>Boston Celtics</ns0:t>
        </ns0:is>
      </ns0:c>
      <ns0:c r="C496">
        <ns0:f>COUNTIFS(Games_Raw!$K$2:$K$1232,"Yes",Games_Raw!$I$2:$I$1232,A496,Games_Raw!$J$2:$J$1232,B496)</ns0:f>
        <ns0:v>0</ns0:v>
      </ns0:c>
      <ns0:c r="D496">
        <ns0:f>COUNTIFS(Games_Raw!$K$2:$K$1232,"Yes",Games_Raw!$I$2:$I$1232,B496,Games_Raw!$J$2:$J$1232,A496)</ns0:f>
        <ns0:v>2</ns0:v>
      </ns0:c>
      <ns0:c r="E496" t="str">
        <ns0:f>C496&amp;"-"&amp;D496</ns0:f>
        <ns0:v>0-2</ns0:v>
      </ns0:c>
      <ns0:c r="F496">
        <ns0:f>COUNTIFS(Games_Raw!$K$2:$K$1232,"Yes",Games_Raw!$I$2:$I$1232,A496)</ns0:f>
        <ns0:v>49</ns0:v>
      </ns0:c>
      <ns0:c r="G496">
        <ns0:f>COUNTIFS(Games_Raw!$K$2:$K$1232,"Yes",Games_Raw!$J$2:$J$1232,A496)</ns0:f>
        <ns0:v>33</ns0:v>
      </ns0:c>
    </ns0:row>
    <ns0:row r="497">
      <ns0:c r="A497" t="inlineStr">
        <ns0:is>
          <ns0:t>Minnesota Timberwolves</ns0:t>
        </ns0:is>
      </ns0:c>
      <ns0:c r="B497" t="inlineStr">
        <ns0:is>
          <ns0:t>Brooklyn Nets</ns0:t>
        </ns0:is>
      </ns0:c>
      <ns0:c r="C497">
        <ns0:f>COUNTIFS(Games_Raw!$K$2:$K$1232,"Yes",Games_Raw!$I$2:$I$1232,A497,Games_Raw!$J$2:$J$1232,B497)</ns0:f>
        <ns0:v>2</ns0:v>
      </ns0:c>
      <ns0:c r="D497">
        <ns0:f>COUNTIFS(Games_Raw!$K$2:$K$1232,"Yes",Games_Raw!$I$2:$I$1232,B497,Games_Raw!$J$2:$J$1232,A497)</ns0:f>
        <ns0:v>0</ns0:v>
      </ns0:c>
      <ns0:c r="E497" t="str">
        <ns0:f>C497&amp;"-"&amp;D497</ns0:f>
        <ns0:v>2-0</ns0:v>
      </ns0:c>
      <ns0:c r="F497">
        <ns0:f>COUNTIFS(Games_Raw!$K$2:$K$1232,"Yes",Games_Raw!$I$2:$I$1232,A497)</ns0:f>
        <ns0:v>49</ns0:v>
      </ns0:c>
      <ns0:c r="G497">
        <ns0:f>COUNTIFS(Games_Raw!$K$2:$K$1232,"Yes",Games_Raw!$J$2:$J$1232,A497)</ns0:f>
        <ns0:v>33</ns0:v>
      </ns0:c>
    </ns0:row>
    <ns0:row r="498">
      <ns0:c r="A498" t="inlineStr">
        <ns0:is>
          <ns0:t>Minnesota Timberwolves</ns0:t>
        </ns0:is>
      </ns0:c>
      <ns0:c r="B498" t="inlineStr">
        <ns0:is>
          <ns0:t>Charlotte Hornets</ns0:t>
        </ns0:is>
      </ns0:c>
      <ns0:c r="C498">
        <ns0:f>COUNTIFS(Games_Raw!$K$2:$K$1232,"Yes",Games_Raw!$I$2:$I$1232,A498,Games_Raw!$J$2:$J$1232,B498)</ns0:f>
        <ns0:v>2</ns0:v>
      </ns0:c>
      <ns0:c r="D498">
        <ns0:f>COUNTIFS(Games_Raw!$K$2:$K$1232,"Yes",Games_Raw!$I$2:$I$1232,B498,Games_Raw!$J$2:$J$1232,A498)</ns0:f>
        <ns0:v>0</ns0:v>
      </ns0:c>
      <ns0:c r="E498" t="str">
        <ns0:f>C498&amp;"-"&amp;D498</ns0:f>
        <ns0:v>2-0</ns0:v>
      </ns0:c>
      <ns0:c r="F498">
        <ns0:f>COUNTIFS(Games_Raw!$K$2:$K$1232,"Yes",Games_Raw!$I$2:$I$1232,A498)</ns0:f>
        <ns0:v>49</ns0:v>
      </ns0:c>
      <ns0:c r="G498">
        <ns0:f>COUNTIFS(Games_Raw!$K$2:$K$1232,"Yes",Games_Raw!$J$2:$J$1232,A498)</ns0:f>
        <ns0:v>33</ns0:v>
      </ns0:c>
    </ns0:row>
    <ns0:row r="499">
      <ns0:c r="A499" t="inlineStr">
        <ns0:is>
          <ns0:t>Minnesota Timberwolves</ns0:t>
        </ns0:is>
      </ns0:c>
      <ns0:c r="B499" t="inlineStr">
        <ns0:is>
          <ns0:t>Chicago Bulls</ns0:t>
        </ns0:is>
      </ns0:c>
      <ns0:c r="C499">
        <ns0:f>COUNTIFS(Games_Raw!$K$2:$K$1232,"Yes",Games_Raw!$I$2:$I$1232,A499,Games_Raw!$J$2:$J$1232,B499)</ns0:f>
        <ns0:v>2</ns0:v>
      </ns0:c>
      <ns0:c r="D499">
        <ns0:f>COUNTIFS(Games_Raw!$K$2:$K$1232,"Yes",Games_Raw!$I$2:$I$1232,B499,Games_Raw!$J$2:$J$1232,A499)</ns0:f>
        <ns0:v>0</ns0:v>
      </ns0:c>
      <ns0:c r="E499" t="str">
        <ns0:f>C499&amp;"-"&amp;D499</ns0:f>
        <ns0:v>2-0</ns0:v>
      </ns0:c>
      <ns0:c r="F499">
        <ns0:f>COUNTIFS(Games_Raw!$K$2:$K$1232,"Yes",Games_Raw!$I$2:$I$1232,A499)</ns0:f>
        <ns0:v>49</ns0:v>
      </ns0:c>
      <ns0:c r="G499">
        <ns0:f>COUNTIFS(Games_Raw!$K$2:$K$1232,"Yes",Games_Raw!$J$2:$J$1232,A499)</ns0:f>
        <ns0:v>33</ns0:v>
      </ns0:c>
    </ns0:row>
    <ns0:row r="500">
      <ns0:c r="A500" t="inlineStr">
        <ns0:is>
          <ns0:t>Minnesota Timberwolves</ns0:t>
        </ns0:is>
      </ns0:c>
      <ns0:c r="B500" t="inlineStr">
        <ns0:is>
          <ns0:t>Cleveland Cavaliers</ns0:t>
        </ns0:is>
      </ns0:c>
      <ns0:c r="C500">
        <ns0:f>COUNTIFS(Games_Raw!$K$2:$K$1232,"Yes",Games_Raw!$I$2:$I$1232,A500,Games_Raw!$J$2:$J$1232,B500)</ns0:f>
        <ns0:v>0</ns0:v>
      </ns0:c>
      <ns0:c r="D500">
        <ns0:f>COUNTIFS(Games_Raw!$K$2:$K$1232,"Yes",Games_Raw!$I$2:$I$1232,B500,Games_Raw!$J$2:$J$1232,A500)</ns0:f>
        <ns0:v>2</ns0:v>
      </ns0:c>
      <ns0:c r="E500" t="str">
        <ns0:f>C500&amp;"-"&amp;D500</ns0:f>
        <ns0:v>0-2</ns0:v>
      </ns0:c>
      <ns0:c r="F500">
        <ns0:f>COUNTIFS(Games_Raw!$K$2:$K$1232,"Yes",Games_Raw!$I$2:$I$1232,A500)</ns0:f>
        <ns0:v>49</ns0:v>
      </ns0:c>
      <ns0:c r="G500">
        <ns0:f>COUNTIFS(Games_Raw!$K$2:$K$1232,"Yes",Games_Raw!$J$2:$J$1232,A500)</ns0:f>
        <ns0:v>33</ns0:v>
      </ns0:c>
    </ns0:row>
    <ns0:row r="501">
      <ns0:c r="A501" t="inlineStr">
        <ns0:is>
          <ns0:t>Minnesota Timberwolves</ns0:t>
        </ns0:is>
      </ns0:c>
      <ns0:c r="B501" t="inlineStr">
        <ns0:is>
          <ns0:t>Dallas Mavericks</ns0:t>
        </ns0:is>
      </ns0:c>
      <ns0:c r="C501">
        <ns0:f>COUNTIFS(Games_Raw!$K$2:$K$1232,"Yes",Games_Raw!$I$2:$I$1232,A501,Games_Raw!$J$2:$J$1232,B501)</ns0:f>
        <ns0:v>2</ns0:v>
      </ns0:c>
      <ns0:c r="D501">
        <ns0:f>COUNTIFS(Games_Raw!$K$2:$K$1232,"Yes",Games_Raw!$I$2:$I$1232,B501,Games_Raw!$J$2:$J$1232,A501)</ns0:f>
        <ns0:v>1</ns0:v>
      </ns0:c>
      <ns0:c r="E501" t="str">
        <ns0:f>C501&amp;"-"&amp;D501</ns0:f>
        <ns0:v>2-1</ns0:v>
      </ns0:c>
      <ns0:c r="F501">
        <ns0:f>COUNTIFS(Games_Raw!$K$2:$K$1232,"Yes",Games_Raw!$I$2:$I$1232,A501)</ns0:f>
        <ns0:v>49</ns0:v>
      </ns0:c>
      <ns0:c r="G501">
        <ns0:f>COUNTIFS(Games_Raw!$K$2:$K$1232,"Yes",Games_Raw!$J$2:$J$1232,A501)</ns0:f>
        <ns0:v>33</ns0:v>
      </ns0:c>
    </ns0:row>
    <ns0:row r="502">
      <ns0:c r="A502" t="inlineStr">
        <ns0:is>
          <ns0:t>Minnesota Timberwolves</ns0:t>
        </ns0:is>
      </ns0:c>
      <ns0:c r="B502" t="inlineStr">
        <ns0:is>
          <ns0:t>Denver Nuggets</ns0:t>
        </ns0:is>
      </ns0:c>
      <ns0:c r="C502">
        <ns0:f>COUNTIFS(Games_Raw!$K$2:$K$1232,"Yes",Games_Raw!$I$2:$I$1232,A502,Games_Raw!$J$2:$J$1232,B502)</ns0:f>
        <ns0:v>4</ns0:v>
      </ns0:c>
      <ns0:c r="D502">
        <ns0:f>COUNTIFS(Games_Raw!$K$2:$K$1232,"Yes",Games_Raw!$I$2:$I$1232,B502,Games_Raw!$J$2:$J$1232,A502)</ns0:f>
        <ns0:v>0</ns0:v>
      </ns0:c>
      <ns0:c r="E502" t="str">
        <ns0:f>C502&amp;"-"&amp;D502</ns0:f>
        <ns0:v>4-0</ns0:v>
      </ns0:c>
      <ns0:c r="F502">
        <ns0:f>COUNTIFS(Games_Raw!$K$2:$K$1232,"Yes",Games_Raw!$I$2:$I$1232,A502)</ns0:f>
        <ns0:v>49</ns0:v>
      </ns0:c>
      <ns0:c r="G502">
        <ns0:f>COUNTIFS(Games_Raw!$K$2:$K$1232,"Yes",Games_Raw!$J$2:$J$1232,A502)</ns0:f>
        <ns0:v>33</ns0:v>
      </ns0:c>
    </ns0:row>
    <ns0:row r="503">
      <ns0:c r="A503" t="inlineStr">
        <ns0:is>
          <ns0:t>Minnesota Timberwolves</ns0:t>
        </ns0:is>
      </ns0:c>
      <ns0:c r="B503" t="inlineStr">
        <ns0:is>
          <ns0:t>Detroit Pistons</ns0:t>
        </ns0:is>
      </ns0:c>
      <ns0:c r="C503">
        <ns0:f>COUNTIFS(Games_Raw!$K$2:$K$1232,"Yes",Games_Raw!$I$2:$I$1232,A503,Games_Raw!$J$2:$J$1232,B503)</ns0:f>
        <ns0:v>1</ns0:v>
      </ns0:c>
      <ns0:c r="D503">
        <ns0:f>COUNTIFS(Games_Raw!$K$2:$K$1232,"Yes",Games_Raw!$I$2:$I$1232,B503,Games_Raw!$J$2:$J$1232,A503)</ns0:f>
        <ns0:v>1</ns0:v>
      </ns0:c>
      <ns0:c r="E503" t="str">
        <ns0:f>C503&amp;"-"&amp;D503</ns0:f>
        <ns0:v>1-1</ns0:v>
      </ns0:c>
      <ns0:c r="F503">
        <ns0:f>COUNTIFS(Games_Raw!$K$2:$K$1232,"Yes",Games_Raw!$I$2:$I$1232,A503)</ns0:f>
        <ns0:v>49</ns0:v>
      </ns0:c>
      <ns0:c r="G503">
        <ns0:f>COUNTIFS(Games_Raw!$K$2:$K$1232,"Yes",Games_Raw!$J$2:$J$1232,A503)</ns0:f>
        <ns0:v>33</ns0:v>
      </ns0:c>
    </ns0:row>
    <ns0:row r="504">
      <ns0:c r="A504" t="inlineStr">
        <ns0:is>
          <ns0:t>Minnesota Timberwolves</ns0:t>
        </ns0:is>
      </ns0:c>
      <ns0:c r="B504" t="inlineStr">
        <ns0:is>
          <ns0:t>Golden State Warriors</ns0:t>
        </ns0:is>
      </ns0:c>
      <ns0:c r="C504">
        <ns0:f>COUNTIFS(Games_Raw!$K$2:$K$1232,"Yes",Games_Raw!$I$2:$I$1232,A504,Games_Raw!$J$2:$J$1232,B504)</ns0:f>
        <ns0:v>1</ns0:v>
      </ns0:c>
      <ns0:c r="D504">
        <ns0:f>COUNTIFS(Games_Raw!$K$2:$K$1232,"Yes",Games_Raw!$I$2:$I$1232,B504,Games_Raw!$J$2:$J$1232,A504)</ns0:f>
        <ns0:v>3</ns0:v>
      </ns0:c>
      <ns0:c r="E504" t="str">
        <ns0:f>C504&amp;"-"&amp;D504</ns0:f>
        <ns0:v>1-3</ns0:v>
      </ns0:c>
      <ns0:c r="F504">
        <ns0:f>COUNTIFS(Games_Raw!$K$2:$K$1232,"Yes",Games_Raw!$I$2:$I$1232,A504)</ns0:f>
        <ns0:v>49</ns0:v>
      </ns0:c>
      <ns0:c r="G504">
        <ns0:f>COUNTIFS(Games_Raw!$K$2:$K$1232,"Yes",Games_Raw!$J$2:$J$1232,A504)</ns0:f>
        <ns0:v>33</ns0:v>
      </ns0:c>
    </ns0:row>
    <ns0:row r="505">
      <ns0:c r="A505" t="inlineStr">
        <ns0:is>
          <ns0:t>Minnesota Timberwolves</ns0:t>
        </ns0:is>
      </ns0:c>
      <ns0:c r="B505" t="inlineStr">
        <ns0:is>
          <ns0:t>Houston Rockets</ns0:t>
        </ns0:is>
      </ns0:c>
      <ns0:c r="C505">
        <ns0:f>COUNTIFS(Games_Raw!$K$2:$K$1232,"Yes",Games_Raw!$I$2:$I$1232,A505,Games_Raw!$J$2:$J$1232,B505)</ns0:f>
        <ns0:v>2</ns0:v>
      </ns0:c>
      <ns0:c r="D505">
        <ns0:f>COUNTIFS(Games_Raw!$K$2:$K$1232,"Yes",Games_Raw!$I$2:$I$1232,B505,Games_Raw!$J$2:$J$1232,A505)</ns0:f>
        <ns0:v>2</ns0:v>
      </ns0:c>
      <ns0:c r="E505" t="str">
        <ns0:f>C505&amp;"-"&amp;D505</ns0:f>
        <ns0:v>2-2</ns0:v>
      </ns0:c>
      <ns0:c r="F505">
        <ns0:f>COUNTIFS(Games_Raw!$K$2:$K$1232,"Yes",Games_Raw!$I$2:$I$1232,A505)</ns0:f>
        <ns0:v>49</ns0:v>
      </ns0:c>
      <ns0:c r="G505">
        <ns0:f>COUNTIFS(Games_Raw!$K$2:$K$1232,"Yes",Games_Raw!$J$2:$J$1232,A505)</ns0:f>
        <ns0:v>33</ns0:v>
      </ns0:c>
    </ns0:row>
    <ns0:row r="506">
      <ns0:c r="A506" t="inlineStr">
        <ns0:is>
          <ns0:t>Minnesota Timberwolves</ns0:t>
        </ns0:is>
      </ns0:c>
      <ns0:c r="B506" t="inlineStr">
        <ns0:is>
          <ns0:t>Indiana Pacers</ns0:t>
        </ns0:is>
      </ns0:c>
      <ns0:c r="C506">
        <ns0:f>COUNTIFS(Games_Raw!$K$2:$K$1232,"Yes",Games_Raw!$I$2:$I$1232,A506,Games_Raw!$J$2:$J$1232,B506)</ns0:f>
        <ns0:v>0</ns0:v>
      </ns0:c>
      <ns0:c r="D506">
        <ns0:f>COUNTIFS(Games_Raw!$K$2:$K$1232,"Yes",Games_Raw!$I$2:$I$1232,B506,Games_Raw!$J$2:$J$1232,A506)</ns0:f>
        <ns0:v>2</ns0:v>
      </ns0:c>
      <ns0:c r="E506" t="str">
        <ns0:f>C506&amp;"-"&amp;D506</ns0:f>
        <ns0:v>0-2</ns0:v>
      </ns0:c>
      <ns0:c r="F506">
        <ns0:f>COUNTIFS(Games_Raw!$K$2:$K$1232,"Yes",Games_Raw!$I$2:$I$1232,A506)</ns0:f>
        <ns0:v>49</ns0:v>
      </ns0:c>
      <ns0:c r="G506">
        <ns0:f>COUNTIFS(Games_Raw!$K$2:$K$1232,"Yes",Games_Raw!$J$2:$J$1232,A506)</ns0:f>
        <ns0:v>33</ns0:v>
      </ns0:c>
    </ns0:row>
    <ns0:row r="507">
      <ns0:c r="A507" t="inlineStr">
        <ns0:is>
          <ns0:t>Minnesota Timberwolves</ns0:t>
        </ns0:is>
      </ns0:c>
      <ns0:c r="B507" t="inlineStr">
        <ns0:is>
          <ns0:t>LA Clippers</ns0:t>
        </ns0:is>
      </ns0:c>
      <ns0:c r="C507">
        <ns0:f>COUNTIFS(Games_Raw!$K$2:$K$1232,"Yes",Games_Raw!$I$2:$I$1232,A507,Games_Raw!$J$2:$J$1232,B507)</ns0:f>
        <ns0:v>3</ns0:v>
      </ns0:c>
      <ns0:c r="D507">
        <ns0:f>COUNTIFS(Games_Raw!$K$2:$K$1232,"Yes",Games_Raw!$I$2:$I$1232,B507,Games_Raw!$J$2:$J$1232,A507)</ns0:f>
        <ns0:v>0</ns0:v>
      </ns0:c>
      <ns0:c r="E507" t="str">
        <ns0:f>C507&amp;"-"&amp;D507</ns0:f>
        <ns0:v>3-0</ns0:v>
      </ns0:c>
      <ns0:c r="F507">
        <ns0:f>COUNTIFS(Games_Raw!$K$2:$K$1232,"Yes",Games_Raw!$I$2:$I$1232,A507)</ns0:f>
        <ns0:v>49</ns0:v>
      </ns0:c>
      <ns0:c r="G507">
        <ns0:f>COUNTIFS(Games_Raw!$K$2:$K$1232,"Yes",Games_Raw!$J$2:$J$1232,A507)</ns0:f>
        <ns0:v>33</ns0:v>
      </ns0:c>
    </ns0:row>
    <ns0:row r="508">
      <ns0:c r="A508" t="inlineStr">
        <ns0:is>
          <ns0:t>Minnesota Timberwolves</ns0:t>
        </ns0:is>
      </ns0:c>
      <ns0:c r="B508" t="inlineStr">
        <ns0:is>
          <ns0:t>Los Angeles Lakers</ns0:t>
        </ns0:is>
      </ns0:c>
      <ns0:c r="C508">
        <ns0:f>COUNTIFS(Games_Raw!$K$2:$K$1232,"Yes",Games_Raw!$I$2:$I$1232,A508,Games_Raw!$J$2:$J$1232,B508)</ns0:f>
        <ns0:v>2</ns0:v>
      </ns0:c>
      <ns0:c r="D508">
        <ns0:f>COUNTIFS(Games_Raw!$K$2:$K$1232,"Yes",Games_Raw!$I$2:$I$1232,B508,Games_Raw!$J$2:$J$1232,A508)</ns0:f>
        <ns0:v>2</ns0:v>
      </ns0:c>
      <ns0:c r="E508" t="str">
        <ns0:f>C508&amp;"-"&amp;D508</ns0:f>
        <ns0:v>2-2</ns0:v>
      </ns0:c>
      <ns0:c r="F508">
        <ns0:f>COUNTIFS(Games_Raw!$K$2:$K$1232,"Yes",Games_Raw!$I$2:$I$1232,A508)</ns0:f>
        <ns0:v>49</ns0:v>
      </ns0:c>
      <ns0:c r="G508">
        <ns0:f>COUNTIFS(Games_Raw!$K$2:$K$1232,"Yes",Games_Raw!$J$2:$J$1232,A508)</ns0:f>
        <ns0:v>33</ns0:v>
      </ns0:c>
    </ns0:row>
    <ns0:row r="509">
      <ns0:c r="A509" t="inlineStr">
        <ns0:is>
          <ns0:t>Minnesota Timberwolves</ns0:t>
        </ns0:is>
      </ns0:c>
      <ns0:c r="B509" t="inlineStr">
        <ns0:is>
          <ns0:t>Memphis Grizzlies</ns0:t>
        </ns0:is>
      </ns0:c>
      <ns0:c r="C509">
        <ns0:f>COUNTIFS(Games_Raw!$K$2:$K$1232,"Yes",Games_Raw!$I$2:$I$1232,A509,Games_Raw!$J$2:$J$1232,B509)</ns0:f>
        <ns0:v>1</ns0:v>
      </ns0:c>
      <ns0:c r="D509">
        <ns0:f>COUNTIFS(Games_Raw!$K$2:$K$1232,"Yes",Games_Raw!$I$2:$I$1232,B509,Games_Raw!$J$2:$J$1232,A509)</ns0:f>
        <ns0:v>2</ns0:v>
      </ns0:c>
      <ns0:c r="E509" t="str">
        <ns0:f>C509&amp;"-"&amp;D509</ns0:f>
        <ns0:v>1-2</ns0:v>
      </ns0:c>
      <ns0:c r="F509">
        <ns0:f>COUNTIFS(Games_Raw!$K$2:$K$1232,"Yes",Games_Raw!$I$2:$I$1232,A509)</ns0:f>
        <ns0:v>49</ns0:v>
      </ns0:c>
      <ns0:c r="G509">
        <ns0:f>COUNTIFS(Games_Raw!$K$2:$K$1232,"Yes",Games_Raw!$J$2:$J$1232,A509)</ns0:f>
        <ns0:v>33</ns0:v>
      </ns0:c>
    </ns0:row>
    <ns0:row r="510">
      <ns0:c r="A510" t="inlineStr">
        <ns0:is>
          <ns0:t>Minnesota Timberwolves</ns0:t>
        </ns0:is>
      </ns0:c>
      <ns0:c r="B510" t="inlineStr">
        <ns0:is>
          <ns0:t>Miami Heat</ns0:t>
        </ns0:is>
      </ns0:c>
      <ns0:c r="C510">
        <ns0:f>COUNTIFS(Games_Raw!$K$2:$K$1232,"Yes",Games_Raw!$I$2:$I$1232,A510,Games_Raw!$J$2:$J$1232,B510)</ns0:f>
        <ns0:v>1</ns0:v>
      </ns0:c>
      <ns0:c r="D510">
        <ns0:f>COUNTIFS(Games_Raw!$K$2:$K$1232,"Yes",Games_Raw!$I$2:$I$1232,B510,Games_Raw!$J$2:$J$1232,A510)</ns0:f>
        <ns0:v>1</ns0:v>
      </ns0:c>
      <ns0:c r="E510" t="str">
        <ns0:f>C510&amp;"-"&amp;D510</ns0:f>
        <ns0:v>1-1</ns0:v>
      </ns0:c>
      <ns0:c r="F510">
        <ns0:f>COUNTIFS(Games_Raw!$K$2:$K$1232,"Yes",Games_Raw!$I$2:$I$1232,A510)</ns0:f>
        <ns0:v>49</ns0:v>
      </ns0:c>
      <ns0:c r="G510">
        <ns0:f>COUNTIFS(Games_Raw!$K$2:$K$1232,"Yes",Games_Raw!$J$2:$J$1232,A510)</ns0:f>
        <ns0:v>33</ns0:v>
      </ns0:c>
    </ns0:row>
    <ns0:row r="511">
      <ns0:c r="A511" t="inlineStr">
        <ns0:is>
          <ns0:t>Minnesota Timberwolves</ns0:t>
        </ns0:is>
      </ns0:c>
      <ns0:c r="B511" t="inlineStr">
        <ns0:is>
          <ns0:t>Milwaukee Bucks</ns0:t>
        </ns0:is>
      </ns0:c>
      <ns0:c r="C511">
        <ns0:f>COUNTIFS(Games_Raw!$K$2:$K$1232,"Yes",Games_Raw!$I$2:$I$1232,A511,Games_Raw!$J$2:$J$1232,B511)</ns0:f>
        <ns0:v>0</ns0:v>
      </ns0:c>
      <ns0:c r="D511">
        <ns0:f>COUNTIFS(Games_Raw!$K$2:$K$1232,"Yes",Games_Raw!$I$2:$I$1232,B511,Games_Raw!$J$2:$J$1232,A511)</ns0:f>
        <ns0:v>2</ns0:v>
      </ns0:c>
      <ns0:c r="E511" t="str">
        <ns0:f>C511&amp;"-"&amp;D511</ns0:f>
        <ns0:v>0-2</ns0:v>
      </ns0:c>
      <ns0:c r="F511">
        <ns0:f>COUNTIFS(Games_Raw!$K$2:$K$1232,"Yes",Games_Raw!$I$2:$I$1232,A511)</ns0:f>
        <ns0:v>49</ns0:v>
      </ns0:c>
      <ns0:c r="G511">
        <ns0:f>COUNTIFS(Games_Raw!$K$2:$K$1232,"Yes",Games_Raw!$J$2:$J$1232,A511)</ns0:f>
        <ns0:v>33</ns0:v>
      </ns0:c>
    </ns0:row>
    <ns0:row r="512">
      <ns0:c r="A512" t="inlineStr">
        <ns0:is>
          <ns0:t>Minnesota Timberwolves</ns0:t>
        </ns0:is>
      </ns0:c>
      <ns0:c r="B512" t="inlineStr">
        <ns0:is>
          <ns0:t>New Orleans Pelicans</ns0:t>
        </ns0:is>
      </ns0:c>
      <ns0:c r="C512">
        <ns0:f>COUNTIFS(Games_Raw!$K$2:$K$1232,"Yes",Games_Raw!$I$2:$I$1232,A512,Games_Raw!$J$2:$J$1232,B512)</ns0:f>
        <ns0:v>2</ns0:v>
      </ns0:c>
      <ns0:c r="D512">
        <ns0:f>COUNTIFS(Games_Raw!$K$2:$K$1232,"Yes",Games_Raw!$I$2:$I$1232,B512,Games_Raw!$J$2:$J$1232,A512)</ns0:f>
        <ns0:v>1</ns0:v>
      </ns0:c>
      <ns0:c r="E512" t="str">
        <ns0:f>C512&amp;"-"&amp;D512</ns0:f>
        <ns0:v>2-1</ns0:v>
      </ns0:c>
      <ns0:c r="F512">
        <ns0:f>COUNTIFS(Games_Raw!$K$2:$K$1232,"Yes",Games_Raw!$I$2:$I$1232,A512)</ns0:f>
        <ns0:v>49</ns0:v>
      </ns0:c>
      <ns0:c r="G512">
        <ns0:f>COUNTIFS(Games_Raw!$K$2:$K$1232,"Yes",Games_Raw!$J$2:$J$1232,A512)</ns0:f>
        <ns0:v>33</ns0:v>
      </ns0:c>
    </ns0:row>
    <ns0:row r="513">
      <ns0:c r="A513" t="inlineStr">
        <ns0:is>
          <ns0:t>Minnesota Timberwolves</ns0:t>
        </ns0:is>
      </ns0:c>
      <ns0:c r="B513" t="inlineStr">
        <ns0:is>
          <ns0:t>New York Knicks</ns0:t>
        </ns0:is>
      </ns0:c>
      <ns0:c r="C513">
        <ns0:f>COUNTIFS(Games_Raw!$K$2:$K$1232,"Yes",Games_Raw!$I$2:$I$1232,A513,Games_Raw!$J$2:$J$1232,B513)</ns0:f>
        <ns0:v>1</ns0:v>
      </ns0:c>
      <ns0:c r="D513">
        <ns0:f>COUNTIFS(Games_Raw!$K$2:$K$1232,"Yes",Games_Raw!$I$2:$I$1232,B513,Games_Raw!$J$2:$J$1232,A513)</ns0:f>
        <ns0:v>1</ns0:v>
      </ns0:c>
      <ns0:c r="E513" t="str">
        <ns0:f>C513&amp;"-"&amp;D513</ns0:f>
        <ns0:v>1-1</ns0:v>
      </ns0:c>
      <ns0:c r="F513">
        <ns0:f>COUNTIFS(Games_Raw!$K$2:$K$1232,"Yes",Games_Raw!$I$2:$I$1232,A513)</ns0:f>
        <ns0:v>49</ns0:v>
      </ns0:c>
      <ns0:c r="G513">
        <ns0:f>COUNTIFS(Games_Raw!$K$2:$K$1232,"Yes",Games_Raw!$J$2:$J$1232,A513)</ns0:f>
        <ns0:v>33</ns0:v>
      </ns0:c>
    </ns0:row>
    <ns0:row r="514">
      <ns0:c r="A514" t="inlineStr">
        <ns0:is>
          <ns0:t>Minnesota Timberwolves</ns0:t>
        </ns0:is>
      </ns0:c>
      <ns0:c r="B514" t="inlineStr">
        <ns0:is>
          <ns0:t>Oklahoma City Thunder</ns0:t>
        </ns0:is>
      </ns0:c>
      <ns0:c r="C514">
        <ns0:f>COUNTIFS(Games_Raw!$K$2:$K$1232,"Yes",Games_Raw!$I$2:$I$1232,A514,Games_Raw!$J$2:$J$1232,B514)</ns0:f>
        <ns0:v>2</ns0:v>
      </ns0:c>
      <ns0:c r="D514">
        <ns0:f>COUNTIFS(Games_Raw!$K$2:$K$1232,"Yes",Games_Raw!$I$2:$I$1232,B514,Games_Raw!$J$2:$J$1232,A514)</ns0:f>
        <ns0:v>2</ns0:v>
      </ns0:c>
      <ns0:c r="E514" t="str">
        <ns0:f>C514&amp;"-"&amp;D514</ns0:f>
        <ns0:v>2-2</ns0:v>
      </ns0:c>
      <ns0:c r="F514">
        <ns0:f>COUNTIFS(Games_Raw!$K$2:$K$1232,"Yes",Games_Raw!$I$2:$I$1232,A514)</ns0:f>
        <ns0:v>49</ns0:v>
      </ns0:c>
      <ns0:c r="G514">
        <ns0:f>COUNTIFS(Games_Raw!$K$2:$K$1232,"Yes",Games_Raw!$J$2:$J$1232,A514)</ns0:f>
        <ns0:v>33</ns0:v>
      </ns0:c>
    </ns0:row>
    <ns0:row r="515">
      <ns0:c r="A515" t="inlineStr">
        <ns0:is>
          <ns0:t>Minnesota Timberwolves</ns0:t>
        </ns0:is>
      </ns0:c>
      <ns0:c r="B515" t="inlineStr">
        <ns0:is>
          <ns0:t>Orlando Magic</ns0:t>
        </ns0:is>
      </ns0:c>
      <ns0:c r="C515">
        <ns0:f>COUNTIFS(Games_Raw!$K$2:$K$1232,"Yes",Games_Raw!$I$2:$I$1232,A515,Games_Raw!$J$2:$J$1232,B515)</ns0:f>
        <ns0:v>2</ns0:v>
      </ns0:c>
      <ns0:c r="D515">
        <ns0:f>COUNTIFS(Games_Raw!$K$2:$K$1232,"Yes",Games_Raw!$I$2:$I$1232,B515,Games_Raw!$J$2:$J$1232,A515)</ns0:f>
        <ns0:v>0</ns0:v>
      </ns0:c>
      <ns0:c r="E515" t="str">
        <ns0:f>C515&amp;"-"&amp;D515</ns0:f>
        <ns0:v>2-0</ns0:v>
      </ns0:c>
      <ns0:c r="F515">
        <ns0:f>COUNTIFS(Games_Raw!$K$2:$K$1232,"Yes",Games_Raw!$I$2:$I$1232,A515)</ns0:f>
        <ns0:v>49</ns0:v>
      </ns0:c>
      <ns0:c r="G515">
        <ns0:f>COUNTIFS(Games_Raw!$K$2:$K$1232,"Yes",Games_Raw!$J$2:$J$1232,A515)</ns0:f>
        <ns0:v>33</ns0:v>
      </ns0:c>
    </ns0:row>
    <ns0:row r="516">
      <ns0:c r="A516" t="inlineStr">
        <ns0:is>
          <ns0:t>Minnesota Timberwolves</ns0:t>
        </ns0:is>
      </ns0:c>
      <ns0:c r="B516" t="inlineStr">
        <ns0:is>
          <ns0:t>Philadelphia 76ers</ns0:t>
        </ns0:is>
      </ns0:c>
      <ns0:c r="C516">
        <ns0:f>COUNTIFS(Games_Raw!$K$2:$K$1232,"Yes",Games_Raw!$I$2:$I$1232,A516,Games_Raw!$J$2:$J$1232,B516)</ns0:f>
        <ns0:v>2</ns0:v>
      </ns0:c>
      <ns0:c r="D516">
        <ns0:f>COUNTIFS(Games_Raw!$K$2:$K$1232,"Yes",Games_Raw!$I$2:$I$1232,B516,Games_Raw!$J$2:$J$1232,A516)</ns0:f>
        <ns0:v>0</ns0:v>
      </ns0:c>
      <ns0:c r="E516" t="str">
        <ns0:f>C516&amp;"-"&amp;D516</ns0:f>
        <ns0:v>2-0</ns0:v>
      </ns0:c>
      <ns0:c r="F516">
        <ns0:f>COUNTIFS(Games_Raw!$K$2:$K$1232,"Yes",Games_Raw!$I$2:$I$1232,A516)</ns0:f>
        <ns0:v>49</ns0:v>
      </ns0:c>
      <ns0:c r="G516">
        <ns0:f>COUNTIFS(Games_Raw!$K$2:$K$1232,"Yes",Games_Raw!$J$2:$J$1232,A516)</ns0:f>
        <ns0:v>33</ns0:v>
      </ns0:c>
    </ns0:row>
    <ns0:row r="517">
      <ns0:c r="A517" t="inlineStr">
        <ns0:is>
          <ns0:t>Minnesota Timberwolves</ns0:t>
        </ns0:is>
      </ns0:c>
      <ns0:c r="B517" t="inlineStr">
        <ns0:is>
          <ns0:t>Phoenix Suns</ns0:t>
        </ns0:is>
      </ns0:c>
      <ns0:c r="C517">
        <ns0:f>COUNTIFS(Games_Raw!$K$2:$K$1232,"Yes",Games_Raw!$I$2:$I$1232,A517,Games_Raw!$J$2:$J$1232,B517)</ns0:f>
        <ns0:v>4</ns0:v>
      </ns0:c>
      <ns0:c r="D517">
        <ns0:f>COUNTIFS(Games_Raw!$K$2:$K$1232,"Yes",Games_Raw!$I$2:$I$1232,B517,Games_Raw!$J$2:$J$1232,A517)</ns0:f>
        <ns0:v>0</ns0:v>
      </ns0:c>
      <ns0:c r="E517" t="str">
        <ns0:f>C517&amp;"-"&amp;D517</ns0:f>
        <ns0:v>4-0</ns0:v>
      </ns0:c>
      <ns0:c r="F517">
        <ns0:f>COUNTIFS(Games_Raw!$K$2:$K$1232,"Yes",Games_Raw!$I$2:$I$1232,A517)</ns0:f>
        <ns0:v>49</ns0:v>
      </ns0:c>
      <ns0:c r="G517">
        <ns0:f>COUNTIFS(Games_Raw!$K$2:$K$1232,"Yes",Games_Raw!$J$2:$J$1232,A517)</ns0:f>
        <ns0:v>33</ns0:v>
      </ns0:c>
    </ns0:row>
    <ns0:row r="518">
      <ns0:c r="A518" t="inlineStr">
        <ns0:is>
          <ns0:t>Minnesota Timberwolves</ns0:t>
        </ns0:is>
      </ns0:c>
      <ns0:c r="B518" t="inlineStr">
        <ns0:is>
          <ns0:t>Portland Trail Blazers</ns0:t>
        </ns0:is>
      </ns0:c>
      <ns0:c r="C518">
        <ns0:f>COUNTIFS(Games_Raw!$K$2:$K$1232,"Yes",Games_Raw!$I$2:$I$1232,A518,Games_Raw!$J$2:$J$1232,B518)</ns0:f>
        <ns0:v>2</ns0:v>
      </ns0:c>
      <ns0:c r="D518">
        <ns0:f>COUNTIFS(Games_Raw!$K$2:$K$1232,"Yes",Games_Raw!$I$2:$I$1232,B518,Games_Raw!$J$2:$J$1232,A518)</ns0:f>
        <ns0:v>2</ns0:v>
      </ns0:c>
      <ns0:c r="E518" t="str">
        <ns0:f>C518&amp;"-"&amp;D518</ns0:f>
        <ns0:v>2-2</ns0:v>
      </ns0:c>
      <ns0:c r="F518">
        <ns0:f>COUNTIFS(Games_Raw!$K$2:$K$1232,"Yes",Games_Raw!$I$2:$I$1232,A518)</ns0:f>
        <ns0:v>49</ns0:v>
      </ns0:c>
      <ns0:c r="G518">
        <ns0:f>COUNTIFS(Games_Raw!$K$2:$K$1232,"Yes",Games_Raw!$J$2:$J$1232,A518)</ns0:f>
        <ns0:v>33</ns0:v>
      </ns0:c>
    </ns0:row>
    <ns0:row r="519">
      <ns0:c r="A519" t="inlineStr">
        <ns0:is>
          <ns0:t>Minnesota Timberwolves</ns0:t>
        </ns0:is>
      </ns0:c>
      <ns0:c r="B519" t="inlineStr">
        <ns0:is>
          <ns0:t>Sacramento Kings</ns0:t>
        </ns0:is>
      </ns0:c>
      <ns0:c r="C519">
        <ns0:f>COUNTIFS(Games_Raw!$K$2:$K$1232,"Yes",Games_Raw!$I$2:$I$1232,A519,Games_Raw!$J$2:$J$1232,B519)</ns0:f>
        <ns0:v>2</ns0:v>
      </ns0:c>
      <ns0:c r="D519">
        <ns0:f>COUNTIFS(Games_Raw!$K$2:$K$1232,"Yes",Games_Raw!$I$2:$I$1232,B519,Games_Raw!$J$2:$J$1232,A519)</ns0:f>
        <ns0:v>2</ns0:v>
      </ns0:c>
      <ns0:c r="E519" t="str">
        <ns0:f>C519&amp;"-"&amp;D519</ns0:f>
        <ns0:v>2-2</ns0:v>
      </ns0:c>
      <ns0:c r="F519">
        <ns0:f>COUNTIFS(Games_Raw!$K$2:$K$1232,"Yes",Games_Raw!$I$2:$I$1232,A519)</ns0:f>
        <ns0:v>49</ns0:v>
      </ns0:c>
      <ns0:c r="G519">
        <ns0:f>COUNTIFS(Games_Raw!$K$2:$K$1232,"Yes",Games_Raw!$J$2:$J$1232,A519)</ns0:f>
        <ns0:v>33</ns0:v>
      </ns0:c>
    </ns0:row>
    <ns0:row r="520">
      <ns0:c r="A520" t="inlineStr">
        <ns0:is>
          <ns0:t>Minnesota Timberwolves</ns0:t>
        </ns0:is>
      </ns0:c>
      <ns0:c r="B520" t="inlineStr">
        <ns0:is>
          <ns0:t>San Antonio Spurs</ns0:t>
        </ns0:is>
      </ns0:c>
      <ns0:c r="C520">
        <ns0:f>COUNTIFS(Games_Raw!$K$2:$K$1232,"Yes",Games_Raw!$I$2:$I$1232,A520,Games_Raw!$J$2:$J$1232,B520)</ns0:f>
        <ns0:v>3</ns0:v>
      </ns0:c>
      <ns0:c r="D520">
        <ns0:f>COUNTIFS(Games_Raw!$K$2:$K$1232,"Yes",Games_Raw!$I$2:$I$1232,B520,Games_Raw!$J$2:$J$1232,A520)</ns0:f>
        <ns0:v>1</ns0:v>
      </ns0:c>
      <ns0:c r="E520" t="str">
        <ns0:f>C520&amp;"-"&amp;D520</ns0:f>
        <ns0:v>3-1</ns0:v>
      </ns0:c>
      <ns0:c r="F520">
        <ns0:f>COUNTIFS(Games_Raw!$K$2:$K$1232,"Yes",Games_Raw!$I$2:$I$1232,A520)</ns0:f>
        <ns0:v>49</ns0:v>
      </ns0:c>
      <ns0:c r="G520">
        <ns0:f>COUNTIFS(Games_Raw!$K$2:$K$1232,"Yes",Games_Raw!$J$2:$J$1232,A520)</ns0:f>
        <ns0:v>33</ns0:v>
      </ns0:c>
    </ns0:row>
    <ns0:row r="521">
      <ns0:c r="A521" t="inlineStr">
        <ns0:is>
          <ns0:t>Minnesota Timberwolves</ns0:t>
        </ns0:is>
      </ns0:c>
      <ns0:c r="B521" t="inlineStr">
        <ns0:is>
          <ns0:t>Toronto Raptors</ns0:t>
        </ns0:is>
      </ns0:c>
      <ns0:c r="C521">
        <ns0:f>COUNTIFS(Games_Raw!$K$2:$K$1232,"Yes",Games_Raw!$I$2:$I$1232,A521,Games_Raw!$J$2:$J$1232,B521)</ns0:f>
        <ns0:v>1</ns0:v>
      </ns0:c>
      <ns0:c r="D521">
        <ns0:f>COUNTIFS(Games_Raw!$K$2:$K$1232,"Yes",Games_Raw!$I$2:$I$1232,B521,Games_Raw!$J$2:$J$1232,A521)</ns0:f>
        <ns0:v>1</ns0:v>
      </ns0:c>
      <ns0:c r="E521" t="str">
        <ns0:f>C521&amp;"-"&amp;D521</ns0:f>
        <ns0:v>1-1</ns0:v>
      </ns0:c>
      <ns0:c r="F521">
        <ns0:f>COUNTIFS(Games_Raw!$K$2:$K$1232,"Yes",Games_Raw!$I$2:$I$1232,A521)</ns0:f>
        <ns0:v>49</ns0:v>
      </ns0:c>
      <ns0:c r="G521">
        <ns0:f>COUNTIFS(Games_Raw!$K$2:$K$1232,"Yes",Games_Raw!$J$2:$J$1232,A521)</ns0:f>
        <ns0:v>33</ns0:v>
      </ns0:c>
    </ns0:row>
    <ns0:row r="522">
      <ns0:c r="A522" t="inlineStr">
        <ns0:is>
          <ns0:t>Minnesota Timberwolves</ns0:t>
        </ns0:is>
      </ns0:c>
      <ns0:c r="B522" t="inlineStr">
        <ns0:is>
          <ns0:t>Utah Jazz</ns0:t>
        </ns0:is>
      </ns0:c>
      <ns0:c r="C522">
        <ns0:f>COUNTIFS(Games_Raw!$K$2:$K$1232,"Yes",Games_Raw!$I$2:$I$1232,A522,Games_Raw!$J$2:$J$1232,B522)</ns0:f>
        <ns0:v>3</ns0:v>
      </ns0:c>
      <ns0:c r="D522">
        <ns0:f>COUNTIFS(Games_Raw!$K$2:$K$1232,"Yes",Games_Raw!$I$2:$I$1232,B522,Games_Raw!$J$2:$J$1232,A522)</ns0:f>
        <ns0:v>1</ns0:v>
      </ns0:c>
      <ns0:c r="E522" t="str">
        <ns0:f>C522&amp;"-"&amp;D522</ns0:f>
        <ns0:v>3-1</ns0:v>
      </ns0:c>
      <ns0:c r="F522">
        <ns0:f>COUNTIFS(Games_Raw!$K$2:$K$1232,"Yes",Games_Raw!$I$2:$I$1232,A522)</ns0:f>
        <ns0:v>49</ns0:v>
      </ns0:c>
      <ns0:c r="G522">
        <ns0:f>COUNTIFS(Games_Raw!$K$2:$K$1232,"Yes",Games_Raw!$J$2:$J$1232,A522)</ns0:f>
        <ns0:v>33</ns0:v>
      </ns0:c>
    </ns0:row>
    <ns0:row r="523">
      <ns0:c r="A523" t="inlineStr">
        <ns0:is>
          <ns0:t>Minnesota Timberwolves</ns0:t>
        </ns0:is>
      </ns0:c>
      <ns0:c r="B523" t="inlineStr">
        <ns0:is>
          <ns0:t>Washington Wizards</ns0:t>
        </ns0:is>
      </ns0:c>
      <ns0:c r="C523">
        <ns0:f>COUNTIFS(Games_Raw!$K$2:$K$1232,"Yes",Games_Raw!$I$2:$I$1232,A523,Games_Raw!$J$2:$J$1232,B523)</ns0:f>
        <ns0:v>1</ns0:v>
      </ns0:c>
      <ns0:c r="D523">
        <ns0:f>COUNTIFS(Games_Raw!$K$2:$K$1232,"Yes",Games_Raw!$I$2:$I$1232,B523,Games_Raw!$J$2:$J$1232,A523)</ns0:f>
        <ns0:v>1</ns0:v>
      </ns0:c>
      <ns0:c r="E523" t="str">
        <ns0:f>C523&amp;"-"&amp;D523</ns0:f>
        <ns0:v>1-1</ns0:v>
      </ns0:c>
      <ns0:c r="F523">
        <ns0:f>COUNTIFS(Games_Raw!$K$2:$K$1232,"Yes",Games_Raw!$I$2:$I$1232,A523)</ns0:f>
        <ns0:v>49</ns0:v>
      </ns0:c>
      <ns0:c r="G523">
        <ns0:f>COUNTIFS(Games_Raw!$K$2:$K$1232,"Yes",Games_Raw!$J$2:$J$1232,A523)</ns0:f>
        <ns0:v>33</ns0:v>
      </ns0:c>
    </ns0:row>
    <ns0:row r="524">
      <ns0:c r="A524" t="inlineStr">
        <ns0:is>
          <ns0:t>New Orleans Pelicans</ns0:t>
        </ns0:is>
      </ns0:c>
      <ns0:c r="B524" t="inlineStr">
        <ns0:is>
          <ns0:t>Atlanta Hawks</ns0:t>
        </ns0:is>
      </ns0:c>
      <ns0:c r="C524">
        <ns0:f>COUNTIFS(Games_Raw!$K$2:$K$1232,"Yes",Games_Raw!$I$2:$I$1232,A524,Games_Raw!$J$2:$J$1232,B524)</ns0:f>
        <ns0:v>0</ns0:v>
      </ns0:c>
      <ns0:c r="D524">
        <ns0:f>COUNTIFS(Games_Raw!$K$2:$K$1232,"Yes",Games_Raw!$I$2:$I$1232,B524,Games_Raw!$J$2:$J$1232,A524)</ns0:f>
        <ns0:v>2</ns0:v>
      </ns0:c>
      <ns0:c r="E524" t="str">
        <ns0:f>C524&amp;"-"&amp;D524</ns0:f>
        <ns0:v>0-2</ns0:v>
      </ns0:c>
      <ns0:c r="F524">
        <ns0:f>COUNTIFS(Games_Raw!$K$2:$K$1232,"Yes",Games_Raw!$I$2:$I$1232,A524)</ns0:f>
        <ns0:v>21</ns0:v>
      </ns0:c>
      <ns0:c r="G524">
        <ns0:f>COUNTIFS(Games_Raw!$K$2:$K$1232,"Yes",Games_Raw!$J$2:$J$1232,A524)</ns0:f>
        <ns0:v>61</ns0:v>
      </ns0:c>
    </ns0:row>
    <ns0:row r="525">
      <ns0:c r="A525" t="inlineStr">
        <ns0:is>
          <ns0:t>New Orleans Pelicans</ns0:t>
        </ns0:is>
      </ns0:c>
      <ns0:c r="B525" t="inlineStr">
        <ns0:is>
          <ns0:t>Boston Celtics</ns0:t>
        </ns0:is>
      </ns0:c>
      <ns0:c r="C525">
        <ns0:f>COUNTIFS(Games_Raw!$K$2:$K$1232,"Yes",Games_Raw!$I$2:$I$1232,A525,Games_Raw!$J$2:$J$1232,B525)</ns0:f>
        <ns0:v>0</ns0:v>
      </ns0:c>
      <ns0:c r="D525">
        <ns0:f>COUNTIFS(Games_Raw!$K$2:$K$1232,"Yes",Games_Raw!$I$2:$I$1232,B525,Games_Raw!$J$2:$J$1232,A525)</ns0:f>
        <ns0:v>2</ns0:v>
      </ns0:c>
      <ns0:c r="E525" t="str">
        <ns0:f>C525&amp;"-"&amp;D525</ns0:f>
        <ns0:v>0-2</ns0:v>
      </ns0:c>
      <ns0:c r="F525">
        <ns0:f>COUNTIFS(Games_Raw!$K$2:$K$1232,"Yes",Games_Raw!$I$2:$I$1232,A525)</ns0:f>
        <ns0:v>21</ns0:v>
      </ns0:c>
      <ns0:c r="G525">
        <ns0:f>COUNTIFS(Games_Raw!$K$2:$K$1232,"Yes",Games_Raw!$J$2:$J$1232,A525)</ns0:f>
        <ns0:v>61</ns0:v>
      </ns0:c>
    </ns0:row>
    <ns0:row r="526">
      <ns0:c r="A526" t="inlineStr">
        <ns0:is>
          <ns0:t>New Orleans Pelicans</ns0:t>
        </ns0:is>
      </ns0:c>
      <ns0:c r="B526" t="inlineStr">
        <ns0:is>
          <ns0:t>Brooklyn Nets</ns0:t>
        </ns0:is>
      </ns0:c>
      <ns0:c r="C526">
        <ns0:f>COUNTIFS(Games_Raw!$K$2:$K$1232,"Yes",Games_Raw!$I$2:$I$1232,A526,Games_Raw!$J$2:$J$1232,B526)</ns0:f>
        <ns0:v>0</ns0:v>
      </ns0:c>
      <ns0:c r="D526">
        <ns0:f>COUNTIFS(Games_Raw!$K$2:$K$1232,"Yes",Games_Raw!$I$2:$I$1232,B526,Games_Raw!$J$2:$J$1232,A526)</ns0:f>
        <ns0:v>2</ns0:v>
      </ns0:c>
      <ns0:c r="E526" t="str">
        <ns0:f>C526&amp;"-"&amp;D526</ns0:f>
        <ns0:v>0-2</ns0:v>
      </ns0:c>
      <ns0:c r="F526">
        <ns0:f>COUNTIFS(Games_Raw!$K$2:$K$1232,"Yes",Games_Raw!$I$2:$I$1232,A526)</ns0:f>
        <ns0:v>21</ns0:v>
      </ns0:c>
      <ns0:c r="G526">
        <ns0:f>COUNTIFS(Games_Raw!$K$2:$K$1232,"Yes",Games_Raw!$J$2:$J$1232,A526)</ns0:f>
        <ns0:v>61</ns0:v>
      </ns0:c>
    </ns0:row>
    <ns0:row r="527">
      <ns0:c r="A527" t="inlineStr">
        <ns0:is>
          <ns0:t>New Orleans Pelicans</ns0:t>
        </ns0:is>
      </ns0:c>
      <ns0:c r="B527" t="inlineStr">
        <ns0:is>
          <ns0:t>Charlotte Hornets</ns0:t>
        </ns0:is>
      </ns0:c>
      <ns0:c r="C527">
        <ns0:f>COUNTIFS(Games_Raw!$K$2:$K$1232,"Yes",Games_Raw!$I$2:$I$1232,A527,Games_Raw!$J$2:$J$1232,B527)</ns0:f>
        <ns0:v>1</ns0:v>
      </ns0:c>
      <ns0:c r="D527">
        <ns0:f>COUNTIFS(Games_Raw!$K$2:$K$1232,"Yes",Games_Raw!$I$2:$I$1232,B527,Games_Raw!$J$2:$J$1232,A527)</ns0:f>
        <ns0:v>1</ns0:v>
      </ns0:c>
      <ns0:c r="E527" t="str">
        <ns0:f>C527&amp;"-"&amp;D527</ns0:f>
        <ns0:v>1-1</ns0:v>
      </ns0:c>
      <ns0:c r="F527">
        <ns0:f>COUNTIFS(Games_Raw!$K$2:$K$1232,"Yes",Games_Raw!$I$2:$I$1232,A527)</ns0:f>
        <ns0:v>21</ns0:v>
      </ns0:c>
      <ns0:c r="G527">
        <ns0:f>COUNTIFS(Games_Raw!$K$2:$K$1232,"Yes",Games_Raw!$J$2:$J$1232,A527)</ns0:f>
        <ns0:v>61</ns0:v>
      </ns0:c>
    </ns0:row>
    <ns0:row r="528">
      <ns0:c r="A528" t="inlineStr">
        <ns0:is>
          <ns0:t>New Orleans Pelicans</ns0:t>
        </ns0:is>
      </ns0:c>
      <ns0:c r="B528" t="inlineStr">
        <ns0:is>
          <ns0:t>Chicago Bulls</ns0:t>
        </ns0:is>
      </ns0:c>
      <ns0:c r="C528">
        <ns0:f>COUNTIFS(Games_Raw!$K$2:$K$1232,"Yes",Games_Raw!$I$2:$I$1232,A528,Games_Raw!$J$2:$J$1232,B528)</ns0:f>
        <ns0:v>2</ns0:v>
      </ns0:c>
      <ns0:c r="D528">
        <ns0:f>COUNTIFS(Games_Raw!$K$2:$K$1232,"Yes",Games_Raw!$I$2:$I$1232,B528,Games_Raw!$J$2:$J$1232,A528)</ns0:f>
        <ns0:v>0</ns0:v>
      </ns0:c>
      <ns0:c r="E528" t="str">
        <ns0:f>C528&amp;"-"&amp;D528</ns0:f>
        <ns0:v>2-0</ns0:v>
      </ns0:c>
      <ns0:c r="F528">
        <ns0:f>COUNTIFS(Games_Raw!$K$2:$K$1232,"Yes",Games_Raw!$I$2:$I$1232,A528)</ns0:f>
        <ns0:v>21</ns0:v>
      </ns0:c>
      <ns0:c r="G528">
        <ns0:f>COUNTIFS(Games_Raw!$K$2:$K$1232,"Yes",Games_Raw!$J$2:$J$1232,A528)</ns0:f>
        <ns0:v>61</ns0:v>
      </ns0:c>
    </ns0:row>
    <ns0:row r="529">
      <ns0:c r="A529" t="inlineStr">
        <ns0:is>
          <ns0:t>New Orleans Pelicans</ns0:t>
        </ns0:is>
      </ns0:c>
      <ns0:c r="B529" t="inlineStr">
        <ns0:is>
          <ns0:t>Cleveland Cavaliers</ns0:t>
        </ns0:is>
      </ns0:c>
      <ns0:c r="C529">
        <ns0:f>COUNTIFS(Games_Raw!$K$2:$K$1232,"Yes",Games_Raw!$I$2:$I$1232,A529,Games_Raw!$J$2:$J$1232,B529)</ns0:f>
        <ns0:v>0</ns0:v>
      </ns0:c>
      <ns0:c r="D529">
        <ns0:f>COUNTIFS(Games_Raw!$K$2:$K$1232,"Yes",Games_Raw!$I$2:$I$1232,B529,Games_Raw!$J$2:$J$1232,A529)</ns0:f>
        <ns0:v>2</ns0:v>
      </ns0:c>
      <ns0:c r="E529" t="str">
        <ns0:f>C529&amp;"-"&amp;D529</ns0:f>
        <ns0:v>0-2</ns0:v>
      </ns0:c>
      <ns0:c r="F529">
        <ns0:f>COUNTIFS(Games_Raw!$K$2:$K$1232,"Yes",Games_Raw!$I$2:$I$1232,A529)</ns0:f>
        <ns0:v>21</ns0:v>
      </ns0:c>
      <ns0:c r="G529">
        <ns0:f>COUNTIFS(Games_Raw!$K$2:$K$1232,"Yes",Games_Raw!$J$2:$J$1232,A529)</ns0:f>
        <ns0:v>61</ns0:v>
      </ns0:c>
    </ns0:row>
    <ns0:row r="530">
      <ns0:c r="A530" t="inlineStr">
        <ns0:is>
          <ns0:t>New Orleans Pelicans</ns0:t>
        </ns0:is>
      </ns0:c>
      <ns0:c r="B530" t="inlineStr">
        <ns0:is>
          <ns0:t>Dallas Mavericks</ns0:t>
        </ns0:is>
      </ns0:c>
      <ns0:c r="C530">
        <ns0:f>COUNTIFS(Games_Raw!$K$2:$K$1232,"Yes",Games_Raw!$I$2:$I$1232,A530,Games_Raw!$J$2:$J$1232,B530)</ns0:f>
        <ns0:v>1</ns0:v>
      </ns0:c>
      <ns0:c r="D530">
        <ns0:f>COUNTIFS(Games_Raw!$K$2:$K$1232,"Yes",Games_Raw!$I$2:$I$1232,B530,Games_Raw!$J$2:$J$1232,A530)</ns0:f>
        <ns0:v>3</ns0:v>
      </ns0:c>
      <ns0:c r="E530" t="str">
        <ns0:f>C530&amp;"-"&amp;D530</ns0:f>
        <ns0:v>1-3</ns0:v>
      </ns0:c>
      <ns0:c r="F530">
        <ns0:f>COUNTIFS(Games_Raw!$K$2:$K$1232,"Yes",Games_Raw!$I$2:$I$1232,A530)</ns0:f>
        <ns0:v>21</ns0:v>
      </ns0:c>
      <ns0:c r="G530">
        <ns0:f>COUNTIFS(Games_Raw!$K$2:$K$1232,"Yes",Games_Raw!$J$2:$J$1232,A530)</ns0:f>
        <ns0:v>61</ns0:v>
      </ns0:c>
    </ns0:row>
    <ns0:row r="531">
      <ns0:c r="A531" t="inlineStr">
        <ns0:is>
          <ns0:t>New Orleans Pelicans</ns0:t>
        </ns0:is>
      </ns0:c>
      <ns0:c r="B531" t="inlineStr">
        <ns0:is>
          <ns0:t>Denver Nuggets</ns0:t>
        </ns0:is>
      </ns0:c>
      <ns0:c r="C531">
        <ns0:f>COUNTIFS(Games_Raw!$K$2:$K$1232,"Yes",Games_Raw!$I$2:$I$1232,A531,Games_Raw!$J$2:$J$1232,B531)</ns0:f>
        <ns0:v>1</ns0:v>
      </ns0:c>
      <ns0:c r="D531">
        <ns0:f>COUNTIFS(Games_Raw!$K$2:$K$1232,"Yes",Games_Raw!$I$2:$I$1232,B531,Games_Raw!$J$2:$J$1232,A531)</ns0:f>
        <ns0:v>3</ns0:v>
      </ns0:c>
      <ns0:c r="E531" t="str">
        <ns0:f>C531&amp;"-"&amp;D531</ns0:f>
        <ns0:v>1-3</ns0:v>
      </ns0:c>
      <ns0:c r="F531">
        <ns0:f>COUNTIFS(Games_Raw!$K$2:$K$1232,"Yes",Games_Raw!$I$2:$I$1232,A531)</ns0:f>
        <ns0:v>21</ns0:v>
      </ns0:c>
      <ns0:c r="G531">
        <ns0:f>COUNTIFS(Games_Raw!$K$2:$K$1232,"Yes",Games_Raw!$J$2:$J$1232,A531)</ns0:f>
        <ns0:v>61</ns0:v>
      </ns0:c>
    </ns0:row>
    <ns0:row r="532">
      <ns0:c r="A532" t="inlineStr">
        <ns0:is>
          <ns0:t>New Orleans Pelicans</ns0:t>
        </ns0:is>
      </ns0:c>
      <ns0:c r="B532" t="inlineStr">
        <ns0:is>
          <ns0:t>Detroit Pistons</ns0:t>
        </ns0:is>
      </ns0:c>
      <ns0:c r="C532">
        <ns0:f>COUNTIFS(Games_Raw!$K$2:$K$1232,"Yes",Games_Raw!$I$2:$I$1232,A532,Games_Raw!$J$2:$J$1232,B532)</ns0:f>
        <ns0:v>0</ns0:v>
      </ns0:c>
      <ns0:c r="D532">
        <ns0:f>COUNTIFS(Games_Raw!$K$2:$K$1232,"Yes",Games_Raw!$I$2:$I$1232,B532,Games_Raw!$J$2:$J$1232,A532)</ns0:f>
        <ns0:v>2</ns0:v>
      </ns0:c>
      <ns0:c r="E532" t="str">
        <ns0:f>C532&amp;"-"&amp;D532</ns0:f>
        <ns0:v>0-2</ns0:v>
      </ns0:c>
      <ns0:c r="F532">
        <ns0:f>COUNTIFS(Games_Raw!$K$2:$K$1232,"Yes",Games_Raw!$I$2:$I$1232,A532)</ns0:f>
        <ns0:v>21</ns0:v>
      </ns0:c>
      <ns0:c r="G532">
        <ns0:f>COUNTIFS(Games_Raw!$K$2:$K$1232,"Yes",Games_Raw!$J$2:$J$1232,A532)</ns0:f>
        <ns0:v>61</ns0:v>
      </ns0:c>
    </ns0:row>
    <ns0:row r="533">
      <ns0:c r="A533" t="inlineStr">
        <ns0:is>
          <ns0:t>New Orleans Pelicans</ns0:t>
        </ns0:is>
      </ns0:c>
      <ns0:c r="B533" t="inlineStr">
        <ns0:is>
          <ns0:t>Golden State Warriors</ns0:t>
        </ns0:is>
      </ns0:c>
      <ns0:c r="C533">
        <ns0:f>COUNTIFS(Games_Raw!$K$2:$K$1232,"Yes",Games_Raw!$I$2:$I$1232,A533,Games_Raw!$J$2:$J$1232,B533)</ns0:f>
        <ns0:v>0</ns0:v>
      </ns0:c>
      <ns0:c r="D533">
        <ns0:f>COUNTIFS(Games_Raw!$K$2:$K$1232,"Yes",Games_Raw!$I$2:$I$1232,B533,Games_Raw!$J$2:$J$1232,A533)</ns0:f>
        <ns0:v>4</ns0:v>
      </ns0:c>
      <ns0:c r="E533" t="str">
        <ns0:f>C533&amp;"-"&amp;D533</ns0:f>
        <ns0:v>0-4</ns0:v>
      </ns0:c>
      <ns0:c r="F533">
        <ns0:f>COUNTIFS(Games_Raw!$K$2:$K$1232,"Yes",Games_Raw!$I$2:$I$1232,A533)</ns0:f>
        <ns0:v>21</ns0:v>
      </ns0:c>
      <ns0:c r="G533">
        <ns0:f>COUNTIFS(Games_Raw!$K$2:$K$1232,"Yes",Games_Raw!$J$2:$J$1232,A533)</ns0:f>
        <ns0:v>61</ns0:v>
      </ns0:c>
    </ns0:row>
    <ns0:row r="534">
      <ns0:c r="A534" t="inlineStr">
        <ns0:is>
          <ns0:t>New Orleans Pelicans</ns0:t>
        </ns0:is>
      </ns0:c>
      <ns0:c r="B534" t="inlineStr">
        <ns0:is>
          <ns0:t>Houston Rockets</ns0:t>
        </ns0:is>
      </ns0:c>
      <ns0:c r="C534">
        <ns0:f>COUNTIFS(Games_Raw!$K$2:$K$1232,"Yes",Games_Raw!$I$2:$I$1232,A534,Games_Raw!$J$2:$J$1232,B534)</ns0:f>
        <ns0:v>0</ns0:v>
      </ns0:c>
      <ns0:c r="D534">
        <ns0:f>COUNTIFS(Games_Raw!$K$2:$K$1232,"Yes",Games_Raw!$I$2:$I$1232,B534,Games_Raw!$J$2:$J$1232,A534)</ns0:f>
        <ns0:v>4</ns0:v>
      </ns0:c>
      <ns0:c r="E534" t="str">
        <ns0:f>C534&amp;"-"&amp;D534</ns0:f>
        <ns0:v>0-4</ns0:v>
      </ns0:c>
      <ns0:c r="F534">
        <ns0:f>COUNTIFS(Games_Raw!$K$2:$K$1232,"Yes",Games_Raw!$I$2:$I$1232,A534)</ns0:f>
        <ns0:v>21</ns0:v>
      </ns0:c>
      <ns0:c r="G534">
        <ns0:f>COUNTIFS(Games_Raw!$K$2:$K$1232,"Yes",Games_Raw!$J$2:$J$1232,A534)</ns0:f>
        <ns0:v>61</ns0:v>
      </ns0:c>
    </ns0:row>
    <ns0:row r="535">
      <ns0:c r="A535" t="inlineStr">
        <ns0:is>
          <ns0:t>New Orleans Pelicans</ns0:t>
        </ns0:is>
      </ns0:c>
      <ns0:c r="B535" t="inlineStr">
        <ns0:is>
          <ns0:t>Indiana Pacers</ns0:t>
        </ns0:is>
      </ns0:c>
      <ns0:c r="C535">
        <ns0:f>COUNTIFS(Games_Raw!$K$2:$K$1232,"Yes",Games_Raw!$I$2:$I$1232,A535,Games_Raw!$J$2:$J$1232,B535)</ns0:f>
        <ns0:v>1</ns0:v>
      </ns0:c>
      <ns0:c r="D535">
        <ns0:f>COUNTIFS(Games_Raw!$K$2:$K$1232,"Yes",Games_Raw!$I$2:$I$1232,B535,Games_Raw!$J$2:$J$1232,A535)</ns0:f>
        <ns0:v>2</ns0:v>
      </ns0:c>
      <ns0:c r="E535" t="str">
        <ns0:f>C535&amp;"-"&amp;D535</ns0:f>
        <ns0:v>1-2</ns0:v>
      </ns0:c>
      <ns0:c r="F535">
        <ns0:f>COUNTIFS(Games_Raw!$K$2:$K$1232,"Yes",Games_Raw!$I$2:$I$1232,A535)</ns0:f>
        <ns0:v>21</ns0:v>
      </ns0:c>
      <ns0:c r="G535">
        <ns0:f>COUNTIFS(Games_Raw!$K$2:$K$1232,"Yes",Games_Raw!$J$2:$J$1232,A535)</ns0:f>
        <ns0:v>61</ns0:v>
      </ns0:c>
    </ns0:row>
    <ns0:row r="536">
      <ns0:c r="A536" t="inlineStr">
        <ns0:is>
          <ns0:t>New Orleans Pelicans</ns0:t>
        </ns0:is>
      </ns0:c>
      <ns0:c r="B536" t="inlineStr">
        <ns0:is>
          <ns0:t>LA Clippers</ns0:t>
        </ns0:is>
      </ns0:c>
      <ns0:c r="C536">
        <ns0:f>COUNTIFS(Games_Raw!$K$2:$K$1232,"Yes",Games_Raw!$I$2:$I$1232,A536,Games_Raw!$J$2:$J$1232,B536)</ns0:f>
        <ns0:v>1</ns0:v>
      </ns0:c>
      <ns0:c r="D536">
        <ns0:f>COUNTIFS(Games_Raw!$K$2:$K$1232,"Yes",Games_Raw!$I$2:$I$1232,B536,Games_Raw!$J$2:$J$1232,A536)</ns0:f>
        <ns0:v>2</ns0:v>
      </ns0:c>
      <ns0:c r="E536" t="str">
        <ns0:f>C536&amp;"-"&amp;D536</ns0:f>
        <ns0:v>1-2</ns0:v>
      </ns0:c>
      <ns0:c r="F536">
        <ns0:f>COUNTIFS(Games_Raw!$K$2:$K$1232,"Yes",Games_Raw!$I$2:$I$1232,A536)</ns0:f>
        <ns0:v>21</ns0:v>
      </ns0:c>
      <ns0:c r="G536">
        <ns0:f>COUNTIFS(Games_Raw!$K$2:$K$1232,"Yes",Games_Raw!$J$2:$J$1232,A536)</ns0:f>
        <ns0:v>61</ns0:v>
      </ns0:c>
    </ns0:row>
    <ns0:row r="537">
      <ns0:c r="A537" t="inlineStr">
        <ns0:is>
          <ns0:t>New Orleans Pelicans</ns0:t>
        </ns0:is>
      </ns0:c>
      <ns0:c r="B537" t="inlineStr">
        <ns0:is>
          <ns0:t>Los Angeles Lakers</ns0:t>
        </ns0:is>
      </ns0:c>
      <ns0:c r="C537">
        <ns0:f>COUNTIFS(Games_Raw!$K$2:$K$1232,"Yes",Games_Raw!$I$2:$I$1232,A537,Games_Raw!$J$2:$J$1232,B537)</ns0:f>
        <ns0:v>0</ns0:v>
      </ns0:c>
      <ns0:c r="D537">
        <ns0:f>COUNTIFS(Games_Raw!$K$2:$K$1232,"Yes",Games_Raw!$I$2:$I$1232,B537,Games_Raw!$J$2:$J$1232,A537)</ns0:f>
        <ns0:v>3</ns0:v>
      </ns0:c>
      <ns0:c r="E537" t="str">
        <ns0:f>C537&amp;"-"&amp;D537</ns0:f>
        <ns0:v>0-3</ns0:v>
      </ns0:c>
      <ns0:c r="F537">
        <ns0:f>COUNTIFS(Games_Raw!$K$2:$K$1232,"Yes",Games_Raw!$I$2:$I$1232,A537)</ns0:f>
        <ns0:v>21</ns0:v>
      </ns0:c>
      <ns0:c r="G537">
        <ns0:f>COUNTIFS(Games_Raw!$K$2:$K$1232,"Yes",Games_Raw!$J$2:$J$1232,A537)</ns0:f>
        <ns0:v>61</ns0:v>
      </ns0:c>
    </ns0:row>
    <ns0:row r="538">
      <ns0:c r="A538" t="inlineStr">
        <ns0:is>
          <ns0:t>New Orleans Pelicans</ns0:t>
        </ns0:is>
      </ns0:c>
      <ns0:c r="B538" t="inlineStr">
        <ns0:is>
          <ns0:t>Memphis Grizzlies</ns0:t>
        </ns0:is>
      </ns0:c>
      <ns0:c r="C538">
        <ns0:f>COUNTIFS(Games_Raw!$K$2:$K$1232,"Yes",Games_Raw!$I$2:$I$1232,A538,Games_Raw!$J$2:$J$1232,B538)</ns0:f>
        <ns0:v>0</ns0:v>
      </ns0:c>
      <ns0:c r="D538">
        <ns0:f>COUNTIFS(Games_Raw!$K$2:$K$1232,"Yes",Games_Raw!$I$2:$I$1232,B538,Games_Raw!$J$2:$J$1232,A538)</ns0:f>
        <ns0:v>4</ns0:v>
      </ns0:c>
      <ns0:c r="E538" t="str">
        <ns0:f>C538&amp;"-"&amp;D538</ns0:f>
        <ns0:v>0-4</ns0:v>
      </ns0:c>
      <ns0:c r="F538">
        <ns0:f>COUNTIFS(Games_Raw!$K$2:$K$1232,"Yes",Games_Raw!$I$2:$I$1232,A538)</ns0:f>
        <ns0:v>21</ns0:v>
      </ns0:c>
      <ns0:c r="G538">
        <ns0:f>COUNTIFS(Games_Raw!$K$2:$K$1232,"Yes",Games_Raw!$J$2:$J$1232,A538)</ns0:f>
        <ns0:v>61</ns0:v>
      </ns0:c>
    </ns0:row>
    <ns0:row r="539">
      <ns0:c r="A539" t="inlineStr">
        <ns0:is>
          <ns0:t>New Orleans Pelicans</ns0:t>
        </ns0:is>
      </ns0:c>
      <ns0:c r="B539" t="inlineStr">
        <ns0:is>
          <ns0:t>Miami Heat</ns0:t>
        </ns0:is>
      </ns0:c>
      <ns0:c r="C539">
        <ns0:f>COUNTIFS(Games_Raw!$K$2:$K$1232,"Yes",Games_Raw!$I$2:$I$1232,A539,Games_Raw!$J$2:$J$1232,B539)</ns0:f>
        <ns0:v>0</ns0:v>
      </ns0:c>
      <ns0:c r="D539">
        <ns0:f>COUNTIFS(Games_Raw!$K$2:$K$1232,"Yes",Games_Raw!$I$2:$I$1232,B539,Games_Raw!$J$2:$J$1232,A539)</ns0:f>
        <ns0:v>2</ns0:v>
      </ns0:c>
      <ns0:c r="E539" t="str">
        <ns0:f>C539&amp;"-"&amp;D539</ns0:f>
        <ns0:v>0-2</ns0:v>
      </ns0:c>
      <ns0:c r="F539">
        <ns0:f>COUNTIFS(Games_Raw!$K$2:$K$1232,"Yes",Games_Raw!$I$2:$I$1232,A539)</ns0:f>
        <ns0:v>21</ns0:v>
      </ns0:c>
      <ns0:c r="G539">
        <ns0:f>COUNTIFS(Games_Raw!$K$2:$K$1232,"Yes",Games_Raw!$J$2:$J$1232,A539)</ns0:f>
        <ns0:v>61</ns0:v>
      </ns0:c>
    </ns0:row>
    <ns0:row r="540">
      <ns0:c r="A540" t="inlineStr">
        <ns0:is>
          <ns0:t>New Orleans Pelicans</ns0:t>
        </ns0:is>
      </ns0:c>
      <ns0:c r="B540" t="inlineStr">
        <ns0:is>
          <ns0:t>Milwaukee Bucks</ns0:t>
        </ns0:is>
      </ns0:c>
      <ns0:c r="C540">
        <ns0:f>COUNTIFS(Games_Raw!$K$2:$K$1232,"Yes",Games_Raw!$I$2:$I$1232,A540,Games_Raw!$J$2:$J$1232,B540)</ns0:f>
        <ns0:v>0</ns0:v>
      </ns0:c>
      <ns0:c r="D540">
        <ns0:f>COUNTIFS(Games_Raw!$K$2:$K$1232,"Yes",Games_Raw!$I$2:$I$1232,B540,Games_Raw!$J$2:$J$1232,A540)</ns0:f>
        <ns0:v>2</ns0:v>
      </ns0:c>
      <ns0:c r="E540" t="str">
        <ns0:f>C540&amp;"-"&amp;D540</ns0:f>
        <ns0:v>0-2</ns0:v>
      </ns0:c>
      <ns0:c r="F540">
        <ns0:f>COUNTIFS(Games_Raw!$K$2:$K$1232,"Yes",Games_Raw!$I$2:$I$1232,A540)</ns0:f>
        <ns0:v>21</ns0:v>
      </ns0:c>
      <ns0:c r="G540">
        <ns0:f>COUNTIFS(Games_Raw!$K$2:$K$1232,"Yes",Games_Raw!$J$2:$J$1232,A540)</ns0:f>
        <ns0:v>61</ns0:v>
      </ns0:c>
    </ns0:row>
    <ns0:row r="541">
      <ns0:c r="A541" t="inlineStr">
        <ns0:is>
          <ns0:t>New Orleans Pelicans</ns0:t>
        </ns0:is>
      </ns0:c>
      <ns0:c r="B541" t="inlineStr">
        <ns0:is>
          <ns0:t>Minnesota Timberwolves</ns0:t>
        </ns0:is>
      </ns0:c>
      <ns0:c r="C541">
        <ns0:f>COUNTIFS(Games_Raw!$K$2:$K$1232,"Yes",Games_Raw!$I$2:$I$1232,A541,Games_Raw!$J$2:$J$1232,B541)</ns0:f>
        <ns0:v>1</ns0:v>
      </ns0:c>
      <ns0:c r="D541">
        <ns0:f>COUNTIFS(Games_Raw!$K$2:$K$1232,"Yes",Games_Raw!$I$2:$I$1232,B541,Games_Raw!$J$2:$J$1232,A541)</ns0:f>
        <ns0:v>2</ns0:v>
      </ns0:c>
      <ns0:c r="E541" t="str">
        <ns0:f>C541&amp;"-"&amp;D541</ns0:f>
        <ns0:v>1-2</ns0:v>
      </ns0:c>
      <ns0:c r="F541">
        <ns0:f>COUNTIFS(Games_Raw!$K$2:$K$1232,"Yes",Games_Raw!$I$2:$I$1232,A541)</ns0:f>
        <ns0:v>21</ns0:v>
      </ns0:c>
      <ns0:c r="G541">
        <ns0:f>COUNTIFS(Games_Raw!$K$2:$K$1232,"Yes",Games_Raw!$J$2:$J$1232,A541)</ns0:f>
        <ns0:v>61</ns0:v>
      </ns0:c>
    </ns0:row>
    <ns0:row r="542">
      <ns0:c r="A542" t="inlineStr">
        <ns0:is>
          <ns0:t>New Orleans Pelicans</ns0:t>
        </ns0:is>
      </ns0:c>
      <ns0:c r="B542" t="inlineStr">
        <ns0:is>
          <ns0:t>New York Knicks</ns0:t>
        </ns0:is>
      </ns0:c>
      <ns0:c r="C542">
        <ns0:f>COUNTIFS(Games_Raw!$K$2:$K$1232,"Yes",Games_Raw!$I$2:$I$1232,A542,Games_Raw!$J$2:$J$1232,B542)</ns0:f>
        <ns0:v>0</ns0:v>
      </ns0:c>
      <ns0:c r="D542">
        <ns0:f>COUNTIFS(Games_Raw!$K$2:$K$1232,"Yes",Games_Raw!$I$2:$I$1232,B542,Games_Raw!$J$2:$J$1232,A542)</ns0:f>
        <ns0:v>2</ns0:v>
      </ns0:c>
      <ns0:c r="E542" t="str">
        <ns0:f>C542&amp;"-"&amp;D542</ns0:f>
        <ns0:v>0-2</ns0:v>
      </ns0:c>
      <ns0:c r="F542">
        <ns0:f>COUNTIFS(Games_Raw!$K$2:$K$1232,"Yes",Games_Raw!$I$2:$I$1232,A542)</ns0:f>
        <ns0:v>21</ns0:v>
      </ns0:c>
      <ns0:c r="G542">
        <ns0:f>COUNTIFS(Games_Raw!$K$2:$K$1232,"Yes",Games_Raw!$J$2:$J$1232,A542)</ns0:f>
        <ns0:v>61</ns0:v>
      </ns0:c>
    </ns0:row>
    <ns0:row r="543">
      <ns0:c r="A543" t="inlineStr">
        <ns0:is>
          <ns0:t>New Orleans Pelicans</ns0:t>
        </ns0:is>
      </ns0:c>
      <ns0:c r="B543" t="inlineStr">
        <ns0:is>
          <ns0:t>Oklahoma City Thunder</ns0:t>
        </ns0:is>
      </ns0:c>
      <ns0:c r="C543">
        <ns0:f>COUNTIFS(Games_Raw!$K$2:$K$1232,"Yes",Games_Raw!$I$2:$I$1232,A543,Games_Raw!$J$2:$J$1232,B543)</ns0:f>
        <ns0:v>0</ns0:v>
      </ns0:c>
      <ns0:c r="D543">
        <ns0:f>COUNTIFS(Games_Raw!$K$2:$K$1232,"Yes",Games_Raw!$I$2:$I$1232,B543,Games_Raw!$J$2:$J$1232,A543)</ns0:f>
        <ns0:v>4</ns0:v>
      </ns0:c>
      <ns0:c r="E543" t="str">
        <ns0:f>C543&amp;"-"&amp;D543</ns0:f>
        <ns0:v>0-4</ns0:v>
      </ns0:c>
      <ns0:c r="F543">
        <ns0:f>COUNTIFS(Games_Raw!$K$2:$K$1232,"Yes",Games_Raw!$I$2:$I$1232,A543)</ns0:f>
        <ns0:v>21</ns0:v>
      </ns0:c>
      <ns0:c r="G543">
        <ns0:f>COUNTIFS(Games_Raw!$K$2:$K$1232,"Yes",Games_Raw!$J$2:$J$1232,A543)</ns0:f>
        <ns0:v>61</ns0:v>
      </ns0:c>
    </ns0:row>
    <ns0:row r="544">
      <ns0:c r="A544" t="inlineStr">
        <ns0:is>
          <ns0:t>New Orleans Pelicans</ns0:t>
        </ns0:is>
      </ns0:c>
      <ns0:c r="B544" t="inlineStr">
        <ns0:is>
          <ns0:t>Orlando Magic</ns0:t>
        </ns0:is>
      </ns0:c>
      <ns0:c r="C544">
        <ns0:f>COUNTIFS(Games_Raw!$K$2:$K$1232,"Yes",Games_Raw!$I$2:$I$1232,A544,Games_Raw!$J$2:$J$1232,B544)</ns0:f>
        <ns0:v>0</ns0:v>
      </ns0:c>
      <ns0:c r="D544">
        <ns0:f>COUNTIFS(Games_Raw!$K$2:$K$1232,"Yes",Games_Raw!$I$2:$I$1232,B544,Games_Raw!$J$2:$J$1232,A544)</ns0:f>
        <ns0:v>2</ns0:v>
      </ns0:c>
      <ns0:c r="E544" t="str">
        <ns0:f>C544&amp;"-"&amp;D544</ns0:f>
        <ns0:v>0-2</ns0:v>
      </ns0:c>
      <ns0:c r="F544">
        <ns0:f>COUNTIFS(Games_Raw!$K$2:$K$1232,"Yes",Games_Raw!$I$2:$I$1232,A544)</ns0:f>
        <ns0:v>21</ns0:v>
      </ns0:c>
      <ns0:c r="G544">
        <ns0:f>COUNTIFS(Games_Raw!$K$2:$K$1232,"Yes",Games_Raw!$J$2:$J$1232,A544)</ns0:f>
        <ns0:v>61</ns0:v>
      </ns0:c>
    </ns0:row>
    <ns0:row r="545">
      <ns0:c r="A545" t="inlineStr">
        <ns0:is>
          <ns0:t>New Orleans Pelicans</ns0:t>
        </ns0:is>
      </ns0:c>
      <ns0:c r="B545" t="inlineStr">
        <ns0:is>
          <ns0:t>Philadelphia 76ers</ns0:t>
        </ns0:is>
      </ns0:c>
      <ns0:c r="C545">
        <ns0:f>COUNTIFS(Games_Raw!$K$2:$K$1232,"Yes",Games_Raw!$I$2:$I$1232,A545,Games_Raw!$J$2:$J$1232,B545)</ns0:f>
        <ns0:v>2</ns0:v>
      </ns0:c>
      <ns0:c r="D545">
        <ns0:f>COUNTIFS(Games_Raw!$K$2:$K$1232,"Yes",Games_Raw!$I$2:$I$1232,B545,Games_Raw!$J$2:$J$1232,A545)</ns0:f>
        <ns0:v>0</ns0:v>
      </ns0:c>
      <ns0:c r="E545" t="str">
        <ns0:f>C545&amp;"-"&amp;D545</ns0:f>
        <ns0:v>2-0</ns0:v>
      </ns0:c>
      <ns0:c r="F545">
        <ns0:f>COUNTIFS(Games_Raw!$K$2:$K$1232,"Yes",Games_Raw!$I$2:$I$1232,A545)</ns0:f>
        <ns0:v>21</ns0:v>
      </ns0:c>
      <ns0:c r="G545">
        <ns0:f>COUNTIFS(Games_Raw!$K$2:$K$1232,"Yes",Games_Raw!$J$2:$J$1232,A545)</ns0:f>
        <ns0:v>61</ns0:v>
      </ns0:c>
    </ns0:row>
    <ns0:row r="546">
      <ns0:c r="A546" t="inlineStr">
        <ns0:is>
          <ns0:t>New Orleans Pelicans</ns0:t>
        </ns0:is>
      </ns0:c>
      <ns0:c r="B546" t="inlineStr">
        <ns0:is>
          <ns0:t>Phoenix Suns</ns0:t>
        </ns0:is>
      </ns0:c>
      <ns0:c r="C546">
        <ns0:f>COUNTIFS(Games_Raw!$K$2:$K$1232,"Yes",Games_Raw!$I$2:$I$1232,A546,Games_Raw!$J$2:$J$1232,B546)</ns0:f>
        <ns0:v>2</ns0:v>
      </ns0:c>
      <ns0:c r="D546">
        <ns0:f>COUNTIFS(Games_Raw!$K$2:$K$1232,"Yes",Games_Raw!$I$2:$I$1232,B546,Games_Raw!$J$2:$J$1232,A546)</ns0:f>
        <ns0:v>1</ns0:v>
      </ns0:c>
      <ns0:c r="E546" t="str">
        <ns0:f>C546&amp;"-"&amp;D546</ns0:f>
        <ns0:v>2-1</ns0:v>
      </ns0:c>
      <ns0:c r="F546">
        <ns0:f>COUNTIFS(Games_Raw!$K$2:$K$1232,"Yes",Games_Raw!$I$2:$I$1232,A546)</ns0:f>
        <ns0:v>21</ns0:v>
      </ns0:c>
      <ns0:c r="G546">
        <ns0:f>COUNTIFS(Games_Raw!$K$2:$K$1232,"Yes",Games_Raw!$J$2:$J$1232,A546)</ns0:f>
        <ns0:v>61</ns0:v>
      </ns0:c>
    </ns0:row>
    <ns0:row r="547">
      <ns0:c r="A547" t="inlineStr">
        <ns0:is>
          <ns0:t>New Orleans Pelicans</ns0:t>
        </ns0:is>
      </ns0:c>
      <ns0:c r="B547" t="inlineStr">
        <ns0:is>
          <ns0:t>Portland Trail Blazers</ns0:t>
        </ns0:is>
      </ns0:c>
      <ns0:c r="C547">
        <ns0:f>COUNTIFS(Games_Raw!$K$2:$K$1232,"Yes",Games_Raw!$I$2:$I$1232,A547,Games_Raw!$J$2:$J$1232,B547)</ns0:f>
        <ns0:v>1</ns0:v>
      </ns0:c>
      <ns0:c r="D547">
        <ns0:f>COUNTIFS(Games_Raw!$K$2:$K$1232,"Yes",Games_Raw!$I$2:$I$1232,B547,Games_Raw!$J$2:$J$1232,A547)</ns0:f>
        <ns0:v>3</ns0:v>
      </ns0:c>
      <ns0:c r="E547" t="str">
        <ns0:f>C547&amp;"-"&amp;D547</ns0:f>
        <ns0:v>1-3</ns0:v>
      </ns0:c>
      <ns0:c r="F547">
        <ns0:f>COUNTIFS(Games_Raw!$K$2:$K$1232,"Yes",Games_Raw!$I$2:$I$1232,A547)</ns0:f>
        <ns0:v>21</ns0:v>
      </ns0:c>
      <ns0:c r="G547">
        <ns0:f>COUNTIFS(Games_Raw!$K$2:$K$1232,"Yes",Games_Raw!$J$2:$J$1232,A547)</ns0:f>
        <ns0:v>61</ns0:v>
      </ns0:c>
    </ns0:row>
    <ns0:row r="548">
      <ns0:c r="A548" t="inlineStr">
        <ns0:is>
          <ns0:t>New Orleans Pelicans</ns0:t>
        </ns0:is>
      </ns0:c>
      <ns0:c r="B548" t="inlineStr">
        <ns0:is>
          <ns0:t>Sacramento Kings</ns0:t>
        </ns0:is>
      </ns0:c>
      <ns0:c r="C548">
        <ns0:f>COUNTIFS(Games_Raw!$K$2:$K$1232,"Yes",Games_Raw!$I$2:$I$1232,A548,Games_Raw!$J$2:$J$1232,B548)</ns0:f>
        <ns0:v>1</ns0:v>
      </ns0:c>
      <ns0:c r="D548">
        <ns0:f>COUNTIFS(Games_Raw!$K$2:$K$1232,"Yes",Games_Raw!$I$2:$I$1232,B548,Games_Raw!$J$2:$J$1232,A548)</ns0:f>
        <ns0:v>3</ns0:v>
      </ns0:c>
      <ns0:c r="E548" t="str">
        <ns0:f>C548&amp;"-"&amp;D548</ns0:f>
        <ns0:v>1-3</ns0:v>
      </ns0:c>
      <ns0:c r="F548">
        <ns0:f>COUNTIFS(Games_Raw!$K$2:$K$1232,"Yes",Games_Raw!$I$2:$I$1232,A548)</ns0:f>
        <ns0:v>21</ns0:v>
      </ns0:c>
      <ns0:c r="G548">
        <ns0:f>COUNTIFS(Games_Raw!$K$2:$K$1232,"Yes",Games_Raw!$J$2:$J$1232,A548)</ns0:f>
        <ns0:v>61</ns0:v>
      </ns0:c>
    </ns0:row>
    <ns0:row r="549">
      <ns0:c r="A549" t="inlineStr">
        <ns0:is>
          <ns0:t>New Orleans Pelicans</ns0:t>
        </ns0:is>
      </ns0:c>
      <ns0:c r="B549" t="inlineStr">
        <ns0:is>
          <ns0:t>San Antonio Spurs</ns0:t>
        </ns0:is>
      </ns0:c>
      <ns0:c r="C549">
        <ns0:f>COUNTIFS(Games_Raw!$K$2:$K$1232,"Yes",Games_Raw!$I$2:$I$1232,A549,Games_Raw!$J$2:$J$1232,B549)</ns0:f>
        <ns0:v>2</ns0:v>
      </ns0:c>
      <ns0:c r="D549">
        <ns0:f>COUNTIFS(Games_Raw!$K$2:$K$1232,"Yes",Games_Raw!$I$2:$I$1232,B549,Games_Raw!$J$2:$J$1232,A549)</ns0:f>
        <ns0:v>2</ns0:v>
      </ns0:c>
      <ns0:c r="E549" t="str">
        <ns0:f>C549&amp;"-"&amp;D549</ns0:f>
        <ns0:v>2-2</ns0:v>
      </ns0:c>
      <ns0:c r="F549">
        <ns0:f>COUNTIFS(Games_Raw!$K$2:$K$1232,"Yes",Games_Raw!$I$2:$I$1232,A549)</ns0:f>
        <ns0:v>21</ns0:v>
      </ns0:c>
      <ns0:c r="G549">
        <ns0:f>COUNTIFS(Games_Raw!$K$2:$K$1232,"Yes",Games_Raw!$J$2:$J$1232,A549)</ns0:f>
        <ns0:v>61</ns0:v>
      </ns0:c>
    </ns0:row>
    <ns0:row r="550">
      <ns0:c r="A550" t="inlineStr">
        <ns0:is>
          <ns0:t>New Orleans Pelicans</ns0:t>
        </ns0:is>
      </ns0:c>
      <ns0:c r="B550" t="inlineStr">
        <ns0:is>
          <ns0:t>Toronto Raptors</ns0:t>
        </ns0:is>
      </ns0:c>
      <ns0:c r="C550">
        <ns0:f>COUNTIFS(Games_Raw!$K$2:$K$1232,"Yes",Games_Raw!$I$2:$I$1232,A550,Games_Raw!$J$2:$J$1232,B550)</ns0:f>
        <ns0:v>0</ns0:v>
      </ns0:c>
      <ns0:c r="D550">
        <ns0:f>COUNTIFS(Games_Raw!$K$2:$K$1232,"Yes",Games_Raw!$I$2:$I$1232,B550,Games_Raw!$J$2:$J$1232,A550)</ns0:f>
        <ns0:v>2</ns0:v>
      </ns0:c>
      <ns0:c r="E550" t="str">
        <ns0:f>C550&amp;"-"&amp;D550</ns0:f>
        <ns0:v>0-2</ns0:v>
      </ns0:c>
      <ns0:c r="F550">
        <ns0:f>COUNTIFS(Games_Raw!$K$2:$K$1232,"Yes",Games_Raw!$I$2:$I$1232,A550)</ns0:f>
        <ns0:v>21</ns0:v>
      </ns0:c>
      <ns0:c r="G550">
        <ns0:f>COUNTIFS(Games_Raw!$K$2:$K$1232,"Yes",Games_Raw!$J$2:$J$1232,A550)</ns0:f>
        <ns0:v>61</ns0:v>
      </ns0:c>
    </ns0:row>
    <ns0:row r="551">
      <ns0:c r="A551" t="inlineStr">
        <ns0:is>
          <ns0:t>New Orleans Pelicans</ns0:t>
        </ns0:is>
      </ns0:c>
      <ns0:c r="B551" t="inlineStr">
        <ns0:is>
          <ns0:t>Utah Jazz</ns0:t>
        </ns0:is>
      </ns0:c>
      <ns0:c r="C551">
        <ns0:f>COUNTIFS(Games_Raw!$K$2:$K$1232,"Yes",Games_Raw!$I$2:$I$1232,A551,Games_Raw!$J$2:$J$1232,B551)</ns0:f>
        <ns0:v>3</ns0:v>
      </ns0:c>
      <ns0:c r="D551">
        <ns0:f>COUNTIFS(Games_Raw!$K$2:$K$1232,"Yes",Games_Raw!$I$2:$I$1232,B551,Games_Raw!$J$2:$J$1232,A551)</ns0:f>
        <ns0:v>0</ns0:v>
      </ns0:c>
      <ns0:c r="E551" t="str">
        <ns0:f>C551&amp;"-"&amp;D551</ns0:f>
        <ns0:v>3-0</ns0:v>
      </ns0:c>
      <ns0:c r="F551">
        <ns0:f>COUNTIFS(Games_Raw!$K$2:$K$1232,"Yes",Games_Raw!$I$2:$I$1232,A551)</ns0:f>
        <ns0:v>21</ns0:v>
      </ns0:c>
      <ns0:c r="G551">
        <ns0:f>COUNTIFS(Games_Raw!$K$2:$K$1232,"Yes",Games_Raw!$J$2:$J$1232,A551)</ns0:f>
        <ns0:v>61</ns0:v>
      </ns0:c>
    </ns0:row>
    <ns0:row r="552">
      <ns0:c r="A552" t="inlineStr">
        <ns0:is>
          <ns0:t>New Orleans Pelicans</ns0:t>
        </ns0:is>
      </ns0:c>
      <ns0:c r="B552" t="inlineStr">
        <ns0:is>
          <ns0:t>Washington Wizards</ns0:t>
        </ns0:is>
      </ns0:c>
      <ns0:c r="C552">
        <ns0:f>COUNTIFS(Games_Raw!$K$2:$K$1232,"Yes",Games_Raw!$I$2:$I$1232,A552,Games_Raw!$J$2:$J$1232,B552)</ns0:f>
        <ns0:v>2</ns0:v>
      </ns0:c>
      <ns0:c r="D552">
        <ns0:f>COUNTIFS(Games_Raw!$K$2:$K$1232,"Yes",Games_Raw!$I$2:$I$1232,B552,Games_Raw!$J$2:$J$1232,A552)</ns0:f>
        <ns0:v>0</ns0:v>
      </ns0:c>
      <ns0:c r="E552" t="str">
        <ns0:f>C552&amp;"-"&amp;D552</ns0:f>
        <ns0:v>2-0</ns0:v>
      </ns0:c>
      <ns0:c r="F552">
        <ns0:f>COUNTIFS(Games_Raw!$K$2:$K$1232,"Yes",Games_Raw!$I$2:$I$1232,A552)</ns0:f>
        <ns0:v>21</ns0:v>
      </ns0:c>
      <ns0:c r="G552">
        <ns0:f>COUNTIFS(Games_Raw!$K$2:$K$1232,"Yes",Games_Raw!$J$2:$J$1232,A552)</ns0:f>
        <ns0:v>61</ns0:v>
      </ns0:c>
    </ns0:row>
    <ns0:row r="553">
      <ns0:c r="A553" t="inlineStr">
        <ns0:is>
          <ns0:t>New York Knicks</ns0:t>
        </ns0:is>
      </ns0:c>
      <ns0:c r="B553" t="inlineStr">
        <ns0:is>
          <ns0:t>Atlanta Hawks</ns0:t>
        </ns0:is>
      </ns0:c>
      <ns0:c r="C553">
        <ns0:f>COUNTIFS(Games_Raw!$K$2:$K$1232,"Yes",Games_Raw!$I$2:$I$1232,A553,Games_Raw!$J$2:$J$1232,B553)</ns0:f>
        <ns0:v>3</ns0:v>
      </ns0:c>
      <ns0:c r="D553">
        <ns0:f>COUNTIFS(Games_Raw!$K$2:$K$1232,"Yes",Games_Raw!$I$2:$I$1232,B553,Games_Raw!$J$2:$J$1232,A553)</ns0:f>
        <ns0:v>2</ns0:v>
      </ns0:c>
      <ns0:c r="E553" t="str">
        <ns0:f>C553&amp;"-"&amp;D553</ns0:f>
        <ns0:v>3-2</ns0:v>
      </ns0:c>
      <ns0:c r="F553">
        <ns0:f>COUNTIFS(Games_Raw!$K$2:$K$1232,"Yes",Games_Raw!$I$2:$I$1232,A553)</ns0:f>
        <ns0:v>51</ns0:v>
      </ns0:c>
      <ns0:c r="G553">
        <ns0:f>COUNTIFS(Games_Raw!$K$2:$K$1232,"Yes",Games_Raw!$J$2:$J$1232,A553)</ns0:f>
        <ns0:v>31</ns0:v>
      </ns0:c>
    </ns0:row>
    <ns0:row r="554">
      <ns0:c r="A554" t="inlineStr">
        <ns0:is>
          <ns0:t>New York Knicks</ns0:t>
        </ns0:is>
      </ns0:c>
      <ns0:c r="B554" t="inlineStr">
        <ns0:is>
          <ns0:t>Boston Celtics</ns0:t>
        </ns0:is>
      </ns0:c>
      <ns0:c r="C554">
        <ns0:f>COUNTIFS(Games_Raw!$K$2:$K$1232,"Yes",Games_Raw!$I$2:$I$1232,A554,Games_Raw!$J$2:$J$1232,B554)</ns0:f>
        <ns0:v>0</ns0:v>
      </ns0:c>
      <ns0:c r="D554">
        <ns0:f>COUNTIFS(Games_Raw!$K$2:$K$1232,"Yes",Games_Raw!$I$2:$I$1232,B554,Games_Raw!$J$2:$J$1232,A554)</ns0:f>
        <ns0:v>4</ns0:v>
      </ns0:c>
      <ns0:c r="E554" t="str">
        <ns0:f>C554&amp;"-"&amp;D554</ns0:f>
        <ns0:v>0-4</ns0:v>
      </ns0:c>
      <ns0:c r="F554">
        <ns0:f>COUNTIFS(Games_Raw!$K$2:$K$1232,"Yes",Games_Raw!$I$2:$I$1232,A554)</ns0:f>
        <ns0:v>51</ns0:v>
      </ns0:c>
      <ns0:c r="G554">
        <ns0:f>COUNTIFS(Games_Raw!$K$2:$K$1232,"Yes",Games_Raw!$J$2:$J$1232,A554)</ns0:f>
        <ns0:v>31</ns0:v>
      </ns0:c>
    </ns0:row>
    <ns0:row r="555">
      <ns0:c r="A555" t="inlineStr">
        <ns0:is>
          <ns0:t>New York Knicks</ns0:t>
        </ns0:is>
      </ns0:c>
      <ns0:c r="B555" t="inlineStr">
        <ns0:is>
          <ns0:t>Brooklyn Nets</ns0:t>
        </ns0:is>
      </ns0:c>
      <ns0:c r="C555">
        <ns0:f>COUNTIFS(Games_Raw!$K$2:$K$1232,"Yes",Games_Raw!$I$2:$I$1232,A555,Games_Raw!$J$2:$J$1232,B555)</ns0:f>
        <ns0:v>4</ns0:v>
      </ns0:c>
      <ns0:c r="D555">
        <ns0:f>COUNTIFS(Games_Raw!$K$2:$K$1232,"Yes",Games_Raw!$I$2:$I$1232,B555,Games_Raw!$J$2:$J$1232,A555)</ns0:f>
        <ns0:v>0</ns0:v>
      </ns0:c>
      <ns0:c r="E555" t="str">
        <ns0:f>C555&amp;"-"&amp;D555</ns0:f>
        <ns0:v>4-0</ns0:v>
      </ns0:c>
      <ns0:c r="F555">
        <ns0:f>COUNTIFS(Games_Raw!$K$2:$K$1232,"Yes",Games_Raw!$I$2:$I$1232,A555)</ns0:f>
        <ns0:v>51</ns0:v>
      </ns0:c>
      <ns0:c r="G555">
        <ns0:f>COUNTIFS(Games_Raw!$K$2:$K$1232,"Yes",Games_Raw!$J$2:$J$1232,A555)</ns0:f>
        <ns0:v>31</ns0:v>
      </ns0:c>
    </ns0:row>
    <ns0:row r="556">
      <ns0:c r="A556" t="inlineStr">
        <ns0:is>
          <ns0:t>New York Knicks</ns0:t>
        </ns0:is>
      </ns0:c>
      <ns0:c r="B556" t="inlineStr">
        <ns0:is>
          <ns0:t>Charlotte Hornets</ns0:t>
        </ns0:is>
      </ns0:c>
      <ns0:c r="C556">
        <ns0:f>COUNTIFS(Games_Raw!$K$2:$K$1232,"Yes",Games_Raw!$I$2:$I$1232,A556,Games_Raw!$J$2:$J$1232,B556)</ns0:f>
        <ns0:v>2</ns0:v>
      </ns0:c>
      <ns0:c r="D556">
        <ns0:f>COUNTIFS(Games_Raw!$K$2:$K$1232,"Yes",Games_Raw!$I$2:$I$1232,B556,Games_Raw!$J$2:$J$1232,A556)</ns0:f>
        <ns0:v>1</ns0:v>
      </ns0:c>
      <ns0:c r="E556" t="str">
        <ns0:f>C556&amp;"-"&amp;D556</ns0:f>
        <ns0:v>2-1</ns0:v>
      </ns0:c>
      <ns0:c r="F556">
        <ns0:f>COUNTIFS(Games_Raw!$K$2:$K$1232,"Yes",Games_Raw!$I$2:$I$1232,A556)</ns0:f>
        <ns0:v>51</ns0:v>
      </ns0:c>
      <ns0:c r="G556">
        <ns0:f>COUNTIFS(Games_Raw!$K$2:$K$1232,"Yes",Games_Raw!$J$2:$J$1232,A556)</ns0:f>
        <ns0:v>31</ns0:v>
      </ns0:c>
    </ns0:row>
    <ns0:row r="557">
      <ns0:c r="A557" t="inlineStr">
        <ns0:is>
          <ns0:t>New York Knicks</ns0:t>
        </ns0:is>
      </ns0:c>
      <ns0:c r="B557" t="inlineStr">
        <ns0:is>
          <ns0:t>Chicago Bulls</ns0:t>
        </ns0:is>
      </ns0:c>
      <ns0:c r="C557">
        <ns0:f>COUNTIFS(Games_Raw!$K$2:$K$1232,"Yes",Games_Raw!$I$2:$I$1232,A557,Games_Raw!$J$2:$J$1232,B557)</ns0:f>
        <ns0:v>1</ns0:v>
      </ns0:c>
      <ns0:c r="D557">
        <ns0:f>COUNTIFS(Games_Raw!$K$2:$K$1232,"Yes",Games_Raw!$I$2:$I$1232,B557,Games_Raw!$J$2:$J$1232,A557)</ns0:f>
        <ns0:v>2</ns0:v>
      </ns0:c>
      <ns0:c r="E557" t="str">
        <ns0:f>C557&amp;"-"&amp;D557</ns0:f>
        <ns0:v>1-2</ns0:v>
      </ns0:c>
      <ns0:c r="F557">
        <ns0:f>COUNTIFS(Games_Raw!$K$2:$K$1232,"Yes",Games_Raw!$I$2:$I$1232,A557)</ns0:f>
        <ns0:v>51</ns0:v>
      </ns0:c>
      <ns0:c r="G557">
        <ns0:f>COUNTIFS(Games_Raw!$K$2:$K$1232,"Yes",Games_Raw!$J$2:$J$1232,A557)</ns0:f>
        <ns0:v>31</ns0:v>
      </ns0:c>
    </ns0:row>
    <ns0:row r="558">
      <ns0:c r="A558" t="inlineStr">
        <ns0:is>
          <ns0:t>New York Knicks</ns0:t>
        </ns0:is>
      </ns0:c>
      <ns0:c r="B558" t="inlineStr">
        <ns0:is>
          <ns0:t>Cleveland Cavaliers</ns0:t>
        </ns0:is>
      </ns0:c>
      <ns0:c r="C558">
        <ns0:f>COUNTIFS(Games_Raw!$K$2:$K$1232,"Yes",Games_Raw!$I$2:$I$1232,A558,Games_Raw!$J$2:$J$1232,B558)</ns0:f>
        <ns0:v>0</ns0:v>
      </ns0:c>
      <ns0:c r="D558">
        <ns0:f>COUNTIFS(Games_Raw!$K$2:$K$1232,"Yes",Games_Raw!$I$2:$I$1232,B558,Games_Raw!$J$2:$J$1232,A558)</ns0:f>
        <ns0:v>4</ns0:v>
      </ns0:c>
      <ns0:c r="E558" t="str">
        <ns0:f>C558&amp;"-"&amp;D558</ns0:f>
        <ns0:v>0-4</ns0:v>
      </ns0:c>
      <ns0:c r="F558">
        <ns0:f>COUNTIFS(Games_Raw!$K$2:$K$1232,"Yes",Games_Raw!$I$2:$I$1232,A558)</ns0:f>
        <ns0:v>51</ns0:v>
      </ns0:c>
      <ns0:c r="G558">
        <ns0:f>COUNTIFS(Games_Raw!$K$2:$K$1232,"Yes",Games_Raw!$J$2:$J$1232,A558)</ns0:f>
        <ns0:v>31</ns0:v>
      </ns0:c>
    </ns0:row>
    <ns0:row r="559">
      <ns0:c r="A559" t="inlineStr">
        <ns0:is>
          <ns0:t>New York Knicks</ns0:t>
        </ns0:is>
      </ns0:c>
      <ns0:c r="B559" t="inlineStr">
        <ns0:is>
          <ns0:t>Dallas Mavericks</ns0:t>
        </ns0:is>
      </ns0:c>
      <ns0:c r="C559">
        <ns0:f>COUNTIFS(Games_Raw!$K$2:$K$1232,"Yes",Games_Raw!$I$2:$I$1232,A559,Games_Raw!$J$2:$J$1232,B559)</ns0:f>
        <ns0:v>1</ns0:v>
      </ns0:c>
      <ns0:c r="D559">
        <ns0:f>COUNTIFS(Games_Raw!$K$2:$K$1232,"Yes",Games_Raw!$I$2:$I$1232,B559,Games_Raw!$J$2:$J$1232,A559)</ns0:f>
        <ns0:v>1</ns0:v>
      </ns0:c>
      <ns0:c r="E559" t="str">
        <ns0:f>C559&amp;"-"&amp;D559</ns0:f>
        <ns0:v>1-1</ns0:v>
      </ns0:c>
      <ns0:c r="F559">
        <ns0:f>COUNTIFS(Games_Raw!$K$2:$K$1232,"Yes",Games_Raw!$I$2:$I$1232,A559)</ns0:f>
        <ns0:v>51</ns0:v>
      </ns0:c>
      <ns0:c r="G559">
        <ns0:f>COUNTIFS(Games_Raw!$K$2:$K$1232,"Yes",Games_Raw!$J$2:$J$1232,A559)</ns0:f>
        <ns0:v>31</ns0:v>
      </ns0:c>
    </ns0:row>
    <ns0:row r="560">
      <ns0:c r="A560" t="inlineStr">
        <ns0:is>
          <ns0:t>New York Knicks</ns0:t>
        </ns0:is>
      </ns0:c>
      <ns0:c r="B560" t="inlineStr">
        <ns0:is>
          <ns0:t>Denver Nuggets</ns0:t>
        </ns0:is>
      </ns0:c>
      <ns0:c r="C560">
        <ns0:f>COUNTIFS(Games_Raw!$K$2:$K$1232,"Yes",Games_Raw!$I$2:$I$1232,A560,Games_Raw!$J$2:$J$1232,B560)</ns0:f>
        <ns0:v>2</ns0:v>
      </ns0:c>
      <ns0:c r="D560">
        <ns0:f>COUNTIFS(Games_Raw!$K$2:$K$1232,"Yes",Games_Raw!$I$2:$I$1232,B560,Games_Raw!$J$2:$J$1232,A560)</ns0:f>
        <ns0:v>0</ns0:v>
      </ns0:c>
      <ns0:c r="E560" t="str">
        <ns0:f>C560&amp;"-"&amp;D560</ns0:f>
        <ns0:v>2-0</ns0:v>
      </ns0:c>
      <ns0:c r="F560">
        <ns0:f>COUNTIFS(Games_Raw!$K$2:$K$1232,"Yes",Games_Raw!$I$2:$I$1232,A560)</ns0:f>
        <ns0:v>51</ns0:v>
      </ns0:c>
      <ns0:c r="G560">
        <ns0:f>COUNTIFS(Games_Raw!$K$2:$K$1232,"Yes",Games_Raw!$J$2:$J$1232,A560)</ns0:f>
        <ns0:v>31</ns0:v>
      </ns0:c>
    </ns0:row>
    <ns0:row r="561">
      <ns0:c r="A561" t="inlineStr">
        <ns0:is>
          <ns0:t>New York Knicks</ns0:t>
        </ns0:is>
      </ns0:c>
      <ns0:c r="B561" t="inlineStr">
        <ns0:is>
          <ns0:t>Detroit Pistons</ns0:t>
        </ns0:is>
      </ns0:c>
      <ns0:c r="C561">
        <ns0:f>COUNTIFS(Games_Raw!$K$2:$K$1232,"Yes",Games_Raw!$I$2:$I$1232,A561,Games_Raw!$J$2:$J$1232,B561)</ns0:f>
        <ns0:v>1</ns0:v>
      </ns0:c>
      <ns0:c r="D561">
        <ns0:f>COUNTIFS(Games_Raw!$K$2:$K$1232,"Yes",Games_Raw!$I$2:$I$1232,B561,Games_Raw!$J$2:$J$1232,A561)</ns0:f>
        <ns0:v>3</ns0:v>
      </ns0:c>
      <ns0:c r="E561" t="str">
        <ns0:f>C561&amp;"-"&amp;D561</ns0:f>
        <ns0:v>1-3</ns0:v>
      </ns0:c>
      <ns0:c r="F561">
        <ns0:f>COUNTIFS(Games_Raw!$K$2:$K$1232,"Yes",Games_Raw!$I$2:$I$1232,A561)</ns0:f>
        <ns0:v>51</ns0:v>
      </ns0:c>
      <ns0:c r="G561">
        <ns0:f>COUNTIFS(Games_Raw!$K$2:$K$1232,"Yes",Games_Raw!$J$2:$J$1232,A561)</ns0:f>
        <ns0:v>31</ns0:v>
      </ns0:c>
    </ns0:row>
    <ns0:row r="562">
      <ns0:c r="A562" t="inlineStr">
        <ns0:is>
          <ns0:t>New York Knicks</ns0:t>
        </ns0:is>
      </ns0:c>
      <ns0:c r="B562" t="inlineStr">
        <ns0:is>
          <ns0:t>Golden State Warriors</ns0:t>
        </ns0:is>
      </ns0:c>
      <ns0:c r="C562">
        <ns0:f>COUNTIFS(Games_Raw!$K$2:$K$1232,"Yes",Games_Raw!$I$2:$I$1232,A562,Games_Raw!$J$2:$J$1232,B562)</ns0:f>
        <ns0:v>0</ns0:v>
      </ns0:c>
      <ns0:c r="D562">
        <ns0:f>COUNTIFS(Games_Raw!$K$2:$K$1232,"Yes",Games_Raw!$I$2:$I$1232,B562,Games_Raw!$J$2:$J$1232,A562)</ns0:f>
        <ns0:v>2</ns0:v>
      </ns0:c>
      <ns0:c r="E562" t="str">
        <ns0:f>C562&amp;"-"&amp;D562</ns0:f>
        <ns0:v>0-2</ns0:v>
      </ns0:c>
      <ns0:c r="F562">
        <ns0:f>COUNTIFS(Games_Raw!$K$2:$K$1232,"Yes",Games_Raw!$I$2:$I$1232,A562)</ns0:f>
        <ns0:v>51</ns0:v>
      </ns0:c>
      <ns0:c r="G562">
        <ns0:f>COUNTIFS(Games_Raw!$K$2:$K$1232,"Yes",Games_Raw!$J$2:$J$1232,A562)</ns0:f>
        <ns0:v>31</ns0:v>
      </ns0:c>
    </ns0:row>
    <ns0:row r="563">
      <ns0:c r="A563" t="inlineStr">
        <ns0:is>
          <ns0:t>New York Knicks</ns0:t>
        </ns0:is>
      </ns0:c>
      <ns0:c r="B563" t="inlineStr">
        <ns0:is>
          <ns0:t>Houston Rockets</ns0:t>
        </ns0:is>
      </ns0:c>
      <ns0:c r="C563">
        <ns0:f>COUNTIFS(Games_Raw!$K$2:$K$1232,"Yes",Games_Raw!$I$2:$I$1232,A563,Games_Raw!$J$2:$J$1232,B563)</ns0:f>
        <ns0:v>1</ns0:v>
      </ns0:c>
      <ns0:c r="D563">
        <ns0:f>COUNTIFS(Games_Raw!$K$2:$K$1232,"Yes",Games_Raw!$I$2:$I$1232,B563,Games_Raw!$J$2:$J$1232,A563)</ns0:f>
        <ns0:v>1</ns0:v>
      </ns0:c>
      <ns0:c r="E563" t="str">
        <ns0:f>C563&amp;"-"&amp;D563</ns0:f>
        <ns0:v>1-1</ns0:v>
      </ns0:c>
      <ns0:c r="F563">
        <ns0:f>COUNTIFS(Games_Raw!$K$2:$K$1232,"Yes",Games_Raw!$I$2:$I$1232,A563)</ns0:f>
        <ns0:v>51</ns0:v>
      </ns0:c>
      <ns0:c r="G563">
        <ns0:f>COUNTIFS(Games_Raw!$K$2:$K$1232,"Yes",Games_Raw!$J$2:$J$1232,A563)</ns0:f>
        <ns0:v>31</ns0:v>
      </ns0:c>
    </ns0:row>
    <ns0:row r="564">
      <ns0:c r="A564" t="inlineStr">
        <ns0:is>
          <ns0:t>New York Knicks</ns0:t>
        </ns0:is>
      </ns0:c>
      <ns0:c r="B564" t="inlineStr">
        <ns0:is>
          <ns0:t>Indiana Pacers</ns0:t>
        </ns0:is>
      </ns0:c>
      <ns0:c r="C564">
        <ns0:f>COUNTIFS(Games_Raw!$K$2:$K$1232,"Yes",Games_Raw!$I$2:$I$1232,A564,Games_Raw!$J$2:$J$1232,B564)</ns0:f>
        <ns0:v>2</ns0:v>
      </ns0:c>
      <ns0:c r="D564">
        <ns0:f>COUNTIFS(Games_Raw!$K$2:$K$1232,"Yes",Games_Raw!$I$2:$I$1232,B564,Games_Raw!$J$2:$J$1232,A564)</ns0:f>
        <ns0:v>1</ns0:v>
      </ns0:c>
      <ns0:c r="E564" t="str">
        <ns0:f>C564&amp;"-"&amp;D564</ns0:f>
        <ns0:v>2-1</ns0:v>
      </ns0:c>
      <ns0:c r="F564">
        <ns0:f>COUNTIFS(Games_Raw!$K$2:$K$1232,"Yes",Games_Raw!$I$2:$I$1232,A564)</ns0:f>
        <ns0:v>51</ns0:v>
      </ns0:c>
      <ns0:c r="G564">
        <ns0:f>COUNTIFS(Games_Raw!$K$2:$K$1232,"Yes",Games_Raw!$J$2:$J$1232,A564)</ns0:f>
        <ns0:v>31</ns0:v>
      </ns0:c>
    </ns0:row>
    <ns0:row r="565">
      <ns0:c r="A565" t="inlineStr">
        <ns0:is>
          <ns0:t>New York Knicks</ns0:t>
        </ns0:is>
      </ns0:c>
      <ns0:c r="B565" t="inlineStr">
        <ns0:is>
          <ns0:t>LA Clippers</ns0:t>
        </ns0:is>
      </ns0:c>
      <ns0:c r="C565">
        <ns0:f>COUNTIFS(Games_Raw!$K$2:$K$1232,"Yes",Games_Raw!$I$2:$I$1232,A565,Games_Raw!$J$2:$J$1232,B565)</ns0:f>
        <ns0:v>0</ns0:v>
      </ns0:c>
      <ns0:c r="D565">
        <ns0:f>COUNTIFS(Games_Raw!$K$2:$K$1232,"Yes",Games_Raw!$I$2:$I$1232,B565,Games_Raw!$J$2:$J$1232,A565)</ns0:f>
        <ns0:v>2</ns0:v>
      </ns0:c>
      <ns0:c r="E565" t="str">
        <ns0:f>C565&amp;"-"&amp;D565</ns0:f>
        <ns0:v>0-2</ns0:v>
      </ns0:c>
      <ns0:c r="F565">
        <ns0:f>COUNTIFS(Games_Raw!$K$2:$K$1232,"Yes",Games_Raw!$I$2:$I$1232,A565)</ns0:f>
        <ns0:v>51</ns0:v>
      </ns0:c>
      <ns0:c r="G565">
        <ns0:f>COUNTIFS(Games_Raw!$K$2:$K$1232,"Yes",Games_Raw!$J$2:$J$1232,A565)</ns0:f>
        <ns0:v>31</ns0:v>
      </ns0:c>
    </ns0:row>
    <ns0:row r="566">
      <ns0:c r="A566" t="inlineStr">
        <ns0:is>
          <ns0:t>New York Knicks</ns0:t>
        </ns0:is>
      </ns0:c>
      <ns0:c r="B566" t="inlineStr">
        <ns0:is>
          <ns0:t>Los Angeles Lakers</ns0:t>
        </ns0:is>
      </ns0:c>
      <ns0:c r="C566">
        <ns0:f>COUNTIFS(Games_Raw!$K$2:$K$1232,"Yes",Games_Raw!$I$2:$I$1232,A566,Games_Raw!$J$2:$J$1232,B566)</ns0:f>
        <ns0:v>0</ns0:v>
      </ns0:c>
      <ns0:c r="D566">
        <ns0:f>COUNTIFS(Games_Raw!$K$2:$K$1232,"Yes",Games_Raw!$I$2:$I$1232,B566,Games_Raw!$J$2:$J$1232,A566)</ns0:f>
        <ns0:v>2</ns0:v>
      </ns0:c>
      <ns0:c r="E566" t="str">
        <ns0:f>C566&amp;"-"&amp;D566</ns0:f>
        <ns0:v>0-2</ns0:v>
      </ns0:c>
      <ns0:c r="F566">
        <ns0:f>COUNTIFS(Games_Raw!$K$2:$K$1232,"Yes",Games_Raw!$I$2:$I$1232,A566)</ns0:f>
        <ns0:v>51</ns0:v>
      </ns0:c>
      <ns0:c r="G566">
        <ns0:f>COUNTIFS(Games_Raw!$K$2:$K$1232,"Yes",Games_Raw!$J$2:$J$1232,A566)</ns0:f>
        <ns0:v>31</ns0:v>
      </ns0:c>
    </ns0:row>
    <ns0:row r="567">
      <ns0:c r="A567" t="inlineStr">
        <ns0:is>
          <ns0:t>New York Knicks</ns0:t>
        </ns0:is>
      </ns0:c>
      <ns0:c r="B567" t="inlineStr">
        <ns0:is>
          <ns0:t>Memphis Grizzlies</ns0:t>
        </ns0:is>
      </ns0:c>
      <ns0:c r="C567">
        <ns0:f>COUNTIFS(Games_Raw!$K$2:$K$1232,"Yes",Games_Raw!$I$2:$I$1232,A567,Games_Raw!$J$2:$J$1232,B567)</ns0:f>
        <ns0:v>2</ns0:v>
      </ns0:c>
      <ns0:c r="D567">
        <ns0:f>COUNTIFS(Games_Raw!$K$2:$K$1232,"Yes",Games_Raw!$I$2:$I$1232,B567,Games_Raw!$J$2:$J$1232,A567)</ns0:f>
        <ns0:v>0</ns0:v>
      </ns0:c>
      <ns0:c r="E567" t="str">
        <ns0:f>C567&amp;"-"&amp;D567</ns0:f>
        <ns0:v>2-0</ns0:v>
      </ns0:c>
      <ns0:c r="F567">
        <ns0:f>COUNTIFS(Games_Raw!$K$2:$K$1232,"Yes",Games_Raw!$I$2:$I$1232,A567)</ns0:f>
        <ns0:v>51</ns0:v>
      </ns0:c>
      <ns0:c r="G567">
        <ns0:f>COUNTIFS(Games_Raw!$K$2:$K$1232,"Yes",Games_Raw!$J$2:$J$1232,A567)</ns0:f>
        <ns0:v>31</ns0:v>
      </ns0:c>
    </ns0:row>
    <ns0:row r="568">
      <ns0:c r="A568" t="inlineStr">
        <ns0:is>
          <ns0:t>New York Knicks</ns0:t>
        </ns0:is>
      </ns0:c>
      <ns0:c r="B568" t="inlineStr">
        <ns0:is>
          <ns0:t>Miami Heat</ns0:t>
        </ns0:is>
      </ns0:c>
      <ns0:c r="C568">
        <ns0:f>COUNTIFS(Games_Raw!$K$2:$K$1232,"Yes",Games_Raw!$I$2:$I$1232,A568,Games_Raw!$J$2:$J$1232,B568)</ns0:f>
        <ns0:v>3</ns0:v>
      </ns0:c>
      <ns0:c r="D568">
        <ns0:f>COUNTIFS(Games_Raw!$K$2:$K$1232,"Yes",Games_Raw!$I$2:$I$1232,B568,Games_Raw!$J$2:$J$1232,A568)</ns0:f>
        <ns0:v>0</ns0:v>
      </ns0:c>
      <ns0:c r="E568" t="str">
        <ns0:f>C568&amp;"-"&amp;D568</ns0:f>
        <ns0:v>3-0</ns0:v>
      </ns0:c>
      <ns0:c r="F568">
        <ns0:f>COUNTIFS(Games_Raw!$K$2:$K$1232,"Yes",Games_Raw!$I$2:$I$1232,A568)</ns0:f>
        <ns0:v>51</ns0:v>
      </ns0:c>
      <ns0:c r="G568">
        <ns0:f>COUNTIFS(Games_Raw!$K$2:$K$1232,"Yes",Games_Raw!$J$2:$J$1232,A568)</ns0:f>
        <ns0:v>31</ns0:v>
      </ns0:c>
    </ns0:row>
    <ns0:row r="569">
      <ns0:c r="A569" t="inlineStr">
        <ns0:is>
          <ns0:t>New York Knicks</ns0:t>
        </ns0:is>
      </ns0:c>
      <ns0:c r="B569" t="inlineStr">
        <ns0:is>
          <ns0:t>Milwaukee Bucks</ns0:t>
        </ns0:is>
      </ns0:c>
      <ns0:c r="C569">
        <ns0:f>COUNTIFS(Games_Raw!$K$2:$K$1232,"Yes",Games_Raw!$I$2:$I$1232,A569,Games_Raw!$J$2:$J$1232,B569)</ns0:f>
        <ns0:v>3</ns0:v>
      </ns0:c>
      <ns0:c r="D569">
        <ns0:f>COUNTIFS(Games_Raw!$K$2:$K$1232,"Yes",Games_Raw!$I$2:$I$1232,B569,Games_Raw!$J$2:$J$1232,A569)</ns0:f>
        <ns0:v>0</ns0:v>
      </ns0:c>
      <ns0:c r="E569" t="str">
        <ns0:f>C569&amp;"-"&amp;D569</ns0:f>
        <ns0:v>3-0</ns0:v>
      </ns0:c>
      <ns0:c r="F569">
        <ns0:f>COUNTIFS(Games_Raw!$K$2:$K$1232,"Yes",Games_Raw!$I$2:$I$1232,A569)</ns0:f>
        <ns0:v>51</ns0:v>
      </ns0:c>
      <ns0:c r="G569">
        <ns0:f>COUNTIFS(Games_Raw!$K$2:$K$1232,"Yes",Games_Raw!$J$2:$J$1232,A569)</ns0:f>
        <ns0:v>31</ns0:v>
      </ns0:c>
    </ns0:row>
    <ns0:row r="570">
      <ns0:c r="A570" t="inlineStr">
        <ns0:is>
          <ns0:t>New York Knicks</ns0:t>
        </ns0:is>
      </ns0:c>
      <ns0:c r="B570" t="inlineStr">
        <ns0:is>
          <ns0:t>Minnesota Timberwolves</ns0:t>
        </ns0:is>
      </ns0:c>
      <ns0:c r="C570">
        <ns0:f>COUNTIFS(Games_Raw!$K$2:$K$1232,"Yes",Games_Raw!$I$2:$I$1232,A570,Games_Raw!$J$2:$J$1232,B570)</ns0:f>
        <ns0:v>1</ns0:v>
      </ns0:c>
      <ns0:c r="D570">
        <ns0:f>COUNTIFS(Games_Raw!$K$2:$K$1232,"Yes",Games_Raw!$I$2:$I$1232,B570,Games_Raw!$J$2:$J$1232,A570)</ns0:f>
        <ns0:v>1</ns0:v>
      </ns0:c>
      <ns0:c r="E570" t="str">
        <ns0:f>C570&amp;"-"&amp;D570</ns0:f>
        <ns0:v>1-1</ns0:v>
      </ns0:c>
      <ns0:c r="F570">
        <ns0:f>COUNTIFS(Games_Raw!$K$2:$K$1232,"Yes",Games_Raw!$I$2:$I$1232,A570)</ns0:f>
        <ns0:v>51</ns0:v>
      </ns0:c>
      <ns0:c r="G570">
        <ns0:f>COUNTIFS(Games_Raw!$K$2:$K$1232,"Yes",Games_Raw!$J$2:$J$1232,A570)</ns0:f>
        <ns0:v>31</ns0:v>
      </ns0:c>
    </ns0:row>
    <ns0:row r="571">
      <ns0:c r="A571" t="inlineStr">
        <ns0:is>
          <ns0:t>New York Knicks</ns0:t>
        </ns0:is>
      </ns0:c>
      <ns0:c r="B571" t="inlineStr">
        <ns0:is>
          <ns0:t>New Orleans Pelicans</ns0:t>
        </ns0:is>
      </ns0:c>
      <ns0:c r="C571">
        <ns0:f>COUNTIFS(Games_Raw!$K$2:$K$1232,"Yes",Games_Raw!$I$2:$I$1232,A571,Games_Raw!$J$2:$J$1232,B571)</ns0:f>
        <ns0:v>2</ns0:v>
      </ns0:c>
      <ns0:c r="D571">
        <ns0:f>COUNTIFS(Games_Raw!$K$2:$K$1232,"Yes",Games_Raw!$I$2:$I$1232,B571,Games_Raw!$J$2:$J$1232,A571)</ns0:f>
        <ns0:v>0</ns0:v>
      </ns0:c>
      <ns0:c r="E571" t="str">
        <ns0:f>C571&amp;"-"&amp;D571</ns0:f>
        <ns0:v>2-0</ns0:v>
      </ns0:c>
      <ns0:c r="F571">
        <ns0:f>COUNTIFS(Games_Raw!$K$2:$K$1232,"Yes",Games_Raw!$I$2:$I$1232,A571)</ns0:f>
        <ns0:v>51</ns0:v>
      </ns0:c>
      <ns0:c r="G571">
        <ns0:f>COUNTIFS(Games_Raw!$K$2:$K$1232,"Yes",Games_Raw!$J$2:$J$1232,A571)</ns0:f>
        <ns0:v>31</ns0:v>
      </ns0:c>
    </ns0:row>
    <ns0:row r="572">
      <ns0:c r="A572" t="inlineStr">
        <ns0:is>
          <ns0:t>New York Knicks</ns0:t>
        </ns0:is>
      </ns0:c>
      <ns0:c r="B572" t="inlineStr">
        <ns0:is>
          <ns0:t>Oklahoma City Thunder</ns0:t>
        </ns0:is>
      </ns0:c>
      <ns0:c r="C572">
        <ns0:f>COUNTIFS(Games_Raw!$K$2:$K$1232,"Yes",Games_Raw!$I$2:$I$1232,A572,Games_Raw!$J$2:$J$1232,B572)</ns0:f>
        <ns0:v>0</ns0:v>
      </ns0:c>
      <ns0:c r="D572">
        <ns0:f>COUNTIFS(Games_Raw!$K$2:$K$1232,"Yes",Games_Raw!$I$2:$I$1232,B572,Games_Raw!$J$2:$J$1232,A572)</ns0:f>
        <ns0:v>2</ns0:v>
      </ns0:c>
      <ns0:c r="E572" t="str">
        <ns0:f>C572&amp;"-"&amp;D572</ns0:f>
        <ns0:v>0-2</ns0:v>
      </ns0:c>
      <ns0:c r="F572">
        <ns0:f>COUNTIFS(Games_Raw!$K$2:$K$1232,"Yes",Games_Raw!$I$2:$I$1232,A572)</ns0:f>
        <ns0:v>51</ns0:v>
      </ns0:c>
      <ns0:c r="G572">
        <ns0:f>COUNTIFS(Games_Raw!$K$2:$K$1232,"Yes",Games_Raw!$J$2:$J$1232,A572)</ns0:f>
        <ns0:v>31</ns0:v>
      </ns0:c>
    </ns0:row>
    <ns0:row r="573">
      <ns0:c r="A573" t="inlineStr">
        <ns0:is>
          <ns0:t>New York Knicks</ns0:t>
        </ns0:is>
      </ns0:c>
      <ns0:c r="B573" t="inlineStr">
        <ns0:is>
          <ns0:t>Orlando Magic</ns0:t>
        </ns0:is>
      </ns0:c>
      <ns0:c r="C573">
        <ns0:f>COUNTIFS(Games_Raw!$K$2:$K$1232,"Yes",Games_Raw!$I$2:$I$1232,A573,Games_Raw!$J$2:$J$1232,B573)</ns0:f>
        <ns0:v>3</ns0:v>
      </ns0:c>
      <ns0:c r="D573">
        <ns0:f>COUNTIFS(Games_Raw!$K$2:$K$1232,"Yes",Games_Raw!$I$2:$I$1232,B573,Games_Raw!$J$2:$J$1232,A573)</ns0:f>
        <ns0:v>1</ns0:v>
      </ns0:c>
      <ns0:c r="E573" t="str">
        <ns0:f>C573&amp;"-"&amp;D573</ns0:f>
        <ns0:v>3-1</ns0:v>
      </ns0:c>
      <ns0:c r="F573">
        <ns0:f>COUNTIFS(Games_Raw!$K$2:$K$1232,"Yes",Games_Raw!$I$2:$I$1232,A573)</ns0:f>
        <ns0:v>51</ns0:v>
      </ns0:c>
      <ns0:c r="G573">
        <ns0:f>COUNTIFS(Games_Raw!$K$2:$K$1232,"Yes",Games_Raw!$J$2:$J$1232,A573)</ns0:f>
        <ns0:v>31</ns0:v>
      </ns0:c>
    </ns0:row>
    <ns0:row r="574">
      <ns0:c r="A574" t="inlineStr">
        <ns0:is>
          <ns0:t>New York Knicks</ns0:t>
        </ns0:is>
      </ns0:c>
      <ns0:c r="B574" t="inlineStr">
        <ns0:is>
          <ns0:t>Philadelphia 76ers</ns0:t>
        </ns0:is>
      </ns0:c>
      <ns0:c r="C574">
        <ns0:f>COUNTIFS(Games_Raw!$K$2:$K$1232,"Yes",Games_Raw!$I$2:$I$1232,A574,Games_Raw!$J$2:$J$1232,B574)</ns0:f>
        <ns0:v>4</ns0:v>
      </ns0:c>
      <ns0:c r="D574">
        <ns0:f>COUNTIFS(Games_Raw!$K$2:$K$1232,"Yes",Games_Raw!$I$2:$I$1232,B574,Games_Raw!$J$2:$J$1232,A574)</ns0:f>
        <ns0:v>0</ns0:v>
      </ns0:c>
      <ns0:c r="E574" t="str">
        <ns0:f>C574&amp;"-"&amp;D574</ns0:f>
        <ns0:v>4-0</ns0:v>
      </ns0:c>
      <ns0:c r="F574">
        <ns0:f>COUNTIFS(Games_Raw!$K$2:$K$1232,"Yes",Games_Raw!$I$2:$I$1232,A574)</ns0:f>
        <ns0:v>51</ns0:v>
      </ns0:c>
      <ns0:c r="G574">
        <ns0:f>COUNTIFS(Games_Raw!$K$2:$K$1232,"Yes",Games_Raw!$J$2:$J$1232,A574)</ns0:f>
        <ns0:v>31</ns0:v>
      </ns0:c>
    </ns0:row>
    <ns0:row r="575">
      <ns0:c r="A575" t="inlineStr">
        <ns0:is>
          <ns0:t>New York Knicks</ns0:t>
        </ns0:is>
      </ns0:c>
      <ns0:c r="B575" t="inlineStr">
        <ns0:is>
          <ns0:t>Phoenix Suns</ns0:t>
        </ns0:is>
      </ns0:c>
      <ns0:c r="C575">
        <ns0:f>COUNTIFS(Games_Raw!$K$2:$K$1232,"Yes",Games_Raw!$I$2:$I$1232,A575,Games_Raw!$J$2:$J$1232,B575)</ns0:f>
        <ns0:v>2</ns0:v>
      </ns0:c>
      <ns0:c r="D575">
        <ns0:f>COUNTIFS(Games_Raw!$K$2:$K$1232,"Yes",Games_Raw!$I$2:$I$1232,B575,Games_Raw!$J$2:$J$1232,A575)</ns0:f>
        <ns0:v>0</ns0:v>
      </ns0:c>
      <ns0:c r="E575" t="str">
        <ns0:f>C575&amp;"-"&amp;D575</ns0:f>
        <ns0:v>2-0</ns0:v>
      </ns0:c>
      <ns0:c r="F575">
        <ns0:f>COUNTIFS(Games_Raw!$K$2:$K$1232,"Yes",Games_Raw!$I$2:$I$1232,A575)</ns0:f>
        <ns0:v>51</ns0:v>
      </ns0:c>
      <ns0:c r="G575">
        <ns0:f>COUNTIFS(Games_Raw!$K$2:$K$1232,"Yes",Games_Raw!$J$2:$J$1232,A575)</ns0:f>
        <ns0:v>31</ns0:v>
      </ns0:c>
    </ns0:row>
    <ns0:row r="576">
      <ns0:c r="A576" t="inlineStr">
        <ns0:is>
          <ns0:t>New York Knicks</ns0:t>
        </ns0:is>
      </ns0:c>
      <ns0:c r="B576" t="inlineStr">
        <ns0:is>
          <ns0:t>Portland Trail Blazers</ns0:t>
        </ns0:is>
      </ns0:c>
      <ns0:c r="C576">
        <ns0:f>COUNTIFS(Games_Raw!$K$2:$K$1232,"Yes",Games_Raw!$I$2:$I$1232,A576,Games_Raw!$J$2:$J$1232,B576)</ns0:f>
        <ns0:v>2</ns0:v>
      </ns0:c>
      <ns0:c r="D576">
        <ns0:f>COUNTIFS(Games_Raw!$K$2:$K$1232,"Yes",Games_Raw!$I$2:$I$1232,B576,Games_Raw!$J$2:$J$1232,A576)</ns0:f>
        <ns0:v>0</ns0:v>
      </ns0:c>
      <ns0:c r="E576" t="str">
        <ns0:f>C576&amp;"-"&amp;D576</ns0:f>
        <ns0:v>2-0</ns0:v>
      </ns0:c>
      <ns0:c r="F576">
        <ns0:f>COUNTIFS(Games_Raw!$K$2:$K$1232,"Yes",Games_Raw!$I$2:$I$1232,A576)</ns0:f>
        <ns0:v>51</ns0:v>
      </ns0:c>
      <ns0:c r="G576">
        <ns0:f>COUNTIFS(Games_Raw!$K$2:$K$1232,"Yes",Games_Raw!$J$2:$J$1232,A576)</ns0:f>
        <ns0:v>31</ns0:v>
      </ns0:c>
    </ns0:row>
    <ns0:row r="577">
      <ns0:c r="A577" t="inlineStr">
        <ns0:is>
          <ns0:t>New York Knicks</ns0:t>
        </ns0:is>
      </ns0:c>
      <ns0:c r="B577" t="inlineStr">
        <ns0:is>
          <ns0:t>Sacramento Kings</ns0:t>
        </ns0:is>
      </ns0:c>
      <ns0:c r="C577">
        <ns0:f>COUNTIFS(Games_Raw!$K$2:$K$1232,"Yes",Games_Raw!$I$2:$I$1232,A577,Games_Raw!$J$2:$J$1232,B577)</ns0:f>
        <ns0:v>2</ns0:v>
      </ns0:c>
      <ns0:c r="D577">
        <ns0:f>COUNTIFS(Games_Raw!$K$2:$K$1232,"Yes",Games_Raw!$I$2:$I$1232,B577,Games_Raw!$J$2:$J$1232,A577)</ns0:f>
        <ns0:v>0</ns0:v>
      </ns0:c>
      <ns0:c r="E577" t="str">
        <ns0:f>C577&amp;"-"&amp;D577</ns0:f>
        <ns0:v>2-0</ns0:v>
      </ns0:c>
      <ns0:c r="F577">
        <ns0:f>COUNTIFS(Games_Raw!$K$2:$K$1232,"Yes",Games_Raw!$I$2:$I$1232,A577)</ns0:f>
        <ns0:v>51</ns0:v>
      </ns0:c>
      <ns0:c r="G577">
        <ns0:f>COUNTIFS(Games_Raw!$K$2:$K$1232,"Yes",Games_Raw!$J$2:$J$1232,A577)</ns0:f>
        <ns0:v>31</ns0:v>
      </ns0:c>
    </ns0:row>
    <ns0:row r="578">
      <ns0:c r="A578" t="inlineStr">
        <ns0:is>
          <ns0:t>New York Knicks</ns0:t>
        </ns0:is>
      </ns0:c>
      <ns0:c r="B578" t="inlineStr">
        <ns0:is>
          <ns0:t>San Antonio Spurs</ns0:t>
        </ns0:is>
      </ns0:c>
      <ns0:c r="C578">
        <ns0:f>COUNTIFS(Games_Raw!$K$2:$K$1232,"Yes",Games_Raw!$I$2:$I$1232,A578,Games_Raw!$J$2:$J$1232,B578)</ns0:f>
        <ns0:v>1</ns0:v>
      </ns0:c>
      <ns0:c r="D578">
        <ns0:f>COUNTIFS(Games_Raw!$K$2:$K$1232,"Yes",Games_Raw!$I$2:$I$1232,B578,Games_Raw!$J$2:$J$1232,A578)</ns0:f>
        <ns0:v>1</ns0:v>
      </ns0:c>
      <ns0:c r="E578" t="str">
        <ns0:f>C578&amp;"-"&amp;D578</ns0:f>
        <ns0:v>1-1</ns0:v>
      </ns0:c>
      <ns0:c r="F578">
        <ns0:f>COUNTIFS(Games_Raw!$K$2:$K$1232,"Yes",Games_Raw!$I$2:$I$1232,A578)</ns0:f>
        <ns0:v>51</ns0:v>
      </ns0:c>
      <ns0:c r="G578">
        <ns0:f>COUNTIFS(Games_Raw!$K$2:$K$1232,"Yes",Games_Raw!$J$2:$J$1232,A578)</ns0:f>
        <ns0:v>31</ns0:v>
      </ns0:c>
    </ns0:row>
    <ns0:row r="579">
      <ns0:c r="A579" t="inlineStr">
        <ns0:is>
          <ns0:t>New York Knicks</ns0:t>
        </ns0:is>
      </ns0:c>
      <ns0:c r="B579" t="inlineStr">
        <ns0:is>
          <ns0:t>Toronto Raptors</ns0:t>
        </ns0:is>
      </ns0:c>
      <ns0:c r="C579">
        <ns0:f>COUNTIFS(Games_Raw!$K$2:$K$1232,"Yes",Games_Raw!$I$2:$I$1232,A579,Games_Raw!$J$2:$J$1232,B579)</ns0:f>
        <ns0:v>4</ns0:v>
      </ns0:c>
      <ns0:c r="D579">
        <ns0:f>COUNTIFS(Games_Raw!$K$2:$K$1232,"Yes",Games_Raw!$I$2:$I$1232,B579,Games_Raw!$J$2:$J$1232,A579)</ns0:f>
        <ns0:v>0</ns0:v>
      </ns0:c>
      <ns0:c r="E579" t="str">
        <ns0:f>C579&amp;"-"&amp;D579</ns0:f>
        <ns0:v>4-0</ns0:v>
      </ns0:c>
      <ns0:c r="F579">
        <ns0:f>COUNTIFS(Games_Raw!$K$2:$K$1232,"Yes",Games_Raw!$I$2:$I$1232,A579)</ns0:f>
        <ns0:v>51</ns0:v>
      </ns0:c>
      <ns0:c r="G579">
        <ns0:f>COUNTIFS(Games_Raw!$K$2:$K$1232,"Yes",Games_Raw!$J$2:$J$1232,A579)</ns0:f>
        <ns0:v>31</ns0:v>
      </ns0:c>
    </ns0:row>
    <ns0:row r="580">
      <ns0:c r="A580" t="inlineStr">
        <ns0:is>
          <ns0:t>New York Knicks</ns0:t>
        </ns0:is>
      </ns0:c>
      <ns0:c r="B580" t="inlineStr">
        <ns0:is>
          <ns0:t>Utah Jazz</ns0:t>
        </ns0:is>
      </ns0:c>
      <ns0:c r="C580">
        <ns0:f>COUNTIFS(Games_Raw!$K$2:$K$1232,"Yes",Games_Raw!$I$2:$I$1232,A580,Games_Raw!$J$2:$J$1232,B580)</ns0:f>
        <ns0:v>1</ns0:v>
      </ns0:c>
      <ns0:c r="D580">
        <ns0:f>COUNTIFS(Games_Raw!$K$2:$K$1232,"Yes",Games_Raw!$I$2:$I$1232,B580,Games_Raw!$J$2:$J$1232,A580)</ns0:f>
        <ns0:v>1</ns0:v>
      </ns0:c>
      <ns0:c r="E580" t="str">
        <ns0:f>C580&amp;"-"&amp;D580</ns0:f>
        <ns0:v>1-1</ns0:v>
      </ns0:c>
      <ns0:c r="F580">
        <ns0:f>COUNTIFS(Games_Raw!$K$2:$K$1232,"Yes",Games_Raw!$I$2:$I$1232,A580)</ns0:f>
        <ns0:v>51</ns0:v>
      </ns0:c>
      <ns0:c r="G580">
        <ns0:f>COUNTIFS(Games_Raw!$K$2:$K$1232,"Yes",Games_Raw!$J$2:$J$1232,A580)</ns0:f>
        <ns0:v>31</ns0:v>
      </ns0:c>
    </ns0:row>
    <ns0:row r="581">
      <ns0:c r="A581" t="inlineStr">
        <ns0:is>
          <ns0:t>New York Knicks</ns0:t>
        </ns0:is>
      </ns0:c>
      <ns0:c r="B581" t="inlineStr">
        <ns0:is>
          <ns0:t>Washington Wizards</ns0:t>
        </ns0:is>
      </ns0:c>
      <ns0:c r="C581">
        <ns0:f>COUNTIFS(Games_Raw!$K$2:$K$1232,"Yes",Games_Raw!$I$2:$I$1232,A581,Games_Raw!$J$2:$J$1232,B581)</ns0:f>
        <ns0:v>4</ns0:v>
      </ns0:c>
      <ns0:c r="D581">
        <ns0:f>COUNTIFS(Games_Raw!$K$2:$K$1232,"Yes",Games_Raw!$I$2:$I$1232,B581,Games_Raw!$J$2:$J$1232,A581)</ns0:f>
        <ns0:v>0</ns0:v>
      </ns0:c>
      <ns0:c r="E581" t="str">
        <ns0:f>C581&amp;"-"&amp;D581</ns0:f>
        <ns0:v>4-0</ns0:v>
      </ns0:c>
      <ns0:c r="F581">
        <ns0:f>COUNTIFS(Games_Raw!$K$2:$K$1232,"Yes",Games_Raw!$I$2:$I$1232,A581)</ns0:f>
        <ns0:v>51</ns0:v>
      </ns0:c>
      <ns0:c r="G581">
        <ns0:f>COUNTIFS(Games_Raw!$K$2:$K$1232,"Yes",Games_Raw!$J$2:$J$1232,A581)</ns0:f>
        <ns0:v>31</ns0:v>
      </ns0:c>
    </ns0:row>
    <ns0:row r="582">
      <ns0:c r="A582" t="inlineStr">
        <ns0:is>
          <ns0:t>Oklahoma City Thunder</ns0:t>
        </ns0:is>
      </ns0:c>
      <ns0:c r="B582" t="inlineStr">
        <ns0:is>
          <ns0:t>Atlanta Hawks</ns0:t>
        </ns0:is>
      </ns0:c>
      <ns0:c r="C582">
        <ns0:f>COUNTIFS(Games_Raw!$K$2:$K$1232,"Yes",Games_Raw!$I$2:$I$1232,A582,Games_Raw!$J$2:$J$1232,B582)</ns0:f>
        <ns0:v>2</ns0:v>
      </ns0:c>
      <ns0:c r="D582">
        <ns0:f>COUNTIFS(Games_Raw!$K$2:$K$1232,"Yes",Games_Raw!$I$2:$I$1232,B582,Games_Raw!$J$2:$J$1232,A582)</ns0:f>
        <ns0:v>0</ns0:v>
      </ns0:c>
      <ns0:c r="E582" t="str">
        <ns0:f>C582&amp;"-"&amp;D582</ns0:f>
        <ns0:v>2-0</ns0:v>
      </ns0:c>
      <ns0:c r="F582">
        <ns0:f>COUNTIFS(Games_Raw!$K$2:$K$1232,"Yes",Games_Raw!$I$2:$I$1232,A582)</ns0:f>
        <ns0:v>68</ns0:v>
      </ns0:c>
      <ns0:c r="G582">
        <ns0:f>COUNTIFS(Games_Raw!$K$2:$K$1232,"Yes",Games_Raw!$J$2:$J$1232,A582)</ns0:f>
        <ns0:v>14</ns0:v>
      </ns0:c>
    </ns0:row>
    <ns0:row r="583">
      <ns0:c r="A583" t="inlineStr">
        <ns0:is>
          <ns0:t>Oklahoma City Thunder</ns0:t>
        </ns0:is>
      </ns0:c>
      <ns0:c r="B583" t="inlineStr">
        <ns0:is>
          <ns0:t>Boston Celtics</ns0:t>
        </ns0:is>
      </ns0:c>
      <ns0:c r="C583">
        <ns0:f>COUNTIFS(Games_Raw!$K$2:$K$1232,"Yes",Games_Raw!$I$2:$I$1232,A583,Games_Raw!$J$2:$J$1232,B583)</ns0:f>
        <ns0:v>2</ns0:v>
      </ns0:c>
      <ns0:c r="D583">
        <ns0:f>COUNTIFS(Games_Raw!$K$2:$K$1232,"Yes",Games_Raw!$I$2:$I$1232,B583,Games_Raw!$J$2:$J$1232,A583)</ns0:f>
        <ns0:v>0</ns0:v>
      </ns0:c>
      <ns0:c r="E583" t="str">
        <ns0:f>C583&amp;"-"&amp;D583</ns0:f>
        <ns0:v>2-0</ns0:v>
      </ns0:c>
      <ns0:c r="F583">
        <ns0:f>COUNTIFS(Games_Raw!$K$2:$K$1232,"Yes",Games_Raw!$I$2:$I$1232,A583)</ns0:f>
        <ns0:v>68</ns0:v>
      </ns0:c>
      <ns0:c r="G583">
        <ns0:f>COUNTIFS(Games_Raw!$K$2:$K$1232,"Yes",Games_Raw!$J$2:$J$1232,A583)</ns0:f>
        <ns0:v>14</ns0:v>
      </ns0:c>
    </ns0:row>
    <ns0:row r="584">
      <ns0:c r="A584" t="inlineStr">
        <ns0:is>
          <ns0:t>Oklahoma City Thunder</ns0:t>
        </ns0:is>
      </ns0:c>
      <ns0:c r="B584" t="inlineStr">
        <ns0:is>
          <ns0:t>Brooklyn Nets</ns0:t>
        </ns0:is>
      </ns0:c>
      <ns0:c r="C584">
        <ns0:f>COUNTIFS(Games_Raw!$K$2:$K$1232,"Yes",Games_Raw!$I$2:$I$1232,A584,Games_Raw!$J$2:$J$1232,B584)</ns0:f>
        <ns0:v>2</ns0:v>
      </ns0:c>
      <ns0:c r="D584">
        <ns0:f>COUNTIFS(Games_Raw!$K$2:$K$1232,"Yes",Games_Raw!$I$2:$I$1232,B584,Games_Raw!$J$2:$J$1232,A584)</ns0:f>
        <ns0:v>0</ns0:v>
      </ns0:c>
      <ns0:c r="E584" t="str">
        <ns0:f>C584&amp;"-"&amp;D584</ns0:f>
        <ns0:v>2-0</ns0:v>
      </ns0:c>
      <ns0:c r="F584">
        <ns0:f>COUNTIFS(Games_Raw!$K$2:$K$1232,"Yes",Games_Raw!$I$2:$I$1232,A584)</ns0:f>
        <ns0:v>68</ns0:v>
      </ns0:c>
      <ns0:c r="G584">
        <ns0:f>COUNTIFS(Games_Raw!$K$2:$K$1232,"Yes",Games_Raw!$J$2:$J$1232,A584)</ns0:f>
        <ns0:v>14</ns0:v>
      </ns0:c>
    </ns0:row>
    <ns0:row r="585">
      <ns0:c r="A585" t="inlineStr">
        <ns0:is>
          <ns0:t>Oklahoma City Thunder</ns0:t>
        </ns0:is>
      </ns0:c>
      <ns0:c r="B585" t="inlineStr">
        <ns0:is>
          <ns0:t>Charlotte Hornets</ns0:t>
        </ns0:is>
      </ns0:c>
      <ns0:c r="C585">
        <ns0:f>COUNTIFS(Games_Raw!$K$2:$K$1232,"Yes",Games_Raw!$I$2:$I$1232,A585,Games_Raw!$J$2:$J$1232,B585)</ns0:f>
        <ns0:v>2</ns0:v>
      </ns0:c>
      <ns0:c r="D585">
        <ns0:f>COUNTIFS(Games_Raw!$K$2:$K$1232,"Yes",Games_Raw!$I$2:$I$1232,B585,Games_Raw!$J$2:$J$1232,A585)</ns0:f>
        <ns0:v>0</ns0:v>
      </ns0:c>
      <ns0:c r="E585" t="str">
        <ns0:f>C585&amp;"-"&amp;D585</ns0:f>
        <ns0:v>2-0</ns0:v>
      </ns0:c>
      <ns0:c r="F585">
        <ns0:f>COUNTIFS(Games_Raw!$K$2:$K$1232,"Yes",Games_Raw!$I$2:$I$1232,A585)</ns0:f>
        <ns0:v>68</ns0:v>
      </ns0:c>
      <ns0:c r="G585">
        <ns0:f>COUNTIFS(Games_Raw!$K$2:$K$1232,"Yes",Games_Raw!$J$2:$J$1232,A585)</ns0:f>
        <ns0:v>14</ns0:v>
      </ns0:c>
    </ns0:row>
    <ns0:row r="586">
      <ns0:c r="A586" t="inlineStr">
        <ns0:is>
          <ns0:t>Oklahoma City Thunder</ns0:t>
        </ns0:is>
      </ns0:c>
      <ns0:c r="B586" t="inlineStr">
        <ns0:is>
          <ns0:t>Chicago Bulls</ns0:t>
        </ns0:is>
      </ns0:c>
      <ns0:c r="C586">
        <ns0:f>COUNTIFS(Games_Raw!$K$2:$K$1232,"Yes",Games_Raw!$I$2:$I$1232,A586,Games_Raw!$J$2:$J$1232,B586)</ns0:f>
        <ns0:v>2</ns0:v>
      </ns0:c>
      <ns0:c r="D586">
        <ns0:f>COUNTIFS(Games_Raw!$K$2:$K$1232,"Yes",Games_Raw!$I$2:$I$1232,B586,Games_Raw!$J$2:$J$1232,A586)</ns0:f>
        <ns0:v>0</ns0:v>
      </ns0:c>
      <ns0:c r="E586" t="str">
        <ns0:f>C586&amp;"-"&amp;D586</ns0:f>
        <ns0:v>2-0</ns0:v>
      </ns0:c>
      <ns0:c r="F586">
        <ns0:f>COUNTIFS(Games_Raw!$K$2:$K$1232,"Yes",Games_Raw!$I$2:$I$1232,A586)</ns0:f>
        <ns0:v>68</ns0:v>
      </ns0:c>
      <ns0:c r="G586">
        <ns0:f>COUNTIFS(Games_Raw!$K$2:$K$1232,"Yes",Games_Raw!$J$2:$J$1232,A586)</ns0:f>
        <ns0:v>14</ns0:v>
      </ns0:c>
    </ns0:row>
    <ns0:row r="587">
      <ns0:c r="A587" t="inlineStr">
        <ns0:is>
          <ns0:t>Oklahoma City Thunder</ns0:t>
        </ns0:is>
      </ns0:c>
      <ns0:c r="B587" t="inlineStr">
        <ns0:is>
          <ns0:t>Cleveland Cavaliers</ns0:t>
        </ns0:is>
      </ns0:c>
      <ns0:c r="C587">
        <ns0:f>COUNTIFS(Games_Raw!$K$2:$K$1232,"Yes",Games_Raw!$I$2:$I$1232,A587,Games_Raw!$J$2:$J$1232,B587)</ns0:f>
        <ns0:v>1</ns0:v>
      </ns0:c>
      <ns0:c r="D587">
        <ns0:f>COUNTIFS(Games_Raw!$K$2:$K$1232,"Yes",Games_Raw!$I$2:$I$1232,B587,Games_Raw!$J$2:$J$1232,A587)</ns0:f>
        <ns0:v>1</ns0:v>
      </ns0:c>
      <ns0:c r="E587" t="str">
        <ns0:f>C587&amp;"-"&amp;D587</ns0:f>
        <ns0:v>1-1</ns0:v>
      </ns0:c>
      <ns0:c r="F587">
        <ns0:f>COUNTIFS(Games_Raw!$K$2:$K$1232,"Yes",Games_Raw!$I$2:$I$1232,A587)</ns0:f>
        <ns0:v>68</ns0:v>
      </ns0:c>
      <ns0:c r="G587">
        <ns0:f>COUNTIFS(Games_Raw!$K$2:$K$1232,"Yes",Games_Raw!$J$2:$J$1232,A587)</ns0:f>
        <ns0:v>14</ns0:v>
      </ns0:c>
    </ns0:row>
    <ns0:row r="588">
      <ns0:c r="A588" t="inlineStr">
        <ns0:is>
          <ns0:t>Oklahoma City Thunder</ns0:t>
        </ns0:is>
      </ns0:c>
      <ns0:c r="B588" t="inlineStr">
        <ns0:is>
          <ns0:t>Dallas Mavericks</ns0:t>
        </ns0:is>
      </ns0:c>
      <ns0:c r="C588">
        <ns0:f>COUNTIFS(Games_Raw!$K$2:$K$1232,"Yes",Games_Raw!$I$2:$I$1232,A588,Games_Raw!$J$2:$J$1232,B588)</ns0:f>
        <ns0:v>1</ns0:v>
      </ns0:c>
      <ns0:c r="D588">
        <ns0:f>COUNTIFS(Games_Raw!$K$2:$K$1232,"Yes",Games_Raw!$I$2:$I$1232,B588,Games_Raw!$J$2:$J$1232,A588)</ns0:f>
        <ns0:v>3</ns0:v>
      </ns0:c>
      <ns0:c r="E588" t="str">
        <ns0:f>C588&amp;"-"&amp;D588</ns0:f>
        <ns0:v>1-3</ns0:v>
      </ns0:c>
      <ns0:c r="F588">
        <ns0:f>COUNTIFS(Games_Raw!$K$2:$K$1232,"Yes",Games_Raw!$I$2:$I$1232,A588)</ns0:f>
        <ns0:v>68</ns0:v>
      </ns0:c>
      <ns0:c r="G588">
        <ns0:f>COUNTIFS(Games_Raw!$K$2:$K$1232,"Yes",Games_Raw!$J$2:$J$1232,A588)</ns0:f>
        <ns0:v>14</ns0:v>
      </ns0:c>
    </ns0:row>
    <ns0:row r="589">
      <ns0:c r="A589" t="inlineStr">
        <ns0:is>
          <ns0:t>Oklahoma City Thunder</ns0:t>
        </ns0:is>
      </ns0:c>
      <ns0:c r="B589" t="inlineStr">
        <ns0:is>
          <ns0:t>Denver Nuggets</ns0:t>
        </ns0:is>
      </ns0:c>
      <ns0:c r="C589">
        <ns0:f>COUNTIFS(Games_Raw!$K$2:$K$1232,"Yes",Games_Raw!$I$2:$I$1232,A589,Games_Raw!$J$2:$J$1232,B589)</ns0:f>
        <ns0:v>2</ns0:v>
      </ns0:c>
      <ns0:c r="D589">
        <ns0:f>COUNTIFS(Games_Raw!$K$2:$K$1232,"Yes",Games_Raw!$I$2:$I$1232,B589,Games_Raw!$J$2:$J$1232,A589)</ns0:f>
        <ns0:v>2</ns0:v>
      </ns0:c>
      <ns0:c r="E589" t="str">
        <ns0:f>C589&amp;"-"&amp;D589</ns0:f>
        <ns0:v>2-2</ns0:v>
      </ns0:c>
      <ns0:c r="F589">
        <ns0:f>COUNTIFS(Games_Raw!$K$2:$K$1232,"Yes",Games_Raw!$I$2:$I$1232,A589)</ns0:f>
        <ns0:v>68</ns0:v>
      </ns0:c>
      <ns0:c r="G589">
        <ns0:f>COUNTIFS(Games_Raw!$K$2:$K$1232,"Yes",Games_Raw!$J$2:$J$1232,A589)</ns0:f>
        <ns0:v>14</ns0:v>
      </ns0:c>
    </ns0:row>
    <ns0:row r="590">
      <ns0:c r="A590" t="inlineStr">
        <ns0:is>
          <ns0:t>Oklahoma City Thunder</ns0:t>
        </ns0:is>
      </ns0:c>
      <ns0:c r="B590" t="inlineStr">
        <ns0:is>
          <ns0:t>Detroit Pistons</ns0:t>
        </ns0:is>
      </ns0:c>
      <ns0:c r="C590">
        <ns0:f>COUNTIFS(Games_Raw!$K$2:$K$1232,"Yes",Games_Raw!$I$2:$I$1232,A590,Games_Raw!$J$2:$J$1232,B590)</ns0:f>
        <ns0:v>2</ns0:v>
      </ns0:c>
      <ns0:c r="D590">
        <ns0:f>COUNTIFS(Games_Raw!$K$2:$K$1232,"Yes",Games_Raw!$I$2:$I$1232,B590,Games_Raw!$J$2:$J$1232,A590)</ns0:f>
        <ns0:v>0</ns0:v>
      </ns0:c>
      <ns0:c r="E590" t="str">
        <ns0:f>C590&amp;"-"&amp;D590</ns0:f>
        <ns0:v>2-0</ns0:v>
      </ns0:c>
      <ns0:c r="F590">
        <ns0:f>COUNTIFS(Games_Raw!$K$2:$K$1232,"Yes",Games_Raw!$I$2:$I$1232,A590)</ns0:f>
        <ns0:v>68</ns0:v>
      </ns0:c>
      <ns0:c r="G590">
        <ns0:f>COUNTIFS(Games_Raw!$K$2:$K$1232,"Yes",Games_Raw!$J$2:$J$1232,A590)</ns0:f>
        <ns0:v>14</ns0:v>
      </ns0:c>
    </ns0:row>
    <ns0:row r="591">
      <ns0:c r="A591" t="inlineStr">
        <ns0:is>
          <ns0:t>Oklahoma City Thunder</ns0:t>
        </ns0:is>
      </ns0:c>
      <ns0:c r="B591" t="inlineStr">
        <ns0:is>
          <ns0:t>Golden State Warriors</ns0:t>
        </ns0:is>
      </ns0:c>
      <ns0:c r="C591">
        <ns0:f>COUNTIFS(Games_Raw!$K$2:$K$1232,"Yes",Games_Raw!$I$2:$I$1232,A591,Games_Raw!$J$2:$J$1232,B591)</ns0:f>
        <ns0:v>1</ns0:v>
      </ns0:c>
      <ns0:c r="D591">
        <ns0:f>COUNTIFS(Games_Raw!$K$2:$K$1232,"Yes",Games_Raw!$I$2:$I$1232,B591,Games_Raw!$J$2:$J$1232,A591)</ns0:f>
        <ns0:v>2</ns0:v>
      </ns0:c>
      <ns0:c r="E591" t="str">
        <ns0:f>C591&amp;"-"&amp;D591</ns0:f>
        <ns0:v>1-2</ns0:v>
      </ns0:c>
      <ns0:c r="F591">
        <ns0:f>COUNTIFS(Games_Raw!$K$2:$K$1232,"Yes",Games_Raw!$I$2:$I$1232,A591)</ns0:f>
        <ns0:v>68</ns0:v>
      </ns0:c>
      <ns0:c r="G591">
        <ns0:f>COUNTIFS(Games_Raw!$K$2:$K$1232,"Yes",Games_Raw!$J$2:$J$1232,A591)</ns0:f>
        <ns0:v>14</ns0:v>
      </ns0:c>
    </ns0:row>
    <ns0:row r="592">
      <ns0:c r="A592" t="inlineStr">
        <ns0:is>
          <ns0:t>Oklahoma City Thunder</ns0:t>
        </ns0:is>
      </ns0:c>
      <ns0:c r="B592" t="inlineStr">
        <ns0:is>
          <ns0:t>Houston Rockets</ns0:t>
        </ns0:is>
      </ns0:c>
      <ns0:c r="C592">
        <ns0:f>COUNTIFS(Games_Raw!$K$2:$K$1232,"Yes",Games_Raw!$I$2:$I$1232,A592,Games_Raw!$J$2:$J$1232,B592)</ns0:f>
        <ns0:v>3</ns0:v>
      </ns0:c>
      <ns0:c r="D592">
        <ns0:f>COUNTIFS(Games_Raw!$K$2:$K$1232,"Yes",Games_Raw!$I$2:$I$1232,B592,Games_Raw!$J$2:$J$1232,A592)</ns0:f>
        <ns0:v>2</ns0:v>
      </ns0:c>
      <ns0:c r="E592" t="str">
        <ns0:f>C592&amp;"-"&amp;D592</ns0:f>
        <ns0:v>3-2</ns0:v>
      </ns0:c>
      <ns0:c r="F592">
        <ns0:f>COUNTIFS(Games_Raw!$K$2:$K$1232,"Yes",Games_Raw!$I$2:$I$1232,A592)</ns0:f>
        <ns0:v>68</ns0:v>
      </ns0:c>
      <ns0:c r="G592">
        <ns0:f>COUNTIFS(Games_Raw!$K$2:$K$1232,"Yes",Games_Raw!$J$2:$J$1232,A592)</ns0:f>
        <ns0:v>14</ns0:v>
      </ns0:c>
    </ns0:row>
    <ns0:row r="593">
      <ns0:c r="A593" t="inlineStr">
        <ns0:is>
          <ns0:t>Oklahoma City Thunder</ns0:t>
        </ns0:is>
      </ns0:c>
      <ns0:c r="B593" t="inlineStr">
        <ns0:is>
          <ns0:t>Indiana Pacers</ns0:t>
        </ns0:is>
      </ns0:c>
      <ns0:c r="C593">
        <ns0:f>COUNTIFS(Games_Raw!$K$2:$K$1232,"Yes",Games_Raw!$I$2:$I$1232,A593,Games_Raw!$J$2:$J$1232,B593)</ns0:f>
        <ns0:v>2</ns0:v>
      </ns0:c>
      <ns0:c r="D593">
        <ns0:f>COUNTIFS(Games_Raw!$K$2:$K$1232,"Yes",Games_Raw!$I$2:$I$1232,B593,Games_Raw!$J$2:$J$1232,A593)</ns0:f>
        <ns0:v>0</ns0:v>
      </ns0:c>
      <ns0:c r="E593" t="str">
        <ns0:f>C593&amp;"-"&amp;D593</ns0:f>
        <ns0:v>2-0</ns0:v>
      </ns0:c>
      <ns0:c r="F593">
        <ns0:f>COUNTIFS(Games_Raw!$K$2:$K$1232,"Yes",Games_Raw!$I$2:$I$1232,A593)</ns0:f>
        <ns0:v>68</ns0:v>
      </ns0:c>
      <ns0:c r="G593">
        <ns0:f>COUNTIFS(Games_Raw!$K$2:$K$1232,"Yes",Games_Raw!$J$2:$J$1232,A593)</ns0:f>
        <ns0:v>14</ns0:v>
      </ns0:c>
    </ns0:row>
    <ns0:row r="594">
      <ns0:c r="A594" t="inlineStr">
        <ns0:is>
          <ns0:t>Oklahoma City Thunder</ns0:t>
        </ns0:is>
      </ns0:c>
      <ns0:c r="B594" t="inlineStr">
        <ns0:is>
          <ns0:t>LA Clippers</ns0:t>
        </ns0:is>
      </ns0:c>
      <ns0:c r="C594">
        <ns0:f>COUNTIFS(Games_Raw!$K$2:$K$1232,"Yes",Games_Raw!$I$2:$I$1232,A594,Games_Raw!$J$2:$J$1232,B594)</ns0:f>
        <ns0:v>4</ns0:v>
      </ns0:c>
      <ns0:c r="D594">
        <ns0:f>COUNTIFS(Games_Raw!$K$2:$K$1232,"Yes",Games_Raw!$I$2:$I$1232,B594,Games_Raw!$J$2:$J$1232,A594)</ns0:f>
        <ns0:v>0</ns0:v>
      </ns0:c>
      <ns0:c r="E594" t="str">
        <ns0:f>C594&amp;"-"&amp;D594</ns0:f>
        <ns0:v>4-0</ns0:v>
      </ns0:c>
      <ns0:c r="F594">
        <ns0:f>COUNTIFS(Games_Raw!$K$2:$K$1232,"Yes",Games_Raw!$I$2:$I$1232,A594)</ns0:f>
        <ns0:v>68</ns0:v>
      </ns0:c>
      <ns0:c r="G594">
        <ns0:f>COUNTIFS(Games_Raw!$K$2:$K$1232,"Yes",Games_Raw!$J$2:$J$1232,A594)</ns0:f>
        <ns0:v>14</ns0:v>
      </ns0:c>
    </ns0:row>
    <ns0:row r="595">
      <ns0:c r="A595" t="inlineStr">
        <ns0:is>
          <ns0:t>Oklahoma City Thunder</ns0:t>
        </ns0:is>
      </ns0:c>
      <ns0:c r="B595" t="inlineStr">
        <ns0:is>
          <ns0:t>Los Angeles Lakers</ns0:t>
        </ns0:is>
      </ns0:c>
      <ns0:c r="C595">
        <ns0:f>COUNTIFS(Games_Raw!$K$2:$K$1232,"Yes",Games_Raw!$I$2:$I$1232,A595,Games_Raw!$J$2:$J$1232,B595)</ns0:f>
        <ns0:v>2</ns0:v>
      </ns0:c>
      <ns0:c r="D595">
        <ns0:f>COUNTIFS(Games_Raw!$K$2:$K$1232,"Yes",Games_Raw!$I$2:$I$1232,B595,Games_Raw!$J$2:$J$1232,A595)</ns0:f>
        <ns0:v>1</ns0:v>
      </ns0:c>
      <ns0:c r="E595" t="str">
        <ns0:f>C595&amp;"-"&amp;D595</ns0:f>
        <ns0:v>2-1</ns0:v>
      </ns0:c>
      <ns0:c r="F595">
        <ns0:f>COUNTIFS(Games_Raw!$K$2:$K$1232,"Yes",Games_Raw!$I$2:$I$1232,A595)</ns0:f>
        <ns0:v>68</ns0:v>
      </ns0:c>
      <ns0:c r="G595">
        <ns0:f>COUNTIFS(Games_Raw!$K$2:$K$1232,"Yes",Games_Raw!$J$2:$J$1232,A595)</ns0:f>
        <ns0:v>14</ns0:v>
      </ns0:c>
    </ns0:row>
    <ns0:row r="596">
      <ns0:c r="A596" t="inlineStr">
        <ns0:is>
          <ns0:t>Oklahoma City Thunder</ns0:t>
        </ns0:is>
      </ns0:c>
      <ns0:c r="B596" t="inlineStr">
        <ns0:is>
          <ns0:t>Memphis Grizzlies</ns0:t>
        </ns0:is>
      </ns0:c>
      <ns0:c r="C596">
        <ns0:f>COUNTIFS(Games_Raw!$K$2:$K$1232,"Yes",Games_Raw!$I$2:$I$1232,A596,Games_Raw!$J$2:$J$1232,B596)</ns0:f>
        <ns0:v>4</ns0:v>
      </ns0:c>
      <ns0:c r="D596">
        <ns0:f>COUNTIFS(Games_Raw!$K$2:$K$1232,"Yes",Games_Raw!$I$2:$I$1232,B596,Games_Raw!$J$2:$J$1232,A596)</ns0:f>
        <ns0:v>0</ns0:v>
      </ns0:c>
      <ns0:c r="E596" t="str">
        <ns0:f>C596&amp;"-"&amp;D596</ns0:f>
        <ns0:v>4-0</ns0:v>
      </ns0:c>
      <ns0:c r="F596">
        <ns0:f>COUNTIFS(Games_Raw!$K$2:$K$1232,"Yes",Games_Raw!$I$2:$I$1232,A596)</ns0:f>
        <ns0:v>68</ns0:v>
      </ns0:c>
      <ns0:c r="G596">
        <ns0:f>COUNTIFS(Games_Raw!$K$2:$K$1232,"Yes",Games_Raw!$J$2:$J$1232,A596)</ns0:f>
        <ns0:v>14</ns0:v>
      </ns0:c>
    </ns0:row>
    <ns0:row r="597">
      <ns0:c r="A597" t="inlineStr">
        <ns0:is>
          <ns0:t>Oklahoma City Thunder</ns0:t>
        </ns0:is>
      </ns0:c>
      <ns0:c r="B597" t="inlineStr">
        <ns0:is>
          <ns0:t>Miami Heat</ns0:t>
        </ns0:is>
      </ns0:c>
      <ns0:c r="C597">
        <ns0:f>COUNTIFS(Games_Raw!$K$2:$K$1232,"Yes",Games_Raw!$I$2:$I$1232,A597,Games_Raw!$J$2:$J$1232,B597)</ns0:f>
        <ns0:v>2</ns0:v>
      </ns0:c>
      <ns0:c r="D597">
        <ns0:f>COUNTIFS(Games_Raw!$K$2:$K$1232,"Yes",Games_Raw!$I$2:$I$1232,B597,Games_Raw!$J$2:$J$1232,A597)</ns0:f>
        <ns0:v>0</ns0:v>
      </ns0:c>
      <ns0:c r="E597" t="str">
        <ns0:f>C597&amp;"-"&amp;D597</ns0:f>
        <ns0:v>2-0</ns0:v>
      </ns0:c>
      <ns0:c r="F597">
        <ns0:f>COUNTIFS(Games_Raw!$K$2:$K$1232,"Yes",Games_Raw!$I$2:$I$1232,A597)</ns0:f>
        <ns0:v>68</ns0:v>
      </ns0:c>
      <ns0:c r="G597">
        <ns0:f>COUNTIFS(Games_Raw!$K$2:$K$1232,"Yes",Games_Raw!$J$2:$J$1232,A597)</ns0:f>
        <ns0:v>14</ns0:v>
      </ns0:c>
    </ns0:row>
    <ns0:row r="598">
      <ns0:c r="A598" t="inlineStr">
        <ns0:is>
          <ns0:t>Oklahoma City Thunder</ns0:t>
        </ns0:is>
      </ns0:c>
      <ns0:c r="B598" t="inlineStr">
        <ns0:is>
          <ns0:t>Milwaukee Bucks</ns0:t>
        </ns0:is>
      </ns0:c>
      <ns0:c r="C598">
        <ns0:f>COUNTIFS(Games_Raw!$K$2:$K$1232,"Yes",Games_Raw!$I$2:$I$1232,A598,Games_Raw!$J$2:$J$1232,B598)</ns0:f>
        <ns0:v>2</ns0:v>
      </ns0:c>
      <ns0:c r="D598">
        <ns0:f>COUNTIFS(Games_Raw!$K$2:$K$1232,"Yes",Games_Raw!$I$2:$I$1232,B598,Games_Raw!$J$2:$J$1232,A598)</ns0:f>
        <ns0:v>0</ns0:v>
      </ns0:c>
      <ns0:c r="E598" t="str">
        <ns0:f>C598&amp;"-"&amp;D598</ns0:f>
        <ns0:v>2-0</ns0:v>
      </ns0:c>
      <ns0:c r="F598">
        <ns0:f>COUNTIFS(Games_Raw!$K$2:$K$1232,"Yes",Games_Raw!$I$2:$I$1232,A598)</ns0:f>
        <ns0:v>68</ns0:v>
      </ns0:c>
      <ns0:c r="G598">
        <ns0:f>COUNTIFS(Games_Raw!$K$2:$K$1232,"Yes",Games_Raw!$J$2:$J$1232,A598)</ns0:f>
        <ns0:v>14</ns0:v>
      </ns0:c>
    </ns0:row>
    <ns0:row r="599">
      <ns0:c r="A599" t="inlineStr">
        <ns0:is>
          <ns0:t>Oklahoma City Thunder</ns0:t>
        </ns0:is>
      </ns0:c>
      <ns0:c r="B599" t="inlineStr">
        <ns0:is>
          <ns0:t>Minnesota Timberwolves</ns0:t>
        </ns0:is>
      </ns0:c>
      <ns0:c r="C599">
        <ns0:f>COUNTIFS(Games_Raw!$K$2:$K$1232,"Yes",Games_Raw!$I$2:$I$1232,A599,Games_Raw!$J$2:$J$1232,B599)</ns0:f>
        <ns0:v>2</ns0:v>
      </ns0:c>
      <ns0:c r="D599">
        <ns0:f>COUNTIFS(Games_Raw!$K$2:$K$1232,"Yes",Games_Raw!$I$2:$I$1232,B599,Games_Raw!$J$2:$J$1232,A599)</ns0:f>
        <ns0:v>2</ns0:v>
      </ns0:c>
      <ns0:c r="E599" t="str">
        <ns0:f>C599&amp;"-"&amp;D599</ns0:f>
        <ns0:v>2-2</ns0:v>
      </ns0:c>
      <ns0:c r="F599">
        <ns0:f>COUNTIFS(Games_Raw!$K$2:$K$1232,"Yes",Games_Raw!$I$2:$I$1232,A599)</ns0:f>
        <ns0:v>68</ns0:v>
      </ns0:c>
      <ns0:c r="G599">
        <ns0:f>COUNTIFS(Games_Raw!$K$2:$K$1232,"Yes",Games_Raw!$J$2:$J$1232,A599)</ns0:f>
        <ns0:v>14</ns0:v>
      </ns0:c>
    </ns0:row>
    <ns0:row r="600">
      <ns0:c r="A600" t="inlineStr">
        <ns0:is>
          <ns0:t>Oklahoma City Thunder</ns0:t>
        </ns0:is>
      </ns0:c>
      <ns0:c r="B600" t="inlineStr">
        <ns0:is>
          <ns0:t>New Orleans Pelicans</ns0:t>
        </ns0:is>
      </ns0:c>
      <ns0:c r="C600">
        <ns0:f>COUNTIFS(Games_Raw!$K$2:$K$1232,"Yes",Games_Raw!$I$2:$I$1232,A600,Games_Raw!$J$2:$J$1232,B600)</ns0:f>
        <ns0:v>4</ns0:v>
      </ns0:c>
      <ns0:c r="D600">
        <ns0:f>COUNTIFS(Games_Raw!$K$2:$K$1232,"Yes",Games_Raw!$I$2:$I$1232,B600,Games_Raw!$J$2:$J$1232,A600)</ns0:f>
        <ns0:v>0</ns0:v>
      </ns0:c>
      <ns0:c r="E600" t="str">
        <ns0:f>C600&amp;"-"&amp;D600</ns0:f>
        <ns0:v>4-0</ns0:v>
      </ns0:c>
      <ns0:c r="F600">
        <ns0:f>COUNTIFS(Games_Raw!$K$2:$K$1232,"Yes",Games_Raw!$I$2:$I$1232,A600)</ns0:f>
        <ns0:v>68</ns0:v>
      </ns0:c>
      <ns0:c r="G600">
        <ns0:f>COUNTIFS(Games_Raw!$K$2:$K$1232,"Yes",Games_Raw!$J$2:$J$1232,A600)</ns0:f>
        <ns0:v>14</ns0:v>
      </ns0:c>
    </ns0:row>
    <ns0:row r="601">
      <ns0:c r="A601" t="inlineStr">
        <ns0:is>
          <ns0:t>Oklahoma City Thunder</ns0:t>
        </ns0:is>
      </ns0:c>
      <ns0:c r="B601" t="inlineStr">
        <ns0:is>
          <ns0:t>New York Knicks</ns0:t>
        </ns0:is>
      </ns0:c>
      <ns0:c r="C601">
        <ns0:f>COUNTIFS(Games_Raw!$K$2:$K$1232,"Yes",Games_Raw!$I$2:$I$1232,A601,Games_Raw!$J$2:$J$1232,B601)</ns0:f>
        <ns0:v>2</ns0:v>
      </ns0:c>
      <ns0:c r="D601">
        <ns0:f>COUNTIFS(Games_Raw!$K$2:$K$1232,"Yes",Games_Raw!$I$2:$I$1232,B601,Games_Raw!$J$2:$J$1232,A601)</ns0:f>
        <ns0:v>0</ns0:v>
      </ns0:c>
      <ns0:c r="E601" t="str">
        <ns0:f>C601&amp;"-"&amp;D601</ns0:f>
        <ns0:v>2-0</ns0:v>
      </ns0:c>
      <ns0:c r="F601">
        <ns0:f>COUNTIFS(Games_Raw!$K$2:$K$1232,"Yes",Games_Raw!$I$2:$I$1232,A601)</ns0:f>
        <ns0:v>68</ns0:v>
      </ns0:c>
      <ns0:c r="G601">
        <ns0:f>COUNTIFS(Games_Raw!$K$2:$K$1232,"Yes",Games_Raw!$J$2:$J$1232,A601)</ns0:f>
        <ns0:v>14</ns0:v>
      </ns0:c>
    </ns0:row>
    <ns0:row r="602">
      <ns0:c r="A602" t="inlineStr">
        <ns0:is>
          <ns0:t>Oklahoma City Thunder</ns0:t>
        </ns0:is>
      </ns0:c>
      <ns0:c r="B602" t="inlineStr">
        <ns0:is>
          <ns0:t>Orlando Magic</ns0:t>
        </ns0:is>
      </ns0:c>
      <ns0:c r="C602">
        <ns0:f>COUNTIFS(Games_Raw!$K$2:$K$1232,"Yes",Games_Raw!$I$2:$I$1232,A602,Games_Raw!$J$2:$J$1232,B602)</ns0:f>
        <ns0:v>2</ns0:v>
      </ns0:c>
      <ns0:c r="D602">
        <ns0:f>COUNTIFS(Games_Raw!$K$2:$K$1232,"Yes",Games_Raw!$I$2:$I$1232,B602,Games_Raw!$J$2:$J$1232,A602)</ns0:f>
        <ns0:v>0</ns0:v>
      </ns0:c>
      <ns0:c r="E602" t="str">
        <ns0:f>C602&amp;"-"&amp;D602</ns0:f>
        <ns0:v>2-0</ns0:v>
      </ns0:c>
      <ns0:c r="F602">
        <ns0:f>COUNTIFS(Games_Raw!$K$2:$K$1232,"Yes",Games_Raw!$I$2:$I$1232,A602)</ns0:f>
        <ns0:v>68</ns0:v>
      </ns0:c>
      <ns0:c r="G602">
        <ns0:f>COUNTIFS(Games_Raw!$K$2:$K$1232,"Yes",Games_Raw!$J$2:$J$1232,A602)</ns0:f>
        <ns0:v>14</ns0:v>
      </ns0:c>
    </ns0:row>
    <ns0:row r="603">
      <ns0:c r="A603" t="inlineStr">
        <ns0:is>
          <ns0:t>Oklahoma City Thunder</ns0:t>
        </ns0:is>
      </ns0:c>
      <ns0:c r="B603" t="inlineStr">
        <ns0:is>
          <ns0:t>Philadelphia 76ers</ns0:t>
        </ns0:is>
      </ns0:c>
      <ns0:c r="C603">
        <ns0:f>COUNTIFS(Games_Raw!$K$2:$K$1232,"Yes",Games_Raw!$I$2:$I$1232,A603,Games_Raw!$J$2:$J$1232,B603)</ns0:f>
        <ns0:v>2</ns0:v>
      </ns0:c>
      <ns0:c r="D603">
        <ns0:f>COUNTIFS(Games_Raw!$K$2:$K$1232,"Yes",Games_Raw!$I$2:$I$1232,B603,Games_Raw!$J$2:$J$1232,A603)</ns0:f>
        <ns0:v>0</ns0:v>
      </ns0:c>
      <ns0:c r="E603" t="str">
        <ns0:f>C603&amp;"-"&amp;D603</ns0:f>
        <ns0:v>2-0</ns0:v>
      </ns0:c>
      <ns0:c r="F603">
        <ns0:f>COUNTIFS(Games_Raw!$K$2:$K$1232,"Yes",Games_Raw!$I$2:$I$1232,A603)</ns0:f>
        <ns0:v>68</ns0:v>
      </ns0:c>
      <ns0:c r="G603">
        <ns0:f>COUNTIFS(Games_Raw!$K$2:$K$1232,"Yes",Games_Raw!$J$2:$J$1232,A603)</ns0:f>
        <ns0:v>14</ns0:v>
      </ns0:c>
    </ns0:row>
    <ns0:row r="604">
      <ns0:c r="A604" t="inlineStr">
        <ns0:is>
          <ns0:t>Oklahoma City Thunder</ns0:t>
        </ns0:is>
      </ns0:c>
      <ns0:c r="B604" t="inlineStr">
        <ns0:is>
          <ns0:t>Phoenix Suns</ns0:t>
        </ns0:is>
      </ns0:c>
      <ns0:c r="C604">
        <ns0:f>COUNTIFS(Games_Raw!$K$2:$K$1232,"Yes",Games_Raw!$I$2:$I$1232,A604,Games_Raw!$J$2:$J$1232,B604)</ns0:f>
        <ns0:v>3</ns0:v>
      </ns0:c>
      <ns0:c r="D604">
        <ns0:f>COUNTIFS(Games_Raw!$K$2:$K$1232,"Yes",Games_Raw!$I$2:$I$1232,B604,Games_Raw!$J$2:$J$1232,A604)</ns0:f>
        <ns0:v>0</ns0:v>
      </ns0:c>
      <ns0:c r="E604" t="str">
        <ns0:f>C604&amp;"-"&amp;D604</ns0:f>
        <ns0:v>3-0</ns0:v>
      </ns0:c>
      <ns0:c r="F604">
        <ns0:f>COUNTIFS(Games_Raw!$K$2:$K$1232,"Yes",Games_Raw!$I$2:$I$1232,A604)</ns0:f>
        <ns0:v>68</ns0:v>
      </ns0:c>
      <ns0:c r="G604">
        <ns0:f>COUNTIFS(Games_Raw!$K$2:$K$1232,"Yes",Games_Raw!$J$2:$J$1232,A604)</ns0:f>
        <ns0:v>14</ns0:v>
      </ns0:c>
    </ns0:row>
    <ns0:row r="605">
      <ns0:c r="A605" t="inlineStr">
        <ns0:is>
          <ns0:t>Oklahoma City Thunder</ns0:t>
        </ns0:is>
      </ns0:c>
      <ns0:c r="B605" t="inlineStr">
        <ns0:is>
          <ns0:t>Portland Trail Blazers</ns0:t>
        </ns0:is>
      </ns0:c>
      <ns0:c r="C605">
        <ns0:f>COUNTIFS(Games_Raw!$K$2:$K$1232,"Yes",Games_Raw!$I$2:$I$1232,A605,Games_Raw!$J$2:$J$1232,B605)</ns0:f>
        <ns0:v>4</ns0:v>
      </ns0:c>
      <ns0:c r="D605">
        <ns0:f>COUNTIFS(Games_Raw!$K$2:$K$1232,"Yes",Games_Raw!$I$2:$I$1232,B605,Games_Raw!$J$2:$J$1232,A605)</ns0:f>
        <ns0:v>0</ns0:v>
      </ns0:c>
      <ns0:c r="E605" t="str">
        <ns0:f>C605&amp;"-"&amp;D605</ns0:f>
        <ns0:v>4-0</ns0:v>
      </ns0:c>
      <ns0:c r="F605">
        <ns0:f>COUNTIFS(Games_Raw!$K$2:$K$1232,"Yes",Games_Raw!$I$2:$I$1232,A605)</ns0:f>
        <ns0:v>68</ns0:v>
      </ns0:c>
      <ns0:c r="G605">
        <ns0:f>COUNTIFS(Games_Raw!$K$2:$K$1232,"Yes",Games_Raw!$J$2:$J$1232,A605)</ns0:f>
        <ns0:v>14</ns0:v>
      </ns0:c>
    </ns0:row>
    <ns0:row r="606">
      <ns0:c r="A606" t="inlineStr">
        <ns0:is>
          <ns0:t>Oklahoma City Thunder</ns0:t>
        </ns0:is>
      </ns0:c>
      <ns0:c r="B606" t="inlineStr">
        <ns0:is>
          <ns0:t>Sacramento Kings</ns0:t>
        </ns0:is>
      </ns0:c>
      <ns0:c r="C606">
        <ns0:f>COUNTIFS(Games_Raw!$K$2:$K$1232,"Yes",Games_Raw!$I$2:$I$1232,A606,Games_Raw!$J$2:$J$1232,B606)</ns0:f>
        <ns0:v>3</ns0:v>
      </ns0:c>
      <ns0:c r="D606">
        <ns0:f>COUNTIFS(Games_Raw!$K$2:$K$1232,"Yes",Games_Raw!$I$2:$I$1232,B606,Games_Raw!$J$2:$J$1232,A606)</ns0:f>
        <ns0:v>0</ns0:v>
      </ns0:c>
      <ns0:c r="E606" t="str">
        <ns0:f>C606&amp;"-"&amp;D606</ns0:f>
        <ns0:v>3-0</ns0:v>
      </ns0:c>
      <ns0:c r="F606">
        <ns0:f>COUNTIFS(Games_Raw!$K$2:$K$1232,"Yes",Games_Raw!$I$2:$I$1232,A606)</ns0:f>
        <ns0:v>68</ns0:v>
      </ns0:c>
      <ns0:c r="G606">
        <ns0:f>COUNTIFS(Games_Raw!$K$2:$K$1232,"Yes",Games_Raw!$J$2:$J$1232,A606)</ns0:f>
        <ns0:v>14</ns0:v>
      </ns0:c>
    </ns0:row>
    <ns0:row r="607">
      <ns0:c r="A607" t="inlineStr">
        <ns0:is>
          <ns0:t>Oklahoma City Thunder</ns0:t>
        </ns0:is>
      </ns0:c>
      <ns0:c r="B607" t="inlineStr">
        <ns0:is>
          <ns0:t>San Antonio Spurs</ns0:t>
        </ns0:is>
      </ns0:c>
      <ns0:c r="C607">
        <ns0:f>COUNTIFS(Games_Raw!$K$2:$K$1232,"Yes",Games_Raw!$I$2:$I$1232,A607,Games_Raw!$J$2:$J$1232,B607)</ns0:f>
        <ns0:v>2</ns0:v>
      </ns0:c>
      <ns0:c r="D607">
        <ns0:f>COUNTIFS(Games_Raw!$K$2:$K$1232,"Yes",Games_Raw!$I$2:$I$1232,B607,Games_Raw!$J$2:$J$1232,A607)</ns0:f>
        <ns0:v>1</ns0:v>
      </ns0:c>
      <ns0:c r="E607" t="str">
        <ns0:f>C607&amp;"-"&amp;D607</ns0:f>
        <ns0:v>2-1</ns0:v>
      </ns0:c>
      <ns0:c r="F607">
        <ns0:f>COUNTIFS(Games_Raw!$K$2:$K$1232,"Yes",Games_Raw!$I$2:$I$1232,A607)</ns0:f>
        <ns0:v>68</ns0:v>
      </ns0:c>
      <ns0:c r="G607">
        <ns0:f>COUNTIFS(Games_Raw!$K$2:$K$1232,"Yes",Games_Raw!$J$2:$J$1232,A607)</ns0:f>
        <ns0:v>14</ns0:v>
      </ns0:c>
    </ns0:row>
    <ns0:row r="608">
      <ns0:c r="A608" t="inlineStr">
        <ns0:is>
          <ns0:t>Oklahoma City Thunder</ns0:t>
        </ns0:is>
      </ns0:c>
      <ns0:c r="B608" t="inlineStr">
        <ns0:is>
          <ns0:t>Toronto Raptors</ns0:t>
        </ns0:is>
      </ns0:c>
      <ns0:c r="C608">
        <ns0:f>COUNTIFS(Games_Raw!$K$2:$K$1232,"Yes",Games_Raw!$I$2:$I$1232,A608,Games_Raw!$J$2:$J$1232,B608)</ns0:f>
        <ns0:v>2</ns0:v>
      </ns0:c>
      <ns0:c r="D608">
        <ns0:f>COUNTIFS(Games_Raw!$K$2:$K$1232,"Yes",Games_Raw!$I$2:$I$1232,B608,Games_Raw!$J$2:$J$1232,A608)</ns0:f>
        <ns0:v>0</ns0:v>
      </ns0:c>
      <ns0:c r="E608" t="str">
        <ns0:f>C608&amp;"-"&amp;D608</ns0:f>
        <ns0:v>2-0</ns0:v>
      </ns0:c>
      <ns0:c r="F608">
        <ns0:f>COUNTIFS(Games_Raw!$K$2:$K$1232,"Yes",Games_Raw!$I$2:$I$1232,A608)</ns0:f>
        <ns0:v>68</ns0:v>
      </ns0:c>
      <ns0:c r="G608">
        <ns0:f>COUNTIFS(Games_Raw!$K$2:$K$1232,"Yes",Games_Raw!$J$2:$J$1232,A608)</ns0:f>
        <ns0:v>14</ns0:v>
      </ns0:c>
    </ns0:row>
    <ns0:row r="609">
      <ns0:c r="A609" t="inlineStr">
        <ns0:is>
          <ns0:t>Oklahoma City Thunder</ns0:t>
        </ns0:is>
      </ns0:c>
      <ns0:c r="B609" t="inlineStr">
        <ns0:is>
          <ns0:t>Utah Jazz</ns0:t>
        </ns0:is>
      </ns0:c>
      <ns0:c r="C609">
        <ns0:f>COUNTIFS(Games_Raw!$K$2:$K$1232,"Yes",Games_Raw!$I$2:$I$1232,A609,Games_Raw!$J$2:$J$1232,B609)</ns0:f>
        <ns0:v>4</ns0:v>
      </ns0:c>
      <ns0:c r="D609">
        <ns0:f>COUNTIFS(Games_Raw!$K$2:$K$1232,"Yes",Games_Raw!$I$2:$I$1232,B609,Games_Raw!$J$2:$J$1232,A609)</ns0:f>
        <ns0:v>0</ns0:v>
      </ns0:c>
      <ns0:c r="E609" t="str">
        <ns0:f>C609&amp;"-"&amp;D609</ns0:f>
        <ns0:v>4-0</ns0:v>
      </ns0:c>
      <ns0:c r="F609">
        <ns0:f>COUNTIFS(Games_Raw!$K$2:$K$1232,"Yes",Games_Raw!$I$2:$I$1232,A609)</ns0:f>
        <ns0:v>68</ns0:v>
      </ns0:c>
      <ns0:c r="G609">
        <ns0:f>COUNTIFS(Games_Raw!$K$2:$K$1232,"Yes",Games_Raw!$J$2:$J$1232,A609)</ns0:f>
        <ns0:v>14</ns0:v>
      </ns0:c>
    </ns0:row>
    <ns0:row r="610">
      <ns0:c r="A610" t="inlineStr">
        <ns0:is>
          <ns0:t>Oklahoma City Thunder</ns0:t>
        </ns0:is>
      </ns0:c>
      <ns0:c r="B610" t="inlineStr">
        <ns0:is>
          <ns0:t>Washington Wizards</ns0:t>
        </ns0:is>
      </ns0:c>
      <ns0:c r="C610">
        <ns0:f>COUNTIFS(Games_Raw!$K$2:$K$1232,"Yes",Games_Raw!$I$2:$I$1232,A610,Games_Raw!$J$2:$J$1232,B610)</ns0:f>
        <ns0:v>2</ns0:v>
      </ns0:c>
      <ns0:c r="D610">
        <ns0:f>COUNTIFS(Games_Raw!$K$2:$K$1232,"Yes",Games_Raw!$I$2:$I$1232,B610,Games_Raw!$J$2:$J$1232,A610)</ns0:f>
        <ns0:v>0</ns0:v>
      </ns0:c>
      <ns0:c r="E610" t="str">
        <ns0:f>C610&amp;"-"&amp;D610</ns0:f>
        <ns0:v>2-0</ns0:v>
      </ns0:c>
      <ns0:c r="F610">
        <ns0:f>COUNTIFS(Games_Raw!$K$2:$K$1232,"Yes",Games_Raw!$I$2:$I$1232,A610)</ns0:f>
        <ns0:v>68</ns0:v>
      </ns0:c>
      <ns0:c r="G610">
        <ns0:f>COUNTIFS(Games_Raw!$K$2:$K$1232,"Yes",Games_Raw!$J$2:$J$1232,A610)</ns0:f>
        <ns0:v>14</ns0:v>
      </ns0:c>
    </ns0:row>
    <ns0:row r="611">
      <ns0:c r="A611" t="inlineStr">
        <ns0:is>
          <ns0:t>Orlando Magic</ns0:t>
        </ns0:is>
      </ns0:c>
      <ns0:c r="B611" t="inlineStr">
        <ns0:is>
          <ns0:t>Atlanta Hawks</ns0:t>
        </ns0:is>
      </ns0:c>
      <ns0:c r="C611">
        <ns0:f>COUNTIFS(Games_Raw!$K$2:$K$1232,"Yes",Games_Raw!$I$2:$I$1232,A611,Games_Raw!$J$2:$J$1232,B611)</ns0:f>
        <ns0:v>2</ns0:v>
      </ns0:c>
      <ns0:c r="D611">
        <ns0:f>COUNTIFS(Games_Raw!$K$2:$K$1232,"Yes",Games_Raw!$I$2:$I$1232,B611,Games_Raw!$J$2:$J$1232,A611)</ns0:f>
        <ns0:v>2</ns0:v>
      </ns0:c>
      <ns0:c r="E611" t="str">
        <ns0:f>C611&amp;"-"&amp;D611</ns0:f>
        <ns0:v>2-2</ns0:v>
      </ns0:c>
      <ns0:c r="F611">
        <ns0:f>COUNTIFS(Games_Raw!$K$2:$K$1232,"Yes",Games_Raw!$I$2:$I$1232,A611)</ns0:f>
        <ns0:v>41</ns0:v>
      </ns0:c>
      <ns0:c r="G611">
        <ns0:f>COUNTIFS(Games_Raw!$K$2:$K$1232,"Yes",Games_Raw!$J$2:$J$1232,A611)</ns0:f>
        <ns0:v>41</ns0:v>
      </ns0:c>
    </ns0:row>
    <ns0:row r="612">
      <ns0:c r="A612" t="inlineStr">
        <ns0:is>
          <ns0:t>Orlando Magic</ns0:t>
        </ns0:is>
      </ns0:c>
      <ns0:c r="B612" t="inlineStr">
        <ns0:is>
          <ns0:t>Boston Celtics</ns0:t>
        </ns0:is>
      </ns0:c>
      <ns0:c r="C612">
        <ns0:f>COUNTIFS(Games_Raw!$K$2:$K$1232,"Yes",Games_Raw!$I$2:$I$1232,A612,Games_Raw!$J$2:$J$1232,B612)</ns0:f>
        <ns0:v>2</ns0:v>
      </ns0:c>
      <ns0:c r="D612">
        <ns0:f>COUNTIFS(Games_Raw!$K$2:$K$1232,"Yes",Games_Raw!$I$2:$I$1232,B612,Games_Raw!$J$2:$J$1232,A612)</ns0:f>
        <ns0:v>1</ns0:v>
      </ns0:c>
      <ns0:c r="E612" t="str">
        <ns0:f>C612&amp;"-"&amp;D612</ns0:f>
        <ns0:v>2-1</ns0:v>
      </ns0:c>
      <ns0:c r="F612">
        <ns0:f>COUNTIFS(Games_Raw!$K$2:$K$1232,"Yes",Games_Raw!$I$2:$I$1232,A612)</ns0:f>
        <ns0:v>41</ns0:v>
      </ns0:c>
      <ns0:c r="G612">
        <ns0:f>COUNTIFS(Games_Raw!$K$2:$K$1232,"Yes",Games_Raw!$J$2:$J$1232,A612)</ns0:f>
        <ns0:v>41</ns0:v>
      </ns0:c>
    </ns0:row>
    <ns0:row r="613">
      <ns0:c r="A613" t="inlineStr">
        <ns0:is>
          <ns0:t>Orlando Magic</ns0:t>
        </ns0:is>
      </ns0:c>
      <ns0:c r="B613" t="inlineStr">
        <ns0:is>
          <ns0:t>Brooklyn Nets</ns0:t>
        </ns0:is>
      </ns0:c>
      <ns0:c r="C613">
        <ns0:f>COUNTIFS(Games_Raw!$K$2:$K$1232,"Yes",Games_Raw!$I$2:$I$1232,A613,Games_Raw!$J$2:$J$1232,B613)</ns0:f>
        <ns0:v>4</ns0:v>
      </ns0:c>
      <ns0:c r="D613">
        <ns0:f>COUNTIFS(Games_Raw!$K$2:$K$1232,"Yes",Games_Raw!$I$2:$I$1232,B613,Games_Raw!$J$2:$J$1232,A613)</ns0:f>
        <ns0:v>0</ns0:v>
      </ns0:c>
      <ns0:c r="E613" t="str">
        <ns0:f>C613&amp;"-"&amp;D613</ns0:f>
        <ns0:v>4-0</ns0:v>
      </ns0:c>
      <ns0:c r="F613">
        <ns0:f>COUNTIFS(Games_Raw!$K$2:$K$1232,"Yes",Games_Raw!$I$2:$I$1232,A613)</ns0:f>
        <ns0:v>41</ns0:v>
      </ns0:c>
      <ns0:c r="G613">
        <ns0:f>COUNTIFS(Games_Raw!$K$2:$K$1232,"Yes",Games_Raw!$J$2:$J$1232,A613)</ns0:f>
        <ns0:v>41</ns0:v>
      </ns0:c>
    </ns0:row>
    <ns0:row r="614">
      <ns0:c r="A614" t="inlineStr">
        <ns0:is>
          <ns0:t>Orlando Magic</ns0:t>
        </ns0:is>
      </ns0:c>
      <ns0:c r="B614" t="inlineStr">
        <ns0:is>
          <ns0:t>Charlotte Hornets</ns0:t>
        </ns0:is>
      </ns0:c>
      <ns0:c r="C614">
        <ns0:f>COUNTIFS(Games_Raw!$K$2:$K$1232,"Yes",Games_Raw!$I$2:$I$1232,A614,Games_Raw!$J$2:$J$1232,B614)</ns0:f>
        <ns0:v>4</ns0:v>
      </ns0:c>
      <ns0:c r="D614">
        <ns0:f>COUNTIFS(Games_Raw!$K$2:$K$1232,"Yes",Games_Raw!$I$2:$I$1232,B614,Games_Raw!$J$2:$J$1232,A614)</ns0:f>
        <ns0:v>0</ns0:v>
      </ns0:c>
      <ns0:c r="E614" t="str">
        <ns0:f>C614&amp;"-"&amp;D614</ns0:f>
        <ns0:v>4-0</ns0:v>
      </ns0:c>
      <ns0:c r="F614">
        <ns0:f>COUNTIFS(Games_Raw!$K$2:$K$1232,"Yes",Games_Raw!$I$2:$I$1232,A614)</ns0:f>
        <ns0:v>41</ns0:v>
      </ns0:c>
      <ns0:c r="G614">
        <ns0:f>COUNTIFS(Games_Raw!$K$2:$K$1232,"Yes",Games_Raw!$J$2:$J$1232,A614)</ns0:f>
        <ns0:v>41</ns0:v>
      </ns0:c>
    </ns0:row>
    <ns0:row r="615">
      <ns0:c r="A615" t="inlineStr">
        <ns0:is>
          <ns0:t>Orlando Magic</ns0:t>
        </ns0:is>
      </ns0:c>
      <ns0:c r="B615" t="inlineStr">
        <ns0:is>
          <ns0:t>Chicago Bulls</ns0:t>
        </ns0:is>
      </ns0:c>
      <ns0:c r="C615">
        <ns0:f>COUNTIFS(Games_Raw!$K$2:$K$1232,"Yes",Games_Raw!$I$2:$I$1232,A615,Games_Raw!$J$2:$J$1232,B615)</ns0:f>
        <ns0:v>1</ns0:v>
      </ns0:c>
      <ns0:c r="D615">
        <ns0:f>COUNTIFS(Games_Raw!$K$2:$K$1232,"Yes",Games_Raw!$I$2:$I$1232,B615,Games_Raw!$J$2:$J$1232,A615)</ns0:f>
        <ns0:v>2</ns0:v>
      </ns0:c>
      <ns0:c r="E615" t="str">
        <ns0:f>C615&amp;"-"&amp;D615</ns0:f>
        <ns0:v>1-2</ns0:v>
      </ns0:c>
      <ns0:c r="F615">
        <ns0:f>COUNTIFS(Games_Raw!$K$2:$K$1232,"Yes",Games_Raw!$I$2:$I$1232,A615)</ns0:f>
        <ns0:v>41</ns0:v>
      </ns0:c>
      <ns0:c r="G615">
        <ns0:f>COUNTIFS(Games_Raw!$K$2:$K$1232,"Yes",Games_Raw!$J$2:$J$1232,A615)</ns0:f>
        <ns0:v>41</ns0:v>
      </ns0:c>
    </ns0:row>
    <ns0:row r="616">
      <ns0:c r="A616" t="inlineStr">
        <ns0:is>
          <ns0:t>Orlando Magic</ns0:t>
        </ns0:is>
      </ns0:c>
      <ns0:c r="B616" t="inlineStr">
        <ns0:is>
          <ns0:t>Cleveland Cavaliers</ns0:t>
        </ns0:is>
      </ns0:c>
      <ns0:c r="C616">
        <ns0:f>COUNTIFS(Games_Raw!$K$2:$K$1232,"Yes",Games_Raw!$I$2:$I$1232,A616,Games_Raw!$J$2:$J$1232,B616)</ns0:f>
        <ns0:v>1</ns0:v>
      </ns0:c>
      <ns0:c r="D616">
        <ns0:f>COUNTIFS(Games_Raw!$K$2:$K$1232,"Yes",Games_Raw!$I$2:$I$1232,B616,Games_Raw!$J$2:$J$1232,A616)</ns0:f>
        <ns0:v>2</ns0:v>
      </ns0:c>
      <ns0:c r="E616" t="str">
        <ns0:f>C616&amp;"-"&amp;D616</ns0:f>
        <ns0:v>1-2</ns0:v>
      </ns0:c>
      <ns0:c r="F616">
        <ns0:f>COUNTIFS(Games_Raw!$K$2:$K$1232,"Yes",Games_Raw!$I$2:$I$1232,A616)</ns0:f>
        <ns0:v>41</ns0:v>
      </ns0:c>
      <ns0:c r="G616">
        <ns0:f>COUNTIFS(Games_Raw!$K$2:$K$1232,"Yes",Games_Raw!$J$2:$J$1232,A616)</ns0:f>
        <ns0:v>41</ns0:v>
      </ns0:c>
    </ns0:row>
    <ns0:row r="617">
      <ns0:c r="A617" t="inlineStr">
        <ns0:is>
          <ns0:t>Orlando Magic</ns0:t>
        </ns0:is>
      </ns0:c>
      <ns0:c r="B617" t="inlineStr">
        <ns0:is>
          <ns0:t>Dallas Mavericks</ns0:t>
        </ns0:is>
      </ns0:c>
      <ns0:c r="C617">
        <ns0:f>COUNTIFS(Games_Raw!$K$2:$K$1232,"Yes",Games_Raw!$I$2:$I$1232,A617,Games_Raw!$J$2:$J$1232,B617)</ns0:f>
        <ns0:v>0</ns0:v>
      </ns0:c>
      <ns0:c r="D617">
        <ns0:f>COUNTIFS(Games_Raw!$K$2:$K$1232,"Yes",Games_Raw!$I$2:$I$1232,B617,Games_Raw!$J$2:$J$1232,A617)</ns0:f>
        <ns0:v>2</ns0:v>
      </ns0:c>
      <ns0:c r="E617" t="str">
        <ns0:f>C617&amp;"-"&amp;D617</ns0:f>
        <ns0:v>0-2</ns0:v>
      </ns0:c>
      <ns0:c r="F617">
        <ns0:f>COUNTIFS(Games_Raw!$K$2:$K$1232,"Yes",Games_Raw!$I$2:$I$1232,A617)</ns0:f>
        <ns0:v>41</ns0:v>
      </ns0:c>
      <ns0:c r="G617">
        <ns0:f>COUNTIFS(Games_Raw!$K$2:$K$1232,"Yes",Games_Raw!$J$2:$J$1232,A617)</ns0:f>
        <ns0:v>41</ns0:v>
      </ns0:c>
    </ns0:row>
    <ns0:row r="618">
      <ns0:c r="A618" t="inlineStr">
        <ns0:is>
          <ns0:t>Orlando Magic</ns0:t>
        </ns0:is>
      </ns0:c>
      <ns0:c r="B618" t="inlineStr">
        <ns0:is>
          <ns0:t>Denver Nuggets</ns0:t>
        </ns0:is>
      </ns0:c>
      <ns0:c r="C618">
        <ns0:f>COUNTIFS(Games_Raw!$K$2:$K$1232,"Yes",Games_Raw!$I$2:$I$1232,A618,Games_Raw!$J$2:$J$1232,B618)</ns0:f>
        <ns0:v>0</ns0:v>
      </ns0:c>
      <ns0:c r="D618">
        <ns0:f>COUNTIFS(Games_Raw!$K$2:$K$1232,"Yes",Games_Raw!$I$2:$I$1232,B618,Games_Raw!$J$2:$J$1232,A618)</ns0:f>
        <ns0:v>2</ns0:v>
      </ns0:c>
      <ns0:c r="E618" t="str">
        <ns0:f>C618&amp;"-"&amp;D618</ns0:f>
        <ns0:v>0-2</ns0:v>
      </ns0:c>
      <ns0:c r="F618">
        <ns0:f>COUNTIFS(Games_Raw!$K$2:$K$1232,"Yes",Games_Raw!$I$2:$I$1232,A618)</ns0:f>
        <ns0:v>41</ns0:v>
      </ns0:c>
      <ns0:c r="G618">
        <ns0:f>COUNTIFS(Games_Raw!$K$2:$K$1232,"Yes",Games_Raw!$J$2:$J$1232,A618)</ns0:f>
        <ns0:v>41</ns0:v>
      </ns0:c>
    </ns0:row>
    <ns0:row r="619">
      <ns0:c r="A619" t="inlineStr">
        <ns0:is>
          <ns0:t>Orlando Magic</ns0:t>
        </ns0:is>
      </ns0:c>
      <ns0:c r="B619" t="inlineStr">
        <ns0:is>
          <ns0:t>Detroit Pistons</ns0:t>
        </ns0:is>
      </ns0:c>
      <ns0:c r="C619">
        <ns0:f>COUNTIFS(Games_Raw!$K$2:$K$1232,"Yes",Games_Raw!$I$2:$I$1232,A619,Games_Raw!$J$2:$J$1232,B619)</ns0:f>
        <ns0:v>2</ns0:v>
      </ns0:c>
      <ns0:c r="D619">
        <ns0:f>COUNTIFS(Games_Raw!$K$2:$K$1232,"Yes",Games_Raw!$I$2:$I$1232,B619,Games_Raw!$J$2:$J$1232,A619)</ns0:f>
        <ns0:v>1</ns0:v>
      </ns0:c>
      <ns0:c r="E619" t="str">
        <ns0:f>C619&amp;"-"&amp;D619</ns0:f>
        <ns0:v>2-1</ns0:v>
      </ns0:c>
      <ns0:c r="F619">
        <ns0:f>COUNTIFS(Games_Raw!$K$2:$K$1232,"Yes",Games_Raw!$I$2:$I$1232,A619)</ns0:f>
        <ns0:v>41</ns0:v>
      </ns0:c>
      <ns0:c r="G619">
        <ns0:f>COUNTIFS(Games_Raw!$K$2:$K$1232,"Yes",Games_Raw!$J$2:$J$1232,A619)</ns0:f>
        <ns0:v>41</ns0:v>
      </ns0:c>
    </ns0:row>
    <ns0:row r="620">
      <ns0:c r="A620" t="inlineStr">
        <ns0:is>
          <ns0:t>Orlando Magic</ns0:t>
        </ns0:is>
      </ns0:c>
      <ns0:c r="B620" t="inlineStr">
        <ns0:is>
          <ns0:t>Golden State Warriors</ns0:t>
        </ns0:is>
      </ns0:c>
      <ns0:c r="C620">
        <ns0:f>COUNTIFS(Games_Raw!$K$2:$K$1232,"Yes",Games_Raw!$I$2:$I$1232,A620,Games_Raw!$J$2:$J$1232,B620)</ns0:f>
        <ns0:v>0</ns0:v>
      </ns0:c>
      <ns0:c r="D620">
        <ns0:f>COUNTIFS(Games_Raw!$K$2:$K$1232,"Yes",Games_Raw!$I$2:$I$1232,B620,Games_Raw!$J$2:$J$1232,A620)</ns0:f>
        <ns0:v>2</ns0:v>
      </ns0:c>
      <ns0:c r="E620" t="str">
        <ns0:f>C620&amp;"-"&amp;D620</ns0:f>
        <ns0:v>0-2</ns0:v>
      </ns0:c>
      <ns0:c r="F620">
        <ns0:f>COUNTIFS(Games_Raw!$K$2:$K$1232,"Yes",Games_Raw!$I$2:$I$1232,A620)</ns0:f>
        <ns0:v>41</ns0:v>
      </ns0:c>
      <ns0:c r="G620">
        <ns0:f>COUNTIFS(Games_Raw!$K$2:$K$1232,"Yes",Games_Raw!$J$2:$J$1232,A620)</ns0:f>
        <ns0:v>41</ns0:v>
      </ns0:c>
    </ns0:row>
    <ns0:row r="621">
      <ns0:c r="A621" t="inlineStr">
        <ns0:is>
          <ns0:t>Orlando Magic</ns0:t>
        </ns0:is>
      </ns0:c>
      <ns0:c r="B621" t="inlineStr">
        <ns0:is>
          <ns0:t>Houston Rockets</ns0:t>
        </ns0:is>
      </ns0:c>
      <ns0:c r="C621">
        <ns0:f>COUNTIFS(Games_Raw!$K$2:$K$1232,"Yes",Games_Raw!$I$2:$I$1232,A621,Games_Raw!$J$2:$J$1232,B621)</ns0:f>
        <ns0:v>0</ns0:v>
      </ns0:c>
      <ns0:c r="D621">
        <ns0:f>COUNTIFS(Games_Raw!$K$2:$K$1232,"Yes",Games_Raw!$I$2:$I$1232,B621,Games_Raw!$J$2:$J$1232,A621)</ns0:f>
        <ns0:v>2</ns0:v>
      </ns0:c>
      <ns0:c r="E621" t="str">
        <ns0:f>C621&amp;"-"&amp;D621</ns0:f>
        <ns0:v>0-2</ns0:v>
      </ns0:c>
      <ns0:c r="F621">
        <ns0:f>COUNTIFS(Games_Raw!$K$2:$K$1232,"Yes",Games_Raw!$I$2:$I$1232,A621)</ns0:f>
        <ns0:v>41</ns0:v>
      </ns0:c>
      <ns0:c r="G621">
        <ns0:f>COUNTIFS(Games_Raw!$K$2:$K$1232,"Yes",Games_Raw!$J$2:$J$1232,A621)</ns0:f>
        <ns0:v>41</ns0:v>
      </ns0:c>
    </ns0:row>
    <ns0:row r="622">
      <ns0:c r="A622" t="inlineStr">
        <ns0:is>
          <ns0:t>Orlando Magic</ns0:t>
        </ns0:is>
      </ns0:c>
      <ns0:c r="B622" t="inlineStr">
        <ns0:is>
          <ns0:t>Indiana Pacers</ns0:t>
        </ns0:is>
      </ns0:c>
      <ns0:c r="C622">
        <ns0:f>COUNTIFS(Games_Raw!$K$2:$K$1232,"Yes",Games_Raw!$I$2:$I$1232,A622,Games_Raw!$J$2:$J$1232,B622)</ns0:f>
        <ns0:v>3</ns0:v>
      </ns0:c>
      <ns0:c r="D622">
        <ns0:f>COUNTIFS(Games_Raw!$K$2:$K$1232,"Yes",Games_Raw!$I$2:$I$1232,B622,Games_Raw!$J$2:$J$1232,A622)</ns0:f>
        <ns0:v>1</ns0:v>
      </ns0:c>
      <ns0:c r="E622" t="str">
        <ns0:f>C622&amp;"-"&amp;D622</ns0:f>
        <ns0:v>3-1</ns0:v>
      </ns0:c>
      <ns0:c r="F622">
        <ns0:f>COUNTIFS(Games_Raw!$K$2:$K$1232,"Yes",Games_Raw!$I$2:$I$1232,A622)</ns0:f>
        <ns0:v>41</ns0:v>
      </ns0:c>
      <ns0:c r="G622">
        <ns0:f>COUNTIFS(Games_Raw!$K$2:$K$1232,"Yes",Games_Raw!$J$2:$J$1232,A622)</ns0:f>
        <ns0:v>41</ns0:v>
      </ns0:c>
    </ns0:row>
    <ns0:row r="623">
      <ns0:c r="A623" t="inlineStr">
        <ns0:is>
          <ns0:t>Orlando Magic</ns0:t>
        </ns0:is>
      </ns0:c>
      <ns0:c r="B623" t="inlineStr">
        <ns0:is>
          <ns0:t>LA Clippers</ns0:t>
        </ns0:is>
      </ns0:c>
      <ns0:c r="C623">
        <ns0:f>COUNTIFS(Games_Raw!$K$2:$K$1232,"Yes",Games_Raw!$I$2:$I$1232,A623,Games_Raw!$J$2:$J$1232,B623)</ns0:f>
        <ns0:v>0</ns0:v>
      </ns0:c>
      <ns0:c r="D623">
        <ns0:f>COUNTIFS(Games_Raw!$K$2:$K$1232,"Yes",Games_Raw!$I$2:$I$1232,B623,Games_Raw!$J$2:$J$1232,A623)</ns0:f>
        <ns0:v>2</ns0:v>
      </ns0:c>
      <ns0:c r="E623" t="str">
        <ns0:f>C623&amp;"-"&amp;D623</ns0:f>
        <ns0:v>0-2</ns0:v>
      </ns0:c>
      <ns0:c r="F623">
        <ns0:f>COUNTIFS(Games_Raw!$K$2:$K$1232,"Yes",Games_Raw!$I$2:$I$1232,A623)</ns0:f>
        <ns0:v>41</ns0:v>
      </ns0:c>
      <ns0:c r="G623">
        <ns0:f>COUNTIFS(Games_Raw!$K$2:$K$1232,"Yes",Games_Raw!$J$2:$J$1232,A623)</ns0:f>
        <ns0:v>41</ns0:v>
      </ns0:c>
    </ns0:row>
    <ns0:row r="624">
      <ns0:c r="A624" t="inlineStr">
        <ns0:is>
          <ns0:t>Orlando Magic</ns0:t>
        </ns0:is>
      </ns0:c>
      <ns0:c r="B624" t="inlineStr">
        <ns0:is>
          <ns0:t>Los Angeles Lakers</ns0:t>
        </ns0:is>
      </ns0:c>
      <ns0:c r="C624">
        <ns0:f>COUNTIFS(Games_Raw!$K$2:$K$1232,"Yes",Games_Raw!$I$2:$I$1232,A624,Games_Raw!$J$2:$J$1232,B624)</ns0:f>
        <ns0:v>2</ns0:v>
      </ns0:c>
      <ns0:c r="D624">
        <ns0:f>COUNTIFS(Games_Raw!$K$2:$K$1232,"Yes",Games_Raw!$I$2:$I$1232,B624,Games_Raw!$J$2:$J$1232,A624)</ns0:f>
        <ns0:v>0</ns0:v>
      </ns0:c>
      <ns0:c r="E624" t="str">
        <ns0:f>C624&amp;"-"&amp;D624</ns0:f>
        <ns0:v>2-0</ns0:v>
      </ns0:c>
      <ns0:c r="F624">
        <ns0:f>COUNTIFS(Games_Raw!$K$2:$K$1232,"Yes",Games_Raw!$I$2:$I$1232,A624)</ns0:f>
        <ns0:v>41</ns0:v>
      </ns0:c>
      <ns0:c r="G624">
        <ns0:f>COUNTIFS(Games_Raw!$K$2:$K$1232,"Yes",Games_Raw!$J$2:$J$1232,A624)</ns0:f>
        <ns0:v>41</ns0:v>
      </ns0:c>
    </ns0:row>
    <ns0:row r="625">
      <ns0:c r="A625" t="inlineStr">
        <ns0:is>
          <ns0:t>Orlando Magic</ns0:t>
        </ns0:is>
      </ns0:c>
      <ns0:c r="B625" t="inlineStr">
        <ns0:is>
          <ns0:t>Memphis Grizzlies</ns0:t>
        </ns0:is>
      </ns0:c>
      <ns0:c r="C625">
        <ns0:f>COUNTIFS(Games_Raw!$K$2:$K$1232,"Yes",Games_Raw!$I$2:$I$1232,A625,Games_Raw!$J$2:$J$1232,B625)</ns0:f>
        <ns0:v>0</ns0:v>
      </ns0:c>
      <ns0:c r="D625">
        <ns0:f>COUNTIFS(Games_Raw!$K$2:$K$1232,"Yes",Games_Raw!$I$2:$I$1232,B625,Games_Raw!$J$2:$J$1232,A625)</ns0:f>
        <ns0:v>2</ns0:v>
      </ns0:c>
      <ns0:c r="E625" t="str">
        <ns0:f>C625&amp;"-"&amp;D625</ns0:f>
        <ns0:v>0-2</ns0:v>
      </ns0:c>
      <ns0:c r="F625">
        <ns0:f>COUNTIFS(Games_Raw!$K$2:$K$1232,"Yes",Games_Raw!$I$2:$I$1232,A625)</ns0:f>
        <ns0:v>41</ns0:v>
      </ns0:c>
      <ns0:c r="G625">
        <ns0:f>COUNTIFS(Games_Raw!$K$2:$K$1232,"Yes",Games_Raw!$J$2:$J$1232,A625)</ns0:f>
        <ns0:v>41</ns0:v>
      </ns0:c>
    </ns0:row>
    <ns0:row r="626">
      <ns0:c r="A626" t="inlineStr">
        <ns0:is>
          <ns0:t>Orlando Magic</ns0:t>
        </ns0:is>
      </ns0:c>
      <ns0:c r="B626" t="inlineStr">
        <ns0:is>
          <ns0:t>Miami Heat</ns0:t>
        </ns0:is>
      </ns0:c>
      <ns0:c r="C626">
        <ns0:f>COUNTIFS(Games_Raw!$K$2:$K$1232,"Yes",Games_Raw!$I$2:$I$1232,A626,Games_Raw!$J$2:$J$1232,B626)</ns0:f>
        <ns0:v>2</ns0:v>
      </ns0:c>
      <ns0:c r="D626">
        <ns0:f>COUNTIFS(Games_Raw!$K$2:$K$1232,"Yes",Games_Raw!$I$2:$I$1232,B626,Games_Raw!$J$2:$J$1232,A626)</ns0:f>
        <ns0:v>2</ns0:v>
      </ns0:c>
      <ns0:c r="E626" t="str">
        <ns0:f>C626&amp;"-"&amp;D626</ns0:f>
        <ns0:v>2-2</ns0:v>
      </ns0:c>
      <ns0:c r="F626">
        <ns0:f>COUNTIFS(Games_Raw!$K$2:$K$1232,"Yes",Games_Raw!$I$2:$I$1232,A626)</ns0:f>
        <ns0:v>41</ns0:v>
      </ns0:c>
      <ns0:c r="G626">
        <ns0:f>COUNTIFS(Games_Raw!$K$2:$K$1232,"Yes",Games_Raw!$J$2:$J$1232,A626)</ns0:f>
        <ns0:v>41</ns0:v>
      </ns0:c>
    </ns0:row>
    <ns0:row r="627">
      <ns0:c r="A627" t="inlineStr">
        <ns0:is>
          <ns0:t>Orlando Magic</ns0:t>
        </ns0:is>
      </ns0:c>
      <ns0:c r="B627" t="inlineStr">
        <ns0:is>
          <ns0:t>Milwaukee Bucks</ns0:t>
        </ns0:is>
      </ns0:c>
      <ns0:c r="C627">
        <ns0:f>COUNTIFS(Games_Raw!$K$2:$K$1232,"Yes",Games_Raw!$I$2:$I$1232,A627,Games_Raw!$J$2:$J$1232,B627)</ns0:f>
        <ns0:v>1</ns0:v>
      </ns0:c>
      <ns0:c r="D627">
        <ns0:f>COUNTIFS(Games_Raw!$K$2:$K$1232,"Yes",Games_Raw!$I$2:$I$1232,B627,Games_Raw!$J$2:$J$1232,A627)</ns0:f>
        <ns0:v>3</ns0:v>
      </ns0:c>
      <ns0:c r="E627" t="str">
        <ns0:f>C627&amp;"-"&amp;D627</ns0:f>
        <ns0:v>1-3</ns0:v>
      </ns0:c>
      <ns0:c r="F627">
        <ns0:f>COUNTIFS(Games_Raw!$K$2:$K$1232,"Yes",Games_Raw!$I$2:$I$1232,A627)</ns0:f>
        <ns0:v>41</ns0:v>
      </ns0:c>
      <ns0:c r="G627">
        <ns0:f>COUNTIFS(Games_Raw!$K$2:$K$1232,"Yes",Games_Raw!$J$2:$J$1232,A627)</ns0:f>
        <ns0:v>41</ns0:v>
      </ns0:c>
    </ns0:row>
    <ns0:row r="628">
      <ns0:c r="A628" t="inlineStr">
        <ns0:is>
          <ns0:t>Orlando Magic</ns0:t>
        </ns0:is>
      </ns0:c>
      <ns0:c r="B628" t="inlineStr">
        <ns0:is>
          <ns0:t>Minnesota Timberwolves</ns0:t>
        </ns0:is>
      </ns0:c>
      <ns0:c r="C628">
        <ns0:f>COUNTIFS(Games_Raw!$K$2:$K$1232,"Yes",Games_Raw!$I$2:$I$1232,A628,Games_Raw!$J$2:$J$1232,B628)</ns0:f>
        <ns0:v>0</ns0:v>
      </ns0:c>
      <ns0:c r="D628">
        <ns0:f>COUNTIFS(Games_Raw!$K$2:$K$1232,"Yes",Games_Raw!$I$2:$I$1232,B628,Games_Raw!$J$2:$J$1232,A628)</ns0:f>
        <ns0:v>2</ns0:v>
      </ns0:c>
      <ns0:c r="E628" t="str">
        <ns0:f>C628&amp;"-"&amp;D628</ns0:f>
        <ns0:v>0-2</ns0:v>
      </ns0:c>
      <ns0:c r="F628">
        <ns0:f>COUNTIFS(Games_Raw!$K$2:$K$1232,"Yes",Games_Raw!$I$2:$I$1232,A628)</ns0:f>
        <ns0:v>41</ns0:v>
      </ns0:c>
      <ns0:c r="G628">
        <ns0:f>COUNTIFS(Games_Raw!$K$2:$K$1232,"Yes",Games_Raw!$J$2:$J$1232,A628)</ns0:f>
        <ns0:v>41</ns0:v>
      </ns0:c>
    </ns0:row>
    <ns0:row r="629">
      <ns0:c r="A629" t="inlineStr">
        <ns0:is>
          <ns0:t>Orlando Magic</ns0:t>
        </ns0:is>
      </ns0:c>
      <ns0:c r="B629" t="inlineStr">
        <ns0:is>
          <ns0:t>New Orleans Pelicans</ns0:t>
        </ns0:is>
      </ns0:c>
      <ns0:c r="C629">
        <ns0:f>COUNTIFS(Games_Raw!$K$2:$K$1232,"Yes",Games_Raw!$I$2:$I$1232,A629,Games_Raw!$J$2:$J$1232,B629)</ns0:f>
        <ns0:v>2</ns0:v>
      </ns0:c>
      <ns0:c r="D629">
        <ns0:f>COUNTIFS(Games_Raw!$K$2:$K$1232,"Yes",Games_Raw!$I$2:$I$1232,B629,Games_Raw!$J$2:$J$1232,A629)</ns0:f>
        <ns0:v>0</ns0:v>
      </ns0:c>
      <ns0:c r="E629" t="str">
        <ns0:f>C629&amp;"-"&amp;D629</ns0:f>
        <ns0:v>2-0</ns0:v>
      </ns0:c>
      <ns0:c r="F629">
        <ns0:f>COUNTIFS(Games_Raw!$K$2:$K$1232,"Yes",Games_Raw!$I$2:$I$1232,A629)</ns0:f>
        <ns0:v>41</ns0:v>
      </ns0:c>
      <ns0:c r="G629">
        <ns0:f>COUNTIFS(Games_Raw!$K$2:$K$1232,"Yes",Games_Raw!$J$2:$J$1232,A629)</ns0:f>
        <ns0:v>41</ns0:v>
      </ns0:c>
    </ns0:row>
    <ns0:row r="630">
      <ns0:c r="A630" t="inlineStr">
        <ns0:is>
          <ns0:t>Orlando Magic</ns0:t>
        </ns0:is>
      </ns0:c>
      <ns0:c r="B630" t="inlineStr">
        <ns0:is>
          <ns0:t>New York Knicks</ns0:t>
        </ns0:is>
      </ns0:c>
      <ns0:c r="C630">
        <ns0:f>COUNTIFS(Games_Raw!$K$2:$K$1232,"Yes",Games_Raw!$I$2:$I$1232,A630,Games_Raw!$J$2:$J$1232,B630)</ns0:f>
        <ns0:v>1</ns0:v>
      </ns0:c>
      <ns0:c r="D630">
        <ns0:f>COUNTIFS(Games_Raw!$K$2:$K$1232,"Yes",Games_Raw!$I$2:$I$1232,B630,Games_Raw!$J$2:$J$1232,A630)</ns0:f>
        <ns0:v>3</ns0:v>
      </ns0:c>
      <ns0:c r="E630" t="str">
        <ns0:f>C630&amp;"-"&amp;D630</ns0:f>
        <ns0:v>1-3</ns0:v>
      </ns0:c>
      <ns0:c r="F630">
        <ns0:f>COUNTIFS(Games_Raw!$K$2:$K$1232,"Yes",Games_Raw!$I$2:$I$1232,A630)</ns0:f>
        <ns0:v>41</ns0:v>
      </ns0:c>
      <ns0:c r="G630">
        <ns0:f>COUNTIFS(Games_Raw!$K$2:$K$1232,"Yes",Games_Raw!$J$2:$J$1232,A630)</ns0:f>
        <ns0:v>41</ns0:v>
      </ns0:c>
    </ns0:row>
    <ns0:row r="631">
      <ns0:c r="A631" t="inlineStr">
        <ns0:is>
          <ns0:t>Orlando Magic</ns0:t>
        </ns0:is>
      </ns0:c>
      <ns0:c r="B631" t="inlineStr">
        <ns0:is>
          <ns0:t>Oklahoma City Thunder</ns0:t>
        </ns0:is>
      </ns0:c>
      <ns0:c r="C631">
        <ns0:f>COUNTIFS(Games_Raw!$K$2:$K$1232,"Yes",Games_Raw!$I$2:$I$1232,A631,Games_Raw!$J$2:$J$1232,B631)</ns0:f>
        <ns0:v>0</ns0:v>
      </ns0:c>
      <ns0:c r="D631">
        <ns0:f>COUNTIFS(Games_Raw!$K$2:$K$1232,"Yes",Games_Raw!$I$2:$I$1232,B631,Games_Raw!$J$2:$J$1232,A631)</ns0:f>
        <ns0:v>2</ns0:v>
      </ns0:c>
      <ns0:c r="E631" t="str">
        <ns0:f>C631&amp;"-"&amp;D631</ns0:f>
        <ns0:v>0-2</ns0:v>
      </ns0:c>
      <ns0:c r="F631">
        <ns0:f>COUNTIFS(Games_Raw!$K$2:$K$1232,"Yes",Games_Raw!$I$2:$I$1232,A631)</ns0:f>
        <ns0:v>41</ns0:v>
      </ns0:c>
      <ns0:c r="G631">
        <ns0:f>COUNTIFS(Games_Raw!$K$2:$K$1232,"Yes",Games_Raw!$J$2:$J$1232,A631)</ns0:f>
        <ns0:v>41</ns0:v>
      </ns0:c>
    </ns0:row>
    <ns0:row r="632">
      <ns0:c r="A632" t="inlineStr">
        <ns0:is>
          <ns0:t>Orlando Magic</ns0:t>
        </ns0:is>
      </ns0:c>
      <ns0:c r="B632" t="inlineStr">
        <ns0:is>
          <ns0:t>Philadelphia 76ers</ns0:t>
        </ns0:is>
      </ns0:c>
      <ns0:c r="C632">
        <ns0:f>COUNTIFS(Games_Raw!$K$2:$K$1232,"Yes",Games_Raw!$I$2:$I$1232,A632,Games_Raw!$J$2:$J$1232,B632)</ns0:f>
        <ns0:v>3</ns0:v>
      </ns0:c>
      <ns0:c r="D632">
        <ns0:f>COUNTIFS(Games_Raw!$K$2:$K$1232,"Yes",Games_Raw!$I$2:$I$1232,B632,Games_Raw!$J$2:$J$1232,A632)</ns0:f>
        <ns0:v>1</ns0:v>
      </ns0:c>
      <ns0:c r="E632" t="str">
        <ns0:f>C632&amp;"-"&amp;D632</ns0:f>
        <ns0:v>3-1</ns0:v>
      </ns0:c>
      <ns0:c r="F632">
        <ns0:f>COUNTIFS(Games_Raw!$K$2:$K$1232,"Yes",Games_Raw!$I$2:$I$1232,A632)</ns0:f>
        <ns0:v>41</ns0:v>
      </ns0:c>
      <ns0:c r="G632">
        <ns0:f>COUNTIFS(Games_Raw!$K$2:$K$1232,"Yes",Games_Raw!$J$2:$J$1232,A632)</ns0:f>
        <ns0:v>41</ns0:v>
      </ns0:c>
    </ns0:row>
    <ns0:row r="633">
      <ns0:c r="A633" t="inlineStr">
        <ns0:is>
          <ns0:t>Orlando Magic</ns0:t>
        </ns0:is>
      </ns0:c>
      <ns0:c r="B633" t="inlineStr">
        <ns0:is>
          <ns0:t>Phoenix Suns</ns0:t>
        </ns0:is>
      </ns0:c>
      <ns0:c r="C633">
        <ns0:f>COUNTIFS(Games_Raw!$K$2:$K$1232,"Yes",Games_Raw!$I$2:$I$1232,A633,Games_Raw!$J$2:$J$1232,B633)</ns0:f>
        <ns0:v>2</ns0:v>
      </ns0:c>
      <ns0:c r="D633">
        <ns0:f>COUNTIFS(Games_Raw!$K$2:$K$1232,"Yes",Games_Raw!$I$2:$I$1232,B633,Games_Raw!$J$2:$J$1232,A633)</ns0:f>
        <ns0:v>0</ns0:v>
      </ns0:c>
      <ns0:c r="E633" t="str">
        <ns0:f>C633&amp;"-"&amp;D633</ns0:f>
        <ns0:v>2-0</ns0:v>
      </ns0:c>
      <ns0:c r="F633">
        <ns0:f>COUNTIFS(Games_Raw!$K$2:$K$1232,"Yes",Games_Raw!$I$2:$I$1232,A633)</ns0:f>
        <ns0:v>41</ns0:v>
      </ns0:c>
      <ns0:c r="G633">
        <ns0:f>COUNTIFS(Games_Raw!$K$2:$K$1232,"Yes",Games_Raw!$J$2:$J$1232,A633)</ns0:f>
        <ns0:v>41</ns0:v>
      </ns0:c>
    </ns0:row>
    <ns0:row r="634">
      <ns0:c r="A634" t="inlineStr">
        <ns0:is>
          <ns0:t>Orlando Magic</ns0:t>
        </ns0:is>
      </ns0:c>
      <ns0:c r="B634" t="inlineStr">
        <ns0:is>
          <ns0:t>Portland Trail Blazers</ns0:t>
        </ns0:is>
      </ns0:c>
      <ns0:c r="C634">
        <ns0:f>COUNTIFS(Games_Raw!$K$2:$K$1232,"Yes",Games_Raw!$I$2:$I$1232,A634,Games_Raw!$J$2:$J$1232,B634)</ns0:f>
        <ns0:v>0</ns0:v>
      </ns0:c>
      <ns0:c r="D634">
        <ns0:f>COUNTIFS(Games_Raw!$K$2:$K$1232,"Yes",Games_Raw!$I$2:$I$1232,B634,Games_Raw!$J$2:$J$1232,A634)</ns0:f>
        <ns0:v>2</ns0:v>
      </ns0:c>
      <ns0:c r="E634" t="str">
        <ns0:f>C634&amp;"-"&amp;D634</ns0:f>
        <ns0:v>0-2</ns0:v>
      </ns0:c>
      <ns0:c r="F634">
        <ns0:f>COUNTIFS(Games_Raw!$K$2:$K$1232,"Yes",Games_Raw!$I$2:$I$1232,A634)</ns0:f>
        <ns0:v>41</ns0:v>
      </ns0:c>
      <ns0:c r="G634">
        <ns0:f>COUNTIFS(Games_Raw!$K$2:$K$1232,"Yes",Games_Raw!$J$2:$J$1232,A634)</ns0:f>
        <ns0:v>41</ns0:v>
      </ns0:c>
    </ns0:row>
    <ns0:row r="635">
      <ns0:c r="A635" t="inlineStr">
        <ns0:is>
          <ns0:t>Orlando Magic</ns0:t>
        </ns0:is>
      </ns0:c>
      <ns0:c r="B635" t="inlineStr">
        <ns0:is>
          <ns0:t>Sacramento Kings</ns0:t>
        </ns0:is>
      </ns0:c>
      <ns0:c r="C635">
        <ns0:f>COUNTIFS(Games_Raw!$K$2:$K$1232,"Yes",Games_Raw!$I$2:$I$1232,A635,Games_Raw!$J$2:$J$1232,B635)</ns0:f>
        <ns0:v>2</ns0:v>
      </ns0:c>
      <ns0:c r="D635">
        <ns0:f>COUNTIFS(Games_Raw!$K$2:$K$1232,"Yes",Games_Raw!$I$2:$I$1232,B635,Games_Raw!$J$2:$J$1232,A635)</ns0:f>
        <ns0:v>0</ns0:v>
      </ns0:c>
      <ns0:c r="E635" t="str">
        <ns0:f>C635&amp;"-"&amp;D635</ns0:f>
        <ns0:v>2-0</ns0:v>
      </ns0:c>
      <ns0:c r="F635">
        <ns0:f>COUNTIFS(Games_Raw!$K$2:$K$1232,"Yes",Games_Raw!$I$2:$I$1232,A635)</ns0:f>
        <ns0:v>41</ns0:v>
      </ns0:c>
      <ns0:c r="G635">
        <ns0:f>COUNTIFS(Games_Raw!$K$2:$K$1232,"Yes",Games_Raw!$J$2:$J$1232,A635)</ns0:f>
        <ns0:v>41</ns0:v>
      </ns0:c>
    </ns0:row>
    <ns0:row r="636">
      <ns0:c r="A636" t="inlineStr">
        <ns0:is>
          <ns0:t>Orlando Magic</ns0:t>
        </ns0:is>
      </ns0:c>
      <ns0:c r="B636" t="inlineStr">
        <ns0:is>
          <ns0:t>San Antonio Spurs</ns0:t>
        </ns0:is>
      </ns0:c>
      <ns0:c r="C636">
        <ns0:f>COUNTIFS(Games_Raw!$K$2:$K$1232,"Yes",Games_Raw!$I$2:$I$1232,A636,Games_Raw!$J$2:$J$1232,B636)</ns0:f>
        <ns0:v>2</ns0:v>
      </ns0:c>
      <ns0:c r="D636">
        <ns0:f>COUNTIFS(Games_Raw!$K$2:$K$1232,"Yes",Games_Raw!$I$2:$I$1232,B636,Games_Raw!$J$2:$J$1232,A636)</ns0:f>
        <ns0:v>0</ns0:v>
      </ns0:c>
      <ns0:c r="E636" t="str">
        <ns0:f>C636&amp;"-"&amp;D636</ns0:f>
        <ns0:v>2-0</ns0:v>
      </ns0:c>
      <ns0:c r="F636">
        <ns0:f>COUNTIFS(Games_Raw!$K$2:$K$1232,"Yes",Games_Raw!$I$2:$I$1232,A636)</ns0:f>
        <ns0:v>41</ns0:v>
      </ns0:c>
      <ns0:c r="G636">
        <ns0:f>COUNTIFS(Games_Raw!$K$2:$K$1232,"Yes",Games_Raw!$J$2:$J$1232,A636)</ns0:f>
        <ns0:v>41</ns0:v>
      </ns0:c>
    </ns0:row>
    <ns0:row r="637">
      <ns0:c r="A637" t="inlineStr">
        <ns0:is>
          <ns0:t>Orlando Magic</ns0:t>
        </ns0:is>
      </ns0:c>
      <ns0:c r="B637" t="inlineStr">
        <ns0:is>
          <ns0:t>Toronto Raptors</ns0:t>
        </ns0:is>
      </ns0:c>
      <ns0:c r="C637">
        <ns0:f>COUNTIFS(Games_Raw!$K$2:$K$1232,"Yes",Games_Raw!$I$2:$I$1232,A637,Games_Raw!$J$2:$J$1232,B637)</ns0:f>
        <ns0:v>1</ns0:v>
      </ns0:c>
      <ns0:c r="D637">
        <ns0:f>COUNTIFS(Games_Raw!$K$2:$K$1232,"Yes",Games_Raw!$I$2:$I$1232,B637,Games_Raw!$J$2:$J$1232,A637)</ns0:f>
        <ns0:v>3</ns0:v>
      </ns0:c>
      <ns0:c r="E637" t="str">
        <ns0:f>C637&amp;"-"&amp;D637</ns0:f>
        <ns0:v>1-3</ns0:v>
      </ns0:c>
      <ns0:c r="F637">
        <ns0:f>COUNTIFS(Games_Raw!$K$2:$K$1232,"Yes",Games_Raw!$I$2:$I$1232,A637)</ns0:f>
        <ns0:v>41</ns0:v>
      </ns0:c>
      <ns0:c r="G637">
        <ns0:f>COUNTIFS(Games_Raw!$K$2:$K$1232,"Yes",Games_Raw!$J$2:$J$1232,A637)</ns0:f>
        <ns0:v>41</ns0:v>
      </ns0:c>
    </ns0:row>
    <ns0:row r="638">
      <ns0:c r="A638" t="inlineStr">
        <ns0:is>
          <ns0:t>Orlando Magic</ns0:t>
        </ns0:is>
      </ns0:c>
      <ns0:c r="B638" t="inlineStr">
        <ns0:is>
          <ns0:t>Utah Jazz</ns0:t>
        </ns0:is>
      </ns0:c>
      <ns0:c r="C638">
        <ns0:f>COUNTIFS(Games_Raw!$K$2:$K$1232,"Yes",Games_Raw!$I$2:$I$1232,A638,Games_Raw!$J$2:$J$1232,B638)</ns0:f>
        <ns0:v>0</ns0:v>
      </ns0:c>
      <ns0:c r="D638">
        <ns0:f>COUNTIFS(Games_Raw!$K$2:$K$1232,"Yes",Games_Raw!$I$2:$I$1232,B638,Games_Raw!$J$2:$J$1232,A638)</ns0:f>
        <ns0:v>2</ns0:v>
      </ns0:c>
      <ns0:c r="E638" t="str">
        <ns0:f>C638&amp;"-"&amp;D638</ns0:f>
        <ns0:v>0-2</ns0:v>
      </ns0:c>
      <ns0:c r="F638">
        <ns0:f>COUNTIFS(Games_Raw!$K$2:$K$1232,"Yes",Games_Raw!$I$2:$I$1232,A638)</ns0:f>
        <ns0:v>41</ns0:v>
      </ns0:c>
      <ns0:c r="G638">
        <ns0:f>COUNTIFS(Games_Raw!$K$2:$K$1232,"Yes",Games_Raw!$J$2:$J$1232,A638)</ns0:f>
        <ns0:v>41</ns0:v>
      </ns0:c>
    </ns0:row>
    <ns0:row r="639">
      <ns0:c r="A639" t="inlineStr">
        <ns0:is>
          <ns0:t>Orlando Magic</ns0:t>
        </ns0:is>
      </ns0:c>
      <ns0:c r="B639" t="inlineStr">
        <ns0:is>
          <ns0:t>Washington Wizards</ns0:t>
        </ns0:is>
      </ns0:c>
      <ns0:c r="C639">
        <ns0:f>COUNTIFS(Games_Raw!$K$2:$K$1232,"Yes",Games_Raw!$I$2:$I$1232,A639,Games_Raw!$J$2:$J$1232,B639)</ns0:f>
        <ns0:v>4</ns0:v>
      </ns0:c>
      <ns0:c r="D639">
        <ns0:f>COUNTIFS(Games_Raw!$K$2:$K$1232,"Yes",Games_Raw!$I$2:$I$1232,B639,Games_Raw!$J$2:$J$1232,A639)</ns0:f>
        <ns0:v>0</ns0:v>
      </ns0:c>
      <ns0:c r="E639" t="str">
        <ns0:f>C639&amp;"-"&amp;D639</ns0:f>
        <ns0:v>4-0</ns0:v>
      </ns0:c>
      <ns0:c r="F639">
        <ns0:f>COUNTIFS(Games_Raw!$K$2:$K$1232,"Yes",Games_Raw!$I$2:$I$1232,A639)</ns0:f>
        <ns0:v>41</ns0:v>
      </ns0:c>
      <ns0:c r="G639">
        <ns0:f>COUNTIFS(Games_Raw!$K$2:$K$1232,"Yes",Games_Raw!$J$2:$J$1232,A639)</ns0:f>
        <ns0:v>41</ns0:v>
      </ns0:c>
    </ns0:row>
    <ns0:row r="640">
      <ns0:c r="A640" t="inlineStr">
        <ns0:is>
          <ns0:t>Philadelphia 76ers</ns0:t>
        </ns0:is>
      </ns0:c>
      <ns0:c r="B640" t="inlineStr">
        <ns0:is>
          <ns0:t>Atlanta Hawks</ns0:t>
        </ns0:is>
      </ns0:c>
      <ns0:c r="C640">
        <ns0:f>COUNTIFS(Games_Raw!$K$2:$K$1232,"Yes",Games_Raw!$I$2:$I$1232,A640,Games_Raw!$J$2:$J$1232,B640)</ns0:f>
        <ns0:v>0</ns0:v>
      </ns0:c>
      <ns0:c r="D640">
        <ns0:f>COUNTIFS(Games_Raw!$K$2:$K$1232,"Yes",Games_Raw!$I$2:$I$1232,B640,Games_Raw!$J$2:$J$1232,A640)</ns0:f>
        <ns0:v>3</ns0:v>
      </ns0:c>
      <ns0:c r="E640" t="str">
        <ns0:f>C640&amp;"-"&amp;D640</ns0:f>
        <ns0:v>0-3</ns0:v>
      </ns0:c>
      <ns0:c r="F640">
        <ns0:f>COUNTIFS(Games_Raw!$K$2:$K$1232,"Yes",Games_Raw!$I$2:$I$1232,A640)</ns0:f>
        <ns0:v>24</ns0:v>
      </ns0:c>
      <ns0:c r="G640">
        <ns0:f>COUNTIFS(Games_Raw!$K$2:$K$1232,"Yes",Games_Raw!$J$2:$J$1232,A640)</ns0:f>
        <ns0:v>58</ns0:v>
      </ns0:c>
    </ns0:row>
    <ns0:row r="641">
      <ns0:c r="A641" t="inlineStr">
        <ns0:is>
          <ns0:t>Philadelphia 76ers</ns0:t>
        </ns0:is>
      </ns0:c>
      <ns0:c r="B641" t="inlineStr">
        <ns0:is>
          <ns0:t>Boston Celtics</ns0:t>
        </ns0:is>
      </ns0:c>
      <ns0:c r="C641">
        <ns0:f>COUNTIFS(Games_Raw!$K$2:$K$1232,"Yes",Games_Raw!$I$2:$I$1232,A641,Games_Raw!$J$2:$J$1232,B641)</ns0:f>
        <ns0:v>1</ns0:v>
      </ns0:c>
      <ns0:c r="D641">
        <ns0:f>COUNTIFS(Games_Raw!$K$2:$K$1232,"Yes",Games_Raw!$I$2:$I$1232,B641,Games_Raw!$J$2:$J$1232,A641)</ns0:f>
        <ns0:v>3</ns0:v>
      </ns0:c>
      <ns0:c r="E641" t="str">
        <ns0:f>C641&amp;"-"&amp;D641</ns0:f>
        <ns0:v>1-3</ns0:v>
      </ns0:c>
      <ns0:c r="F641">
        <ns0:f>COUNTIFS(Games_Raw!$K$2:$K$1232,"Yes",Games_Raw!$I$2:$I$1232,A641)</ns0:f>
        <ns0:v>24</ns0:v>
      </ns0:c>
      <ns0:c r="G641">
        <ns0:f>COUNTIFS(Games_Raw!$K$2:$K$1232,"Yes",Games_Raw!$J$2:$J$1232,A641)</ns0:f>
        <ns0:v>58</ns0:v>
      </ns0:c>
    </ns0:row>
    <ns0:row r="642">
      <ns0:c r="A642" t="inlineStr">
        <ns0:is>
          <ns0:t>Philadelphia 76ers</ns0:t>
        </ns0:is>
      </ns0:c>
      <ns0:c r="B642" t="inlineStr">
        <ns0:is>
          <ns0:t>Brooklyn Nets</ns0:t>
        </ns0:is>
      </ns0:c>
      <ns0:c r="C642">
        <ns0:f>COUNTIFS(Games_Raw!$K$2:$K$1232,"Yes",Games_Raw!$I$2:$I$1232,A642,Games_Raw!$J$2:$J$1232,B642)</ns0:f>
        <ns0:v>2</ns0:v>
      </ns0:c>
      <ns0:c r="D642">
        <ns0:f>COUNTIFS(Games_Raw!$K$2:$K$1232,"Yes",Games_Raw!$I$2:$I$1232,B642,Games_Raw!$J$2:$J$1232,A642)</ns0:f>
        <ns0:v>2</ns0:v>
      </ns0:c>
      <ns0:c r="E642" t="str">
        <ns0:f>C642&amp;"-"&amp;D642</ns0:f>
        <ns0:v>2-2</ns0:v>
      </ns0:c>
      <ns0:c r="F642">
        <ns0:f>COUNTIFS(Games_Raw!$K$2:$K$1232,"Yes",Games_Raw!$I$2:$I$1232,A642)</ns0:f>
        <ns0:v>24</ns0:v>
      </ns0:c>
      <ns0:c r="G642">
        <ns0:f>COUNTIFS(Games_Raw!$K$2:$K$1232,"Yes",Games_Raw!$J$2:$J$1232,A642)</ns0:f>
        <ns0:v>58</ns0:v>
      </ns0:c>
    </ns0:row>
    <ns0:row r="643">
      <ns0:c r="A643" t="inlineStr">
        <ns0:is>
          <ns0:t>Philadelphia 76ers</ns0:t>
        </ns0:is>
      </ns0:c>
      <ns0:c r="B643" t="inlineStr">
        <ns0:is>
          <ns0:t>Charlotte Hornets</ns0:t>
        </ns0:is>
      </ns0:c>
      <ns0:c r="C643">
        <ns0:f>COUNTIFS(Games_Raw!$K$2:$K$1232,"Yes",Games_Raw!$I$2:$I$1232,A643,Games_Raw!$J$2:$J$1232,B643)</ns0:f>
        <ns0:v>4</ns0:v>
      </ns0:c>
      <ns0:c r="D643">
        <ns0:f>COUNTIFS(Games_Raw!$K$2:$K$1232,"Yes",Games_Raw!$I$2:$I$1232,B643,Games_Raw!$J$2:$J$1232,A643)</ns0:f>
        <ns0:v>0</ns0:v>
      </ns0:c>
      <ns0:c r="E643" t="str">
        <ns0:f>C643&amp;"-"&amp;D643</ns0:f>
        <ns0:v>4-0</ns0:v>
      </ns0:c>
      <ns0:c r="F643">
        <ns0:f>COUNTIFS(Games_Raw!$K$2:$K$1232,"Yes",Games_Raw!$I$2:$I$1232,A643)</ns0:f>
        <ns0:v>24</ns0:v>
      </ns0:c>
      <ns0:c r="G643">
        <ns0:f>COUNTIFS(Games_Raw!$K$2:$K$1232,"Yes",Games_Raw!$J$2:$J$1232,A643)</ns0:f>
        <ns0:v>58</ns0:v>
      </ns0:c>
    </ns0:row>
    <ns0:row r="644">
      <ns0:c r="A644" t="inlineStr">
        <ns0:is>
          <ns0:t>Philadelphia 76ers</ns0:t>
        </ns0:is>
      </ns0:c>
      <ns0:c r="B644" t="inlineStr">
        <ns0:is>
          <ns0:t>Chicago Bulls</ns0:t>
        </ns0:is>
      </ns0:c>
      <ns0:c r="C644">
        <ns0:f>COUNTIFS(Games_Raw!$K$2:$K$1232,"Yes",Games_Raw!$I$2:$I$1232,A644,Games_Raw!$J$2:$J$1232,B644)</ns0:f>
        <ns0:v>2</ns0:v>
      </ns0:c>
      <ns0:c r="D644">
        <ns0:f>COUNTIFS(Games_Raw!$K$2:$K$1232,"Yes",Games_Raw!$I$2:$I$1232,B644,Games_Raw!$J$2:$J$1232,A644)</ns0:f>
        <ns0:v>2</ns0:v>
      </ns0:c>
      <ns0:c r="E644" t="str">
        <ns0:f>C644&amp;"-"&amp;D644</ns0:f>
        <ns0:v>2-2</ns0:v>
      </ns0:c>
      <ns0:c r="F644">
        <ns0:f>COUNTIFS(Games_Raw!$K$2:$K$1232,"Yes",Games_Raw!$I$2:$I$1232,A644)</ns0:f>
        <ns0:v>24</ns0:v>
      </ns0:c>
      <ns0:c r="G644">
        <ns0:f>COUNTIFS(Games_Raw!$K$2:$K$1232,"Yes",Games_Raw!$J$2:$J$1232,A644)</ns0:f>
        <ns0:v>58</ns0:v>
      </ns0:c>
    </ns0:row>
    <ns0:row r="645">
      <ns0:c r="A645" t="inlineStr">
        <ns0:is>
          <ns0:t>Philadelphia 76ers</ns0:t>
        </ns0:is>
      </ns0:c>
      <ns0:c r="B645" t="inlineStr">
        <ns0:is>
          <ns0:t>Cleveland Cavaliers</ns0:t>
        </ns0:is>
      </ns0:c>
      <ns0:c r="C645">
        <ns0:f>COUNTIFS(Games_Raw!$K$2:$K$1232,"Yes",Games_Raw!$I$2:$I$1232,A645,Games_Raw!$J$2:$J$1232,B645)</ns0:f>
        <ns0:v>1</ns0:v>
      </ns0:c>
      <ns0:c r="D645">
        <ns0:f>COUNTIFS(Games_Raw!$K$2:$K$1232,"Yes",Games_Raw!$I$2:$I$1232,B645,Games_Raw!$J$2:$J$1232,A645)</ns0:f>
        <ns0:v>2</ns0:v>
      </ns0:c>
      <ns0:c r="E645" t="str">
        <ns0:f>C645&amp;"-"&amp;D645</ns0:f>
        <ns0:v>1-2</ns0:v>
      </ns0:c>
      <ns0:c r="F645">
        <ns0:f>COUNTIFS(Games_Raw!$K$2:$K$1232,"Yes",Games_Raw!$I$2:$I$1232,A645)</ns0:f>
        <ns0:v>24</ns0:v>
      </ns0:c>
      <ns0:c r="G645">
        <ns0:f>COUNTIFS(Games_Raw!$K$2:$K$1232,"Yes",Games_Raw!$J$2:$J$1232,A645)</ns0:f>
        <ns0:v>58</ns0:v>
      </ns0:c>
    </ns0:row>
    <ns0:row r="646">
      <ns0:c r="A646" t="inlineStr">
        <ns0:is>
          <ns0:t>Philadelphia 76ers</ns0:t>
        </ns0:is>
      </ns0:c>
      <ns0:c r="B646" t="inlineStr">
        <ns0:is>
          <ns0:t>Dallas Mavericks</ns0:t>
        </ns0:is>
      </ns0:c>
      <ns0:c r="C646">
        <ns0:f>COUNTIFS(Games_Raw!$K$2:$K$1232,"Yes",Games_Raw!$I$2:$I$1232,A646,Games_Raw!$J$2:$J$1232,B646)</ns0:f>
        <ns0:v>2</ns0:v>
      </ns0:c>
      <ns0:c r="D646">
        <ns0:f>COUNTIFS(Games_Raw!$K$2:$K$1232,"Yes",Games_Raw!$I$2:$I$1232,B646,Games_Raw!$J$2:$J$1232,A646)</ns0:f>
        <ns0:v>0</ns0:v>
      </ns0:c>
      <ns0:c r="E646" t="str">
        <ns0:f>C646&amp;"-"&amp;D646</ns0:f>
        <ns0:v>2-0</ns0:v>
      </ns0:c>
      <ns0:c r="F646">
        <ns0:f>COUNTIFS(Games_Raw!$K$2:$K$1232,"Yes",Games_Raw!$I$2:$I$1232,A646)</ns0:f>
        <ns0:v>24</ns0:v>
      </ns0:c>
      <ns0:c r="G646">
        <ns0:f>COUNTIFS(Games_Raw!$K$2:$K$1232,"Yes",Games_Raw!$J$2:$J$1232,A646)</ns0:f>
        <ns0:v>58</ns0:v>
      </ns0:c>
    </ns0:row>
    <ns0:row r="647">
      <ns0:c r="A647" t="inlineStr">
        <ns0:is>
          <ns0:t>Philadelphia 76ers</ns0:t>
        </ns0:is>
      </ns0:c>
      <ns0:c r="B647" t="inlineStr">
        <ns0:is>
          <ns0:t>Denver Nuggets</ns0:t>
        </ns0:is>
      </ns0:c>
      <ns0:c r="C647">
        <ns0:f>COUNTIFS(Games_Raw!$K$2:$K$1232,"Yes",Games_Raw!$I$2:$I$1232,A647,Games_Raw!$J$2:$J$1232,B647)</ns0:f>
        <ns0:v>0</ns0:v>
      </ns0:c>
      <ns0:c r="D647">
        <ns0:f>COUNTIFS(Games_Raw!$K$2:$K$1232,"Yes",Games_Raw!$I$2:$I$1232,B647,Games_Raw!$J$2:$J$1232,A647)</ns0:f>
        <ns0:v>2</ns0:v>
      </ns0:c>
      <ns0:c r="E647" t="str">
        <ns0:f>C647&amp;"-"&amp;D647</ns0:f>
        <ns0:v>0-2</ns0:v>
      </ns0:c>
      <ns0:c r="F647">
        <ns0:f>COUNTIFS(Games_Raw!$K$2:$K$1232,"Yes",Games_Raw!$I$2:$I$1232,A647)</ns0:f>
        <ns0:v>24</ns0:v>
      </ns0:c>
      <ns0:c r="G647">
        <ns0:f>COUNTIFS(Games_Raw!$K$2:$K$1232,"Yes",Games_Raw!$J$2:$J$1232,A647)</ns0:f>
        <ns0:v>58</ns0:v>
      </ns0:c>
    </ns0:row>
    <ns0:row r="648">
      <ns0:c r="A648" t="inlineStr">
        <ns0:is>
          <ns0:t>Philadelphia 76ers</ns0:t>
        </ns0:is>
      </ns0:c>
      <ns0:c r="B648" t="inlineStr">
        <ns0:is>
          <ns0:t>Detroit Pistons</ns0:t>
        </ns0:is>
      </ns0:c>
      <ns0:c r="C648">
        <ns0:f>COUNTIFS(Games_Raw!$K$2:$K$1232,"Yes",Games_Raw!$I$2:$I$1232,A648,Games_Raw!$J$2:$J$1232,B648)</ns0:f>
        <ns0:v>1</ns0:v>
      </ns0:c>
      <ns0:c r="D648">
        <ns0:f>COUNTIFS(Games_Raw!$K$2:$K$1232,"Yes",Games_Raw!$I$2:$I$1232,B648,Games_Raw!$J$2:$J$1232,A648)</ns0:f>
        <ns0:v>2</ns0:v>
      </ns0:c>
      <ns0:c r="E648" t="str">
        <ns0:f>C648&amp;"-"&amp;D648</ns0:f>
        <ns0:v>1-2</ns0:v>
      </ns0:c>
      <ns0:c r="F648">
        <ns0:f>COUNTIFS(Games_Raw!$K$2:$K$1232,"Yes",Games_Raw!$I$2:$I$1232,A648)</ns0:f>
        <ns0:v>24</ns0:v>
      </ns0:c>
      <ns0:c r="G648">
        <ns0:f>COUNTIFS(Games_Raw!$K$2:$K$1232,"Yes",Games_Raw!$J$2:$J$1232,A648)</ns0:f>
        <ns0:v>58</ns0:v>
      </ns0:c>
    </ns0:row>
    <ns0:row r="649">
      <ns0:c r="A649" t="inlineStr">
        <ns0:is>
          <ns0:t>Philadelphia 76ers</ns0:t>
        </ns0:is>
      </ns0:c>
      <ns0:c r="B649" t="inlineStr">
        <ns0:is>
          <ns0:t>Golden State Warriors</ns0:t>
        </ns0:is>
      </ns0:c>
      <ns0:c r="C649">
        <ns0:f>COUNTIFS(Games_Raw!$K$2:$K$1232,"Yes",Games_Raw!$I$2:$I$1232,A649,Games_Raw!$J$2:$J$1232,B649)</ns0:f>
        <ns0:v>1</ns0:v>
      </ns0:c>
      <ns0:c r="D649">
        <ns0:f>COUNTIFS(Games_Raw!$K$2:$K$1232,"Yes",Games_Raw!$I$2:$I$1232,B649,Games_Raw!$J$2:$J$1232,A649)</ns0:f>
        <ns0:v>1</ns0:v>
      </ns0:c>
      <ns0:c r="E649" t="str">
        <ns0:f>C649&amp;"-"&amp;D649</ns0:f>
        <ns0:v>1-1</ns0:v>
      </ns0:c>
      <ns0:c r="F649">
        <ns0:f>COUNTIFS(Games_Raw!$K$2:$K$1232,"Yes",Games_Raw!$I$2:$I$1232,A649)</ns0:f>
        <ns0:v>24</ns0:v>
      </ns0:c>
      <ns0:c r="G649">
        <ns0:f>COUNTIFS(Games_Raw!$K$2:$K$1232,"Yes",Games_Raw!$J$2:$J$1232,A649)</ns0:f>
        <ns0:v>58</ns0:v>
      </ns0:c>
    </ns0:row>
    <ns0:row r="650">
      <ns0:c r="A650" t="inlineStr">
        <ns0:is>
          <ns0:t>Philadelphia 76ers</ns0:t>
        </ns0:is>
      </ns0:c>
      <ns0:c r="B650" t="inlineStr">
        <ns0:is>
          <ns0:t>Houston Rockets</ns0:t>
        </ns0:is>
      </ns0:c>
      <ns0:c r="C650">
        <ns0:f>COUNTIFS(Games_Raw!$K$2:$K$1232,"Yes",Games_Raw!$I$2:$I$1232,A650,Games_Raw!$J$2:$J$1232,B650)</ns0:f>
        <ns0:v>0</ns0:v>
      </ns0:c>
      <ns0:c r="D650">
        <ns0:f>COUNTIFS(Games_Raw!$K$2:$K$1232,"Yes",Games_Raw!$I$2:$I$1232,B650,Games_Raw!$J$2:$J$1232,A650)</ns0:f>
        <ns0:v>2</ns0:v>
      </ns0:c>
      <ns0:c r="E650" t="str">
        <ns0:f>C650&amp;"-"&amp;D650</ns0:f>
        <ns0:v>0-2</ns0:v>
      </ns0:c>
      <ns0:c r="F650">
        <ns0:f>COUNTIFS(Games_Raw!$K$2:$K$1232,"Yes",Games_Raw!$I$2:$I$1232,A650)</ns0:f>
        <ns0:v>24</ns0:v>
      </ns0:c>
      <ns0:c r="G650">
        <ns0:f>COUNTIFS(Games_Raw!$K$2:$K$1232,"Yes",Games_Raw!$J$2:$J$1232,A650)</ns0:f>
        <ns0:v>58</ns0:v>
      </ns0:c>
    </ns0:row>
    <ns0:row r="651">
      <ns0:c r="A651" t="inlineStr">
        <ns0:is>
          <ns0:t>Philadelphia 76ers</ns0:t>
        </ns0:is>
      </ns0:c>
      <ns0:c r="B651" t="inlineStr">
        <ns0:is>
          <ns0:t>Indiana Pacers</ns0:t>
        </ns0:is>
      </ns0:c>
      <ns0:c r="C651">
        <ns0:f>COUNTIFS(Games_Raw!$K$2:$K$1232,"Yes",Games_Raw!$I$2:$I$1232,A651,Games_Raw!$J$2:$J$1232,B651)</ns0:f>
        <ns0:v>1</ns0:v>
      </ns0:c>
      <ns0:c r="D651">
        <ns0:f>COUNTIFS(Games_Raw!$K$2:$K$1232,"Yes",Games_Raw!$I$2:$I$1232,B651,Games_Raw!$J$2:$J$1232,A651)</ns0:f>
        <ns0:v>3</ns0:v>
      </ns0:c>
      <ns0:c r="E651" t="str">
        <ns0:f>C651&amp;"-"&amp;D651</ns0:f>
        <ns0:v>1-3</ns0:v>
      </ns0:c>
      <ns0:c r="F651">
        <ns0:f>COUNTIFS(Games_Raw!$K$2:$K$1232,"Yes",Games_Raw!$I$2:$I$1232,A651)</ns0:f>
        <ns0:v>24</ns0:v>
      </ns0:c>
      <ns0:c r="G651">
        <ns0:f>COUNTIFS(Games_Raw!$K$2:$K$1232,"Yes",Games_Raw!$J$2:$J$1232,A651)</ns0:f>
        <ns0:v>58</ns0:v>
      </ns0:c>
    </ns0:row>
    <ns0:row r="652">
      <ns0:c r="A652" t="inlineStr">
        <ns0:is>
          <ns0:t>Philadelphia 76ers</ns0:t>
        </ns0:is>
      </ns0:c>
      <ns0:c r="B652" t="inlineStr">
        <ns0:is>
          <ns0:t>LA Clippers</ns0:t>
        </ns0:is>
      </ns0:c>
      <ns0:c r="C652">
        <ns0:f>COUNTIFS(Games_Raw!$K$2:$K$1232,"Yes",Games_Raw!$I$2:$I$1232,A652,Games_Raw!$J$2:$J$1232,B652)</ns0:f>
        <ns0:v>0</ns0:v>
      </ns0:c>
      <ns0:c r="D652">
        <ns0:f>COUNTIFS(Games_Raw!$K$2:$K$1232,"Yes",Games_Raw!$I$2:$I$1232,B652,Games_Raw!$J$2:$J$1232,A652)</ns0:f>
        <ns0:v>2</ns0:v>
      </ns0:c>
      <ns0:c r="E652" t="str">
        <ns0:f>C652&amp;"-"&amp;D652</ns0:f>
        <ns0:v>0-2</ns0:v>
      </ns0:c>
      <ns0:c r="F652">
        <ns0:f>COUNTIFS(Games_Raw!$K$2:$K$1232,"Yes",Games_Raw!$I$2:$I$1232,A652)</ns0:f>
        <ns0:v>24</ns0:v>
      </ns0:c>
      <ns0:c r="G652">
        <ns0:f>COUNTIFS(Games_Raw!$K$2:$K$1232,"Yes",Games_Raw!$J$2:$J$1232,A652)</ns0:f>
        <ns0:v>58</ns0:v>
      </ns0:c>
    </ns0:row>
    <ns0:row r="653">
      <ns0:c r="A653" t="inlineStr">
        <ns0:is>
          <ns0:t>Philadelphia 76ers</ns0:t>
        </ns0:is>
      </ns0:c>
      <ns0:c r="B653" t="inlineStr">
        <ns0:is>
          <ns0:t>Los Angeles Lakers</ns0:t>
        </ns0:is>
      </ns0:c>
      <ns0:c r="C653">
        <ns0:f>COUNTIFS(Games_Raw!$K$2:$K$1232,"Yes",Games_Raw!$I$2:$I$1232,A653,Games_Raw!$J$2:$J$1232,B653)</ns0:f>
        <ns0:v>1</ns0:v>
      </ns0:c>
      <ns0:c r="D653">
        <ns0:f>COUNTIFS(Games_Raw!$K$2:$K$1232,"Yes",Games_Raw!$I$2:$I$1232,B653,Games_Raw!$J$2:$J$1232,A653)</ns0:f>
        <ns0:v>1</ns0:v>
      </ns0:c>
      <ns0:c r="E653" t="str">
        <ns0:f>C653&amp;"-"&amp;D653</ns0:f>
        <ns0:v>1-1</ns0:v>
      </ns0:c>
      <ns0:c r="F653">
        <ns0:f>COUNTIFS(Games_Raw!$K$2:$K$1232,"Yes",Games_Raw!$I$2:$I$1232,A653)</ns0:f>
        <ns0:v>24</ns0:v>
      </ns0:c>
      <ns0:c r="G653">
        <ns0:f>COUNTIFS(Games_Raw!$K$2:$K$1232,"Yes",Games_Raw!$J$2:$J$1232,A653)</ns0:f>
        <ns0:v>58</ns0:v>
      </ns0:c>
    </ns0:row>
    <ns0:row r="654">
      <ns0:c r="A654" t="inlineStr">
        <ns0:is>
          <ns0:t>Philadelphia 76ers</ns0:t>
        </ns0:is>
      </ns0:c>
      <ns0:c r="B654" t="inlineStr">
        <ns0:is>
          <ns0:t>Memphis Grizzlies</ns0:t>
        </ns0:is>
      </ns0:c>
      <ns0:c r="C654">
        <ns0:f>COUNTIFS(Games_Raw!$K$2:$K$1232,"Yes",Games_Raw!$I$2:$I$1232,A654,Games_Raw!$J$2:$J$1232,B654)</ns0:f>
        <ns0:v>0</ns0:v>
      </ns0:c>
      <ns0:c r="D654">
        <ns0:f>COUNTIFS(Games_Raw!$K$2:$K$1232,"Yes",Games_Raw!$I$2:$I$1232,B654,Games_Raw!$J$2:$J$1232,A654)</ns0:f>
        <ns0:v>2</ns0:v>
      </ns0:c>
      <ns0:c r="E654" t="str">
        <ns0:f>C654&amp;"-"&amp;D654</ns0:f>
        <ns0:v>0-2</ns0:v>
      </ns0:c>
      <ns0:c r="F654">
        <ns0:f>COUNTIFS(Games_Raw!$K$2:$K$1232,"Yes",Games_Raw!$I$2:$I$1232,A654)</ns0:f>
        <ns0:v>24</ns0:v>
      </ns0:c>
      <ns0:c r="G654">
        <ns0:f>COUNTIFS(Games_Raw!$K$2:$K$1232,"Yes",Games_Raw!$J$2:$J$1232,A654)</ns0:f>
        <ns0:v>58</ns0:v>
      </ns0:c>
    </ns0:row>
    <ns0:row r="655">
      <ns0:c r="A655" t="inlineStr">
        <ns0:is>
          <ns0:t>Philadelphia 76ers</ns0:t>
        </ns0:is>
      </ns0:c>
      <ns0:c r="B655" t="inlineStr">
        <ns0:is>
          <ns0:t>Miami Heat</ns0:t>
        </ns0:is>
      </ns0:c>
      <ns0:c r="C655">
        <ns0:f>COUNTIFS(Games_Raw!$K$2:$K$1232,"Yes",Games_Raw!$I$2:$I$1232,A655,Games_Raw!$J$2:$J$1232,B655)</ns0:f>
        <ns0:v>0</ns0:v>
      </ns0:c>
      <ns0:c r="D655">
        <ns0:f>COUNTIFS(Games_Raw!$K$2:$K$1232,"Yes",Games_Raw!$I$2:$I$1232,B655,Games_Raw!$J$2:$J$1232,A655)</ns0:f>
        <ns0:v>4</ns0:v>
      </ns0:c>
      <ns0:c r="E655" t="str">
        <ns0:f>C655&amp;"-"&amp;D655</ns0:f>
        <ns0:v>0-4</ns0:v>
      </ns0:c>
      <ns0:c r="F655">
        <ns0:f>COUNTIFS(Games_Raw!$K$2:$K$1232,"Yes",Games_Raw!$I$2:$I$1232,A655)</ns0:f>
        <ns0:v>24</ns0:v>
      </ns0:c>
      <ns0:c r="G655">
        <ns0:f>COUNTIFS(Games_Raw!$K$2:$K$1232,"Yes",Games_Raw!$J$2:$J$1232,A655)</ns0:f>
        <ns0:v>58</ns0:v>
      </ns0:c>
    </ns0:row>
    <ns0:row r="656">
      <ns0:c r="A656" t="inlineStr">
        <ns0:is>
          <ns0:t>Philadelphia 76ers</ns0:t>
        </ns0:is>
      </ns0:c>
      <ns0:c r="B656" t="inlineStr">
        <ns0:is>
          <ns0:t>Milwaukee Bucks</ns0:t>
        </ns0:is>
      </ns0:c>
      <ns0:c r="C656">
        <ns0:f>COUNTIFS(Games_Raw!$K$2:$K$1232,"Yes",Games_Raw!$I$2:$I$1232,A656,Games_Raw!$J$2:$J$1232,B656)</ns0:f>
        <ns0:v>0</ns0:v>
      </ns0:c>
      <ns0:c r="D656">
        <ns0:f>COUNTIFS(Games_Raw!$K$2:$K$1232,"Yes",Games_Raw!$I$2:$I$1232,B656,Games_Raw!$J$2:$J$1232,A656)</ns0:f>
        <ns0:v>4</ns0:v>
      </ns0:c>
      <ns0:c r="E656" t="str">
        <ns0:f>C656&amp;"-"&amp;D656</ns0:f>
        <ns0:v>0-4</ns0:v>
      </ns0:c>
      <ns0:c r="F656">
        <ns0:f>COUNTIFS(Games_Raw!$K$2:$K$1232,"Yes",Games_Raw!$I$2:$I$1232,A656)</ns0:f>
        <ns0:v>24</ns0:v>
      </ns0:c>
      <ns0:c r="G656">
        <ns0:f>COUNTIFS(Games_Raw!$K$2:$K$1232,"Yes",Games_Raw!$J$2:$J$1232,A656)</ns0:f>
        <ns0:v>58</ns0:v>
      </ns0:c>
    </ns0:row>
    <ns0:row r="657">
      <ns0:c r="A657" t="inlineStr">
        <ns0:is>
          <ns0:t>Philadelphia 76ers</ns0:t>
        </ns0:is>
      </ns0:c>
      <ns0:c r="B657" t="inlineStr">
        <ns0:is>
          <ns0:t>Minnesota Timberwolves</ns0:t>
        </ns0:is>
      </ns0:c>
      <ns0:c r="C657">
        <ns0:f>COUNTIFS(Games_Raw!$K$2:$K$1232,"Yes",Games_Raw!$I$2:$I$1232,A657,Games_Raw!$J$2:$J$1232,B657)</ns0:f>
        <ns0:v>0</ns0:v>
      </ns0:c>
      <ns0:c r="D657">
        <ns0:f>COUNTIFS(Games_Raw!$K$2:$K$1232,"Yes",Games_Raw!$I$2:$I$1232,B657,Games_Raw!$J$2:$J$1232,A657)</ns0:f>
        <ns0:v>2</ns0:v>
      </ns0:c>
      <ns0:c r="E657" t="str">
        <ns0:f>C657&amp;"-"&amp;D657</ns0:f>
        <ns0:v>0-2</ns0:v>
      </ns0:c>
      <ns0:c r="F657">
        <ns0:f>COUNTIFS(Games_Raw!$K$2:$K$1232,"Yes",Games_Raw!$I$2:$I$1232,A657)</ns0:f>
        <ns0:v>24</ns0:v>
      </ns0:c>
      <ns0:c r="G657">
        <ns0:f>COUNTIFS(Games_Raw!$K$2:$K$1232,"Yes",Games_Raw!$J$2:$J$1232,A657)</ns0:f>
        <ns0:v>58</ns0:v>
      </ns0:c>
    </ns0:row>
    <ns0:row r="658">
      <ns0:c r="A658" t="inlineStr">
        <ns0:is>
          <ns0:t>Philadelphia 76ers</ns0:t>
        </ns0:is>
      </ns0:c>
      <ns0:c r="B658" t="inlineStr">
        <ns0:is>
          <ns0:t>New Orleans Pelicans</ns0:t>
        </ns0:is>
      </ns0:c>
      <ns0:c r="C658">
        <ns0:f>COUNTIFS(Games_Raw!$K$2:$K$1232,"Yes",Games_Raw!$I$2:$I$1232,A658,Games_Raw!$J$2:$J$1232,B658)</ns0:f>
        <ns0:v>0</ns0:v>
      </ns0:c>
      <ns0:c r="D658">
        <ns0:f>COUNTIFS(Games_Raw!$K$2:$K$1232,"Yes",Games_Raw!$I$2:$I$1232,B658,Games_Raw!$J$2:$J$1232,A658)</ns0:f>
        <ns0:v>2</ns0:v>
      </ns0:c>
      <ns0:c r="E658" t="str">
        <ns0:f>C658&amp;"-"&amp;D658</ns0:f>
        <ns0:v>0-2</ns0:v>
      </ns0:c>
      <ns0:c r="F658">
        <ns0:f>COUNTIFS(Games_Raw!$K$2:$K$1232,"Yes",Games_Raw!$I$2:$I$1232,A658)</ns0:f>
        <ns0:v>24</ns0:v>
      </ns0:c>
      <ns0:c r="G658">
        <ns0:f>COUNTIFS(Games_Raw!$K$2:$K$1232,"Yes",Games_Raw!$J$2:$J$1232,A658)</ns0:f>
        <ns0:v>58</ns0:v>
      </ns0:c>
    </ns0:row>
    <ns0:row r="659">
      <ns0:c r="A659" t="inlineStr">
        <ns0:is>
          <ns0:t>Philadelphia 76ers</ns0:t>
        </ns0:is>
      </ns0:c>
      <ns0:c r="B659" t="inlineStr">
        <ns0:is>
          <ns0:t>New York Knicks</ns0:t>
        </ns0:is>
      </ns0:c>
      <ns0:c r="C659">
        <ns0:f>COUNTIFS(Games_Raw!$K$2:$K$1232,"Yes",Games_Raw!$I$2:$I$1232,A659,Games_Raw!$J$2:$J$1232,B659)</ns0:f>
        <ns0:v>0</ns0:v>
      </ns0:c>
      <ns0:c r="D659">
        <ns0:f>COUNTIFS(Games_Raw!$K$2:$K$1232,"Yes",Games_Raw!$I$2:$I$1232,B659,Games_Raw!$J$2:$J$1232,A659)</ns0:f>
        <ns0:v>4</ns0:v>
      </ns0:c>
      <ns0:c r="E659" t="str">
        <ns0:f>C659&amp;"-"&amp;D659</ns0:f>
        <ns0:v>0-4</ns0:v>
      </ns0:c>
      <ns0:c r="F659">
        <ns0:f>COUNTIFS(Games_Raw!$K$2:$K$1232,"Yes",Games_Raw!$I$2:$I$1232,A659)</ns0:f>
        <ns0:v>24</ns0:v>
      </ns0:c>
      <ns0:c r="G659">
        <ns0:f>COUNTIFS(Games_Raw!$K$2:$K$1232,"Yes",Games_Raw!$J$2:$J$1232,A659)</ns0:f>
        <ns0:v>58</ns0:v>
      </ns0:c>
    </ns0:row>
    <ns0:row r="660">
      <ns0:c r="A660" t="inlineStr">
        <ns0:is>
          <ns0:t>Philadelphia 76ers</ns0:t>
        </ns0:is>
      </ns0:c>
      <ns0:c r="B660" t="inlineStr">
        <ns0:is>
          <ns0:t>Oklahoma City Thunder</ns0:t>
        </ns0:is>
      </ns0:c>
      <ns0:c r="C660">
        <ns0:f>COUNTIFS(Games_Raw!$K$2:$K$1232,"Yes",Games_Raw!$I$2:$I$1232,A660,Games_Raw!$J$2:$J$1232,B660)</ns0:f>
        <ns0:v>0</ns0:v>
      </ns0:c>
      <ns0:c r="D660">
        <ns0:f>COUNTIFS(Games_Raw!$K$2:$K$1232,"Yes",Games_Raw!$I$2:$I$1232,B660,Games_Raw!$J$2:$J$1232,A660)</ns0:f>
        <ns0:v>2</ns0:v>
      </ns0:c>
      <ns0:c r="E660" t="str">
        <ns0:f>C660&amp;"-"&amp;D660</ns0:f>
        <ns0:v>0-2</ns0:v>
      </ns0:c>
      <ns0:c r="F660">
        <ns0:f>COUNTIFS(Games_Raw!$K$2:$K$1232,"Yes",Games_Raw!$I$2:$I$1232,A660)</ns0:f>
        <ns0:v>24</ns0:v>
      </ns0:c>
      <ns0:c r="G660">
        <ns0:f>COUNTIFS(Games_Raw!$K$2:$K$1232,"Yes",Games_Raw!$J$2:$J$1232,A660)</ns0:f>
        <ns0:v>58</ns0:v>
      </ns0:c>
    </ns0:row>
    <ns0:row r="661">
      <ns0:c r="A661" t="inlineStr">
        <ns0:is>
          <ns0:t>Philadelphia 76ers</ns0:t>
        </ns0:is>
      </ns0:c>
      <ns0:c r="B661" t="inlineStr">
        <ns0:is>
          <ns0:t>Orlando Magic</ns0:t>
        </ns0:is>
      </ns0:c>
      <ns0:c r="C661">
        <ns0:f>COUNTIFS(Games_Raw!$K$2:$K$1232,"Yes",Games_Raw!$I$2:$I$1232,A661,Games_Raw!$J$2:$J$1232,B661)</ns0:f>
        <ns0:v>1</ns0:v>
      </ns0:c>
      <ns0:c r="D661">
        <ns0:f>COUNTIFS(Games_Raw!$K$2:$K$1232,"Yes",Games_Raw!$I$2:$I$1232,B661,Games_Raw!$J$2:$J$1232,A661)</ns0:f>
        <ns0:v>3</ns0:v>
      </ns0:c>
      <ns0:c r="E661" t="str">
        <ns0:f>C661&amp;"-"&amp;D661</ns0:f>
        <ns0:v>1-3</ns0:v>
      </ns0:c>
      <ns0:c r="F661">
        <ns0:f>COUNTIFS(Games_Raw!$K$2:$K$1232,"Yes",Games_Raw!$I$2:$I$1232,A661)</ns0:f>
        <ns0:v>24</ns0:v>
      </ns0:c>
      <ns0:c r="G661">
        <ns0:f>COUNTIFS(Games_Raw!$K$2:$K$1232,"Yes",Games_Raw!$J$2:$J$1232,A661)</ns0:f>
        <ns0:v>58</ns0:v>
      </ns0:c>
    </ns0:row>
    <ns0:row r="662">
      <ns0:c r="A662" t="inlineStr">
        <ns0:is>
          <ns0:t>Philadelphia 76ers</ns0:t>
        </ns0:is>
      </ns0:c>
      <ns0:c r="B662" t="inlineStr">
        <ns0:is>
          <ns0:t>Phoenix Suns</ns0:t>
        </ns0:is>
      </ns0:c>
      <ns0:c r="C662">
        <ns0:f>COUNTIFS(Games_Raw!$K$2:$K$1232,"Yes",Games_Raw!$I$2:$I$1232,A662,Games_Raw!$J$2:$J$1232,B662)</ns0:f>
        <ns0:v>0</ns0:v>
      </ns0:c>
      <ns0:c r="D662">
        <ns0:f>COUNTIFS(Games_Raw!$K$2:$K$1232,"Yes",Games_Raw!$I$2:$I$1232,B662,Games_Raw!$J$2:$J$1232,A662)</ns0:f>
        <ns0:v>2</ns0:v>
      </ns0:c>
      <ns0:c r="E662" t="str">
        <ns0:f>C662&amp;"-"&amp;D662</ns0:f>
        <ns0:v>0-2</ns0:v>
      </ns0:c>
      <ns0:c r="F662">
        <ns0:f>COUNTIFS(Games_Raw!$K$2:$K$1232,"Yes",Games_Raw!$I$2:$I$1232,A662)</ns0:f>
        <ns0:v>24</ns0:v>
      </ns0:c>
      <ns0:c r="G662">
        <ns0:f>COUNTIFS(Games_Raw!$K$2:$K$1232,"Yes",Games_Raw!$J$2:$J$1232,A662)</ns0:f>
        <ns0:v>58</ns0:v>
      </ns0:c>
    </ns0:row>
    <ns0:row r="663">
      <ns0:c r="A663" t="inlineStr">
        <ns0:is>
          <ns0:t>Philadelphia 76ers</ns0:t>
        </ns0:is>
      </ns0:c>
      <ns0:c r="B663" t="inlineStr">
        <ns0:is>
          <ns0:t>Portland Trail Blazers</ns0:t>
        </ns0:is>
      </ns0:c>
      <ns0:c r="C663">
        <ns0:f>COUNTIFS(Games_Raw!$K$2:$K$1232,"Yes",Games_Raw!$I$2:$I$1232,A663,Games_Raw!$J$2:$J$1232,B663)</ns0:f>
        <ns0:v>1</ns0:v>
      </ns0:c>
      <ns0:c r="D663">
        <ns0:f>COUNTIFS(Games_Raw!$K$2:$K$1232,"Yes",Games_Raw!$I$2:$I$1232,B663,Games_Raw!$J$2:$J$1232,A663)</ns0:f>
        <ns0:v>1</ns0:v>
      </ns0:c>
      <ns0:c r="E663" t="str">
        <ns0:f>C663&amp;"-"&amp;D663</ns0:f>
        <ns0:v>1-1</ns0:v>
      </ns0:c>
      <ns0:c r="F663">
        <ns0:f>COUNTIFS(Games_Raw!$K$2:$K$1232,"Yes",Games_Raw!$I$2:$I$1232,A663)</ns0:f>
        <ns0:v>24</ns0:v>
      </ns0:c>
      <ns0:c r="G663">
        <ns0:f>COUNTIFS(Games_Raw!$K$2:$K$1232,"Yes",Games_Raw!$J$2:$J$1232,A663)</ns0:f>
        <ns0:v>58</ns0:v>
      </ns0:c>
    </ns0:row>
    <ns0:row r="664">
      <ns0:c r="A664" t="inlineStr">
        <ns0:is>
          <ns0:t>Philadelphia 76ers</ns0:t>
        </ns0:is>
      </ns0:c>
      <ns0:c r="B664" t="inlineStr">
        <ns0:is>
          <ns0:t>Sacramento Kings</ns0:t>
        </ns0:is>
      </ns0:c>
      <ns0:c r="C664">
        <ns0:f>COUNTIFS(Games_Raw!$K$2:$K$1232,"Yes",Games_Raw!$I$2:$I$1232,A664,Games_Raw!$J$2:$J$1232,B664)</ns0:f>
        <ns0:v>1</ns0:v>
      </ns0:c>
      <ns0:c r="D664">
        <ns0:f>COUNTIFS(Games_Raw!$K$2:$K$1232,"Yes",Games_Raw!$I$2:$I$1232,B664,Games_Raw!$J$2:$J$1232,A664)</ns0:f>
        <ns0:v>1</ns0:v>
      </ns0:c>
      <ns0:c r="E664" t="str">
        <ns0:f>C664&amp;"-"&amp;D664</ns0:f>
        <ns0:v>1-1</ns0:v>
      </ns0:c>
      <ns0:c r="F664">
        <ns0:f>COUNTIFS(Games_Raw!$K$2:$K$1232,"Yes",Games_Raw!$I$2:$I$1232,A664)</ns0:f>
        <ns0:v>24</ns0:v>
      </ns0:c>
      <ns0:c r="G664">
        <ns0:f>COUNTIFS(Games_Raw!$K$2:$K$1232,"Yes",Games_Raw!$J$2:$J$1232,A664)</ns0:f>
        <ns0:v>58</ns0:v>
      </ns0:c>
    </ns0:row>
    <ns0:row r="665">
      <ns0:c r="A665" t="inlineStr">
        <ns0:is>
          <ns0:t>Philadelphia 76ers</ns0:t>
        </ns0:is>
      </ns0:c>
      <ns0:c r="B665" t="inlineStr">
        <ns0:is>
          <ns0:t>San Antonio Spurs</ns0:t>
        </ns0:is>
      </ns0:c>
      <ns0:c r="C665">
        <ns0:f>COUNTIFS(Games_Raw!$K$2:$K$1232,"Yes",Games_Raw!$I$2:$I$1232,A665,Games_Raw!$J$2:$J$1232,B665)</ns0:f>
        <ns0:v>1</ns0:v>
      </ns0:c>
      <ns0:c r="D665">
        <ns0:f>COUNTIFS(Games_Raw!$K$2:$K$1232,"Yes",Games_Raw!$I$2:$I$1232,B665,Games_Raw!$J$2:$J$1232,A665)</ns0:f>
        <ns0:v>1</ns0:v>
      </ns0:c>
      <ns0:c r="E665" t="str">
        <ns0:f>C665&amp;"-"&amp;D665</ns0:f>
        <ns0:v>1-1</ns0:v>
      </ns0:c>
      <ns0:c r="F665">
        <ns0:f>COUNTIFS(Games_Raw!$K$2:$K$1232,"Yes",Games_Raw!$I$2:$I$1232,A665)</ns0:f>
        <ns0:v>24</ns0:v>
      </ns0:c>
      <ns0:c r="G665">
        <ns0:f>COUNTIFS(Games_Raw!$K$2:$K$1232,"Yes",Games_Raw!$J$2:$J$1232,A665)</ns0:f>
        <ns0:v>58</ns0:v>
      </ns0:c>
    </ns0:row>
    <ns0:row r="666">
      <ns0:c r="A666" t="inlineStr">
        <ns0:is>
          <ns0:t>Philadelphia 76ers</ns0:t>
        </ns0:is>
      </ns0:c>
      <ns0:c r="B666" t="inlineStr">
        <ns0:is>
          <ns0:t>Toronto Raptors</ns0:t>
        </ns0:is>
      </ns0:c>
      <ns0:c r="C666">
        <ns0:f>COUNTIFS(Games_Raw!$K$2:$K$1232,"Yes",Games_Raw!$I$2:$I$1232,A666,Games_Raw!$J$2:$J$1232,B666)</ns0:f>
        <ns0:v>0</ns0:v>
      </ns0:c>
      <ns0:c r="D666">
        <ns0:f>COUNTIFS(Games_Raw!$K$2:$K$1232,"Yes",Games_Raw!$I$2:$I$1232,B666,Games_Raw!$J$2:$J$1232,A666)</ns0:f>
        <ns0:v>4</ns0:v>
      </ns0:c>
      <ns0:c r="E666" t="str">
        <ns0:f>C666&amp;"-"&amp;D666</ns0:f>
        <ns0:v>0-4</ns0:v>
      </ns0:c>
      <ns0:c r="F666">
        <ns0:f>COUNTIFS(Games_Raw!$K$2:$K$1232,"Yes",Games_Raw!$I$2:$I$1232,A666)</ns0:f>
        <ns0:v>24</ns0:v>
      </ns0:c>
      <ns0:c r="G666">
        <ns0:f>COUNTIFS(Games_Raw!$K$2:$K$1232,"Yes",Games_Raw!$J$2:$J$1232,A666)</ns0:f>
        <ns0:v>58</ns0:v>
      </ns0:c>
    </ns0:row>
    <ns0:row r="667">
      <ns0:c r="A667" t="inlineStr">
        <ns0:is>
          <ns0:t>Philadelphia 76ers</ns0:t>
        </ns0:is>
      </ns0:c>
      <ns0:c r="B667" t="inlineStr">
        <ns0:is>
          <ns0:t>Utah Jazz</ns0:t>
        </ns0:is>
      </ns0:c>
      <ns0:c r="C667">
        <ns0:f>COUNTIFS(Games_Raw!$K$2:$K$1232,"Yes",Games_Raw!$I$2:$I$1232,A667,Games_Raw!$J$2:$J$1232,B667)</ns0:f>
        <ns0:v>2</ns0:v>
      </ns0:c>
      <ns0:c r="D667">
        <ns0:f>COUNTIFS(Games_Raw!$K$2:$K$1232,"Yes",Games_Raw!$I$2:$I$1232,B667,Games_Raw!$J$2:$J$1232,A667)</ns0:f>
        <ns0:v>0</ns0:v>
      </ns0:c>
      <ns0:c r="E667" t="str">
        <ns0:f>C667&amp;"-"&amp;D667</ns0:f>
        <ns0:v>2-0</ns0:v>
      </ns0:c>
      <ns0:c r="F667">
        <ns0:f>COUNTIFS(Games_Raw!$K$2:$K$1232,"Yes",Games_Raw!$I$2:$I$1232,A667)</ns0:f>
        <ns0:v>24</ns0:v>
      </ns0:c>
      <ns0:c r="G667">
        <ns0:f>COUNTIFS(Games_Raw!$K$2:$K$1232,"Yes",Games_Raw!$J$2:$J$1232,A667)</ns0:f>
        <ns0:v>58</ns0:v>
      </ns0:c>
    </ns0:row>
    <ns0:row r="668">
      <ns0:c r="A668" t="inlineStr">
        <ns0:is>
          <ns0:t>Philadelphia 76ers</ns0:t>
        </ns0:is>
      </ns0:c>
      <ns0:c r="B668" t="inlineStr">
        <ns0:is>
          <ns0:t>Washington Wizards</ns0:t>
        </ns0:is>
      </ns0:c>
      <ns0:c r="C668">
        <ns0:f>COUNTIFS(Games_Raw!$K$2:$K$1232,"Yes",Games_Raw!$I$2:$I$1232,A668,Games_Raw!$J$2:$J$1232,B668)</ns0:f>
        <ns0:v>2</ns0:v>
      </ns0:c>
      <ns0:c r="D668">
        <ns0:f>COUNTIFS(Games_Raw!$K$2:$K$1232,"Yes",Games_Raw!$I$2:$I$1232,B668,Games_Raw!$J$2:$J$1232,A668)</ns0:f>
        <ns0:v>1</ns0:v>
      </ns0:c>
      <ns0:c r="E668" t="str">
        <ns0:f>C668&amp;"-"&amp;D668</ns0:f>
        <ns0:v>2-1</ns0:v>
      </ns0:c>
      <ns0:c r="F668">
        <ns0:f>COUNTIFS(Games_Raw!$K$2:$K$1232,"Yes",Games_Raw!$I$2:$I$1232,A668)</ns0:f>
        <ns0:v>24</ns0:v>
      </ns0:c>
      <ns0:c r="G668">
        <ns0:f>COUNTIFS(Games_Raw!$K$2:$K$1232,"Yes",Games_Raw!$J$2:$J$1232,A668)</ns0:f>
        <ns0:v>58</ns0:v>
      </ns0:c>
    </ns0:row>
    <ns0:row r="669">
      <ns0:c r="A669" t="inlineStr">
        <ns0:is>
          <ns0:t>Phoenix Suns</ns0:t>
        </ns0:is>
      </ns0:c>
      <ns0:c r="B669" t="inlineStr">
        <ns0:is>
          <ns0:t>Atlanta Hawks</ns0:t>
        </ns0:is>
      </ns0:c>
      <ns0:c r="C669">
        <ns0:f>COUNTIFS(Games_Raw!$K$2:$K$1232,"Yes",Games_Raw!$I$2:$I$1232,A669,Games_Raw!$J$2:$J$1232,B669)</ns0:f>
        <ns0:v>1</ns0:v>
      </ns0:c>
      <ns0:c r="D669">
        <ns0:f>COUNTIFS(Games_Raw!$K$2:$K$1232,"Yes",Games_Raw!$I$2:$I$1232,B669,Games_Raw!$J$2:$J$1232,A669)</ns0:f>
        <ns0:v>1</ns0:v>
      </ns0:c>
      <ns0:c r="E669" t="str">
        <ns0:f>C669&amp;"-"&amp;D669</ns0:f>
        <ns0:v>1-1</ns0:v>
      </ns0:c>
      <ns0:c r="F669">
        <ns0:f>COUNTIFS(Games_Raw!$K$2:$K$1232,"Yes",Games_Raw!$I$2:$I$1232,A669)</ns0:f>
        <ns0:v>36</ns0:v>
      </ns0:c>
      <ns0:c r="G669">
        <ns0:f>COUNTIFS(Games_Raw!$K$2:$K$1232,"Yes",Games_Raw!$J$2:$J$1232,A669)</ns0:f>
        <ns0:v>46</ns0:v>
      </ns0:c>
    </ns0:row>
    <ns0:row r="670">
      <ns0:c r="A670" t="inlineStr">
        <ns0:is>
          <ns0:t>Phoenix Suns</ns0:t>
        </ns0:is>
      </ns0:c>
      <ns0:c r="B670" t="inlineStr">
        <ns0:is>
          <ns0:t>Boston Celtics</ns0:t>
        </ns0:is>
      </ns0:c>
      <ns0:c r="C670">
        <ns0:f>COUNTIFS(Games_Raw!$K$2:$K$1232,"Yes",Games_Raw!$I$2:$I$1232,A670,Games_Raw!$J$2:$J$1232,B670)</ns0:f>
        <ns0:v>0</ns0:v>
      </ns0:c>
      <ns0:c r="D670">
        <ns0:f>COUNTIFS(Games_Raw!$K$2:$K$1232,"Yes",Games_Raw!$I$2:$I$1232,B670,Games_Raw!$J$2:$J$1232,A670)</ns0:f>
        <ns0:v>2</ns0:v>
      </ns0:c>
      <ns0:c r="E670" t="str">
        <ns0:f>C670&amp;"-"&amp;D670</ns0:f>
        <ns0:v>0-2</ns0:v>
      </ns0:c>
      <ns0:c r="F670">
        <ns0:f>COUNTIFS(Games_Raw!$K$2:$K$1232,"Yes",Games_Raw!$I$2:$I$1232,A670)</ns0:f>
        <ns0:v>36</ns0:v>
      </ns0:c>
      <ns0:c r="G670">
        <ns0:f>COUNTIFS(Games_Raw!$K$2:$K$1232,"Yes",Games_Raw!$J$2:$J$1232,A670)</ns0:f>
        <ns0:v>46</ns0:v>
      </ns0:c>
    </ns0:row>
    <ns0:row r="671">
      <ns0:c r="A671" t="inlineStr">
        <ns0:is>
          <ns0:t>Phoenix Suns</ns0:t>
        </ns0:is>
      </ns0:c>
      <ns0:c r="B671" t="inlineStr">
        <ns0:is>
          <ns0:t>Brooklyn Nets</ns0:t>
        </ns0:is>
      </ns0:c>
      <ns0:c r="C671">
        <ns0:f>COUNTIFS(Games_Raw!$K$2:$K$1232,"Yes",Games_Raw!$I$2:$I$1232,A671,Games_Raw!$J$2:$J$1232,B671)</ns0:f>
        <ns0:v>1</ns0:v>
      </ns0:c>
      <ns0:c r="D671">
        <ns0:f>COUNTIFS(Games_Raw!$K$2:$K$1232,"Yes",Games_Raw!$I$2:$I$1232,B671,Games_Raw!$J$2:$J$1232,A671)</ns0:f>
        <ns0:v>1</ns0:v>
      </ns0:c>
      <ns0:c r="E671" t="str">
        <ns0:f>C671&amp;"-"&amp;D671</ns0:f>
        <ns0:v>1-1</ns0:v>
      </ns0:c>
      <ns0:c r="F671">
        <ns0:f>COUNTIFS(Games_Raw!$K$2:$K$1232,"Yes",Games_Raw!$I$2:$I$1232,A671)</ns0:f>
        <ns0:v>36</ns0:v>
      </ns0:c>
      <ns0:c r="G671">
        <ns0:f>COUNTIFS(Games_Raw!$K$2:$K$1232,"Yes",Games_Raw!$J$2:$J$1232,A671)</ns0:f>
        <ns0:v>46</ns0:v>
      </ns0:c>
    </ns0:row>
    <ns0:row r="672">
      <ns0:c r="A672" t="inlineStr">
        <ns0:is>
          <ns0:t>Phoenix Suns</ns0:t>
        </ns0:is>
      </ns0:c>
      <ns0:c r="B672" t="inlineStr">
        <ns0:is>
          <ns0:t>Charlotte Hornets</ns0:t>
        </ns0:is>
      </ns0:c>
      <ns0:c r="C672">
        <ns0:f>COUNTIFS(Games_Raw!$K$2:$K$1232,"Yes",Games_Raw!$I$2:$I$1232,A672,Games_Raw!$J$2:$J$1232,B672)</ns0:f>
        <ns0:v>1</ns0:v>
      </ns0:c>
      <ns0:c r="D672">
        <ns0:f>COUNTIFS(Games_Raw!$K$2:$K$1232,"Yes",Games_Raw!$I$2:$I$1232,B672,Games_Raw!$J$2:$J$1232,A672)</ns0:f>
        <ns0:v>1</ns0:v>
      </ns0:c>
      <ns0:c r="E672" t="str">
        <ns0:f>C672&amp;"-"&amp;D672</ns0:f>
        <ns0:v>1-1</ns0:v>
      </ns0:c>
      <ns0:c r="F672">
        <ns0:f>COUNTIFS(Games_Raw!$K$2:$K$1232,"Yes",Games_Raw!$I$2:$I$1232,A672)</ns0:f>
        <ns0:v>36</ns0:v>
      </ns0:c>
      <ns0:c r="G672">
        <ns0:f>COUNTIFS(Games_Raw!$K$2:$K$1232,"Yes",Games_Raw!$J$2:$J$1232,A672)</ns0:f>
        <ns0:v>46</ns0:v>
      </ns0:c>
    </ns0:row>
    <ns0:row r="673">
      <ns0:c r="A673" t="inlineStr">
        <ns0:is>
          <ns0:t>Phoenix Suns</ns0:t>
        </ns0:is>
      </ns0:c>
      <ns0:c r="B673" t="inlineStr">
        <ns0:is>
          <ns0:t>Chicago Bulls</ns0:t>
        </ns0:is>
      </ns0:c>
      <ns0:c r="C673">
        <ns0:f>COUNTIFS(Games_Raw!$K$2:$K$1232,"Yes",Games_Raw!$I$2:$I$1232,A673,Games_Raw!$J$2:$J$1232,B673)</ns0:f>
        <ns0:v>2</ns0:v>
      </ns0:c>
      <ns0:c r="D673">
        <ns0:f>COUNTIFS(Games_Raw!$K$2:$K$1232,"Yes",Games_Raw!$I$2:$I$1232,B673,Games_Raw!$J$2:$J$1232,A673)</ns0:f>
        <ns0:v>0</ns0:v>
      </ns0:c>
      <ns0:c r="E673" t="str">
        <ns0:f>C673&amp;"-"&amp;D673</ns0:f>
        <ns0:v>2-0</ns0:v>
      </ns0:c>
      <ns0:c r="F673">
        <ns0:f>COUNTIFS(Games_Raw!$K$2:$K$1232,"Yes",Games_Raw!$I$2:$I$1232,A673)</ns0:f>
        <ns0:v>36</ns0:v>
      </ns0:c>
      <ns0:c r="G673">
        <ns0:f>COUNTIFS(Games_Raw!$K$2:$K$1232,"Yes",Games_Raw!$J$2:$J$1232,A673)</ns0:f>
        <ns0:v>46</ns0:v>
      </ns0:c>
    </ns0:row>
    <ns0:row r="674">
      <ns0:c r="A674" t="inlineStr">
        <ns0:is>
          <ns0:t>Phoenix Suns</ns0:t>
        </ns0:is>
      </ns0:c>
      <ns0:c r="B674" t="inlineStr">
        <ns0:is>
          <ns0:t>Cleveland Cavaliers</ns0:t>
        </ns0:is>
      </ns0:c>
      <ns0:c r="C674">
        <ns0:f>COUNTIFS(Games_Raw!$K$2:$K$1232,"Yes",Games_Raw!$I$2:$I$1232,A674,Games_Raw!$J$2:$J$1232,B674)</ns0:f>
        <ns0:v>1</ns0:v>
      </ns0:c>
      <ns0:c r="D674">
        <ns0:f>COUNTIFS(Games_Raw!$K$2:$K$1232,"Yes",Games_Raw!$I$2:$I$1232,B674,Games_Raw!$J$2:$J$1232,A674)</ns0:f>
        <ns0:v>1</ns0:v>
      </ns0:c>
      <ns0:c r="E674" t="str">
        <ns0:f>C674&amp;"-"&amp;D674</ns0:f>
        <ns0:v>1-1</ns0:v>
      </ns0:c>
      <ns0:c r="F674">
        <ns0:f>COUNTIFS(Games_Raw!$K$2:$K$1232,"Yes",Games_Raw!$I$2:$I$1232,A674)</ns0:f>
        <ns0:v>36</ns0:v>
      </ns0:c>
      <ns0:c r="G674">
        <ns0:f>COUNTIFS(Games_Raw!$K$2:$K$1232,"Yes",Games_Raw!$J$2:$J$1232,A674)</ns0:f>
        <ns0:v>46</ns0:v>
      </ns0:c>
    </ns0:row>
    <ns0:row r="675">
      <ns0:c r="A675" t="inlineStr">
        <ns0:is>
          <ns0:t>Phoenix Suns</ns0:t>
        </ns0:is>
      </ns0:c>
      <ns0:c r="B675" t="inlineStr">
        <ns0:is>
          <ns0:t>Dallas Mavericks</ns0:t>
        </ns0:is>
      </ns0:c>
      <ns0:c r="C675">
        <ns0:f>COUNTIFS(Games_Raw!$K$2:$K$1232,"Yes",Games_Raw!$I$2:$I$1232,A675,Games_Raw!$J$2:$J$1232,B675)</ns0:f>
        <ns0:v>3</ns0:v>
      </ns0:c>
      <ns0:c r="D675">
        <ns0:f>COUNTIFS(Games_Raw!$K$2:$K$1232,"Yes",Games_Raw!$I$2:$I$1232,B675,Games_Raw!$J$2:$J$1232,A675)</ns0:f>
        <ns0:v>1</ns0:v>
      </ns0:c>
      <ns0:c r="E675" t="str">
        <ns0:f>C675&amp;"-"&amp;D675</ns0:f>
        <ns0:v>3-1</ns0:v>
      </ns0:c>
      <ns0:c r="F675">
        <ns0:f>COUNTIFS(Games_Raw!$K$2:$K$1232,"Yes",Games_Raw!$I$2:$I$1232,A675)</ns0:f>
        <ns0:v>36</ns0:v>
      </ns0:c>
      <ns0:c r="G675">
        <ns0:f>COUNTIFS(Games_Raw!$K$2:$K$1232,"Yes",Games_Raw!$J$2:$J$1232,A675)</ns0:f>
        <ns0:v>46</ns0:v>
      </ns0:c>
    </ns0:row>
    <ns0:row r="676">
      <ns0:c r="A676" t="inlineStr">
        <ns0:is>
          <ns0:t>Phoenix Suns</ns0:t>
        </ns0:is>
      </ns0:c>
      <ns0:c r="B676" t="inlineStr">
        <ns0:is>
          <ns0:t>Denver Nuggets</ns0:t>
        </ns0:is>
      </ns0:c>
      <ns0:c r="C676">
        <ns0:f>COUNTIFS(Games_Raw!$K$2:$K$1232,"Yes",Games_Raw!$I$2:$I$1232,A676,Games_Raw!$J$2:$J$1232,B676)</ns0:f>
        <ns0:v>1</ns0:v>
      </ns0:c>
      <ns0:c r="D676">
        <ns0:f>COUNTIFS(Games_Raw!$K$2:$K$1232,"Yes",Games_Raw!$I$2:$I$1232,B676,Games_Raw!$J$2:$J$1232,A676)</ns0:f>
        <ns0:v>3</ns0:v>
      </ns0:c>
      <ns0:c r="E676" t="str">
        <ns0:f>C676&amp;"-"&amp;D676</ns0:f>
        <ns0:v>1-3</ns0:v>
      </ns0:c>
      <ns0:c r="F676">
        <ns0:f>COUNTIFS(Games_Raw!$K$2:$K$1232,"Yes",Games_Raw!$I$2:$I$1232,A676)</ns0:f>
        <ns0:v>36</ns0:v>
      </ns0:c>
      <ns0:c r="G676">
        <ns0:f>COUNTIFS(Games_Raw!$K$2:$K$1232,"Yes",Games_Raw!$J$2:$J$1232,A676)</ns0:f>
        <ns0:v>46</ns0:v>
      </ns0:c>
    </ns0:row>
    <ns0:row r="677">
      <ns0:c r="A677" t="inlineStr">
        <ns0:is>
          <ns0:t>Phoenix Suns</ns0:t>
        </ns0:is>
      </ns0:c>
      <ns0:c r="B677" t="inlineStr">
        <ns0:is>
          <ns0:t>Detroit Pistons</ns0:t>
        </ns0:is>
      </ns0:c>
      <ns0:c r="C677">
        <ns0:f>COUNTIFS(Games_Raw!$K$2:$K$1232,"Yes",Games_Raw!$I$2:$I$1232,A677,Games_Raw!$J$2:$J$1232,B677)</ns0:f>
        <ns0:v>1</ns0:v>
      </ns0:c>
      <ns0:c r="D677">
        <ns0:f>COUNTIFS(Games_Raw!$K$2:$K$1232,"Yes",Games_Raw!$I$2:$I$1232,B677,Games_Raw!$J$2:$J$1232,A677)</ns0:f>
        <ns0:v>1</ns0:v>
      </ns0:c>
      <ns0:c r="E677" t="str">
        <ns0:f>C677&amp;"-"&amp;D677</ns0:f>
        <ns0:v>1-1</ns0:v>
      </ns0:c>
      <ns0:c r="F677">
        <ns0:f>COUNTIFS(Games_Raw!$K$2:$K$1232,"Yes",Games_Raw!$I$2:$I$1232,A677)</ns0:f>
        <ns0:v>36</ns0:v>
      </ns0:c>
      <ns0:c r="G677">
        <ns0:f>COUNTIFS(Games_Raw!$K$2:$K$1232,"Yes",Games_Raw!$J$2:$J$1232,A677)</ns0:f>
        <ns0:v>46</ns0:v>
      </ns0:c>
    </ns0:row>
    <ns0:row r="678">
      <ns0:c r="A678" t="inlineStr">
        <ns0:is>
          <ns0:t>Phoenix Suns</ns0:t>
        </ns0:is>
      </ns0:c>
      <ns0:c r="B678" t="inlineStr">
        <ns0:is>
          <ns0:t>Golden State Warriors</ns0:t>
        </ns0:is>
      </ns0:c>
      <ns0:c r="C678">
        <ns0:f>COUNTIFS(Games_Raw!$K$2:$K$1232,"Yes",Games_Raw!$I$2:$I$1232,A678,Games_Raw!$J$2:$J$1232,B678)</ns0:f>
        <ns0:v>2</ns0:v>
      </ns0:c>
      <ns0:c r="D678">
        <ns0:f>COUNTIFS(Games_Raw!$K$2:$K$1232,"Yes",Games_Raw!$I$2:$I$1232,B678,Games_Raw!$J$2:$J$1232,A678)</ns0:f>
        <ns0:v>2</ns0:v>
      </ns0:c>
      <ns0:c r="E678" t="str">
        <ns0:f>C678&amp;"-"&amp;D678</ns0:f>
        <ns0:v>2-2</ns0:v>
      </ns0:c>
      <ns0:c r="F678">
        <ns0:f>COUNTIFS(Games_Raw!$K$2:$K$1232,"Yes",Games_Raw!$I$2:$I$1232,A678)</ns0:f>
        <ns0:v>36</ns0:v>
      </ns0:c>
      <ns0:c r="G678">
        <ns0:f>COUNTIFS(Games_Raw!$K$2:$K$1232,"Yes",Games_Raw!$J$2:$J$1232,A678)</ns0:f>
        <ns0:v>46</ns0:v>
      </ns0:c>
    </ns0:row>
    <ns0:row r="679">
      <ns0:c r="A679" t="inlineStr">
        <ns0:is>
          <ns0:t>Phoenix Suns</ns0:t>
        </ns0:is>
      </ns0:c>
      <ns0:c r="B679" t="inlineStr">
        <ns0:is>
          <ns0:t>Houston Rockets</ns0:t>
        </ns0:is>
      </ns0:c>
      <ns0:c r="C679">
        <ns0:f>COUNTIFS(Games_Raw!$K$2:$K$1232,"Yes",Games_Raw!$I$2:$I$1232,A679,Games_Raw!$J$2:$J$1232,B679)</ns0:f>
        <ns0:v>0</ns0:v>
      </ns0:c>
      <ns0:c r="D679">
        <ns0:f>COUNTIFS(Games_Raw!$K$2:$K$1232,"Yes",Games_Raw!$I$2:$I$1232,B679,Games_Raw!$J$2:$J$1232,A679)</ns0:f>
        <ns0:v>3</ns0:v>
      </ns0:c>
      <ns0:c r="E679" t="str">
        <ns0:f>C679&amp;"-"&amp;D679</ns0:f>
        <ns0:v>0-3</ns0:v>
      </ns0:c>
      <ns0:c r="F679">
        <ns0:f>COUNTIFS(Games_Raw!$K$2:$K$1232,"Yes",Games_Raw!$I$2:$I$1232,A679)</ns0:f>
        <ns0:v>36</ns0:v>
      </ns0:c>
      <ns0:c r="G679">
        <ns0:f>COUNTIFS(Games_Raw!$K$2:$K$1232,"Yes",Games_Raw!$J$2:$J$1232,A679)</ns0:f>
        <ns0:v>46</ns0:v>
      </ns0:c>
    </ns0:row>
    <ns0:row r="680">
      <ns0:c r="A680" t="inlineStr">
        <ns0:is>
          <ns0:t>Phoenix Suns</ns0:t>
        </ns0:is>
      </ns0:c>
      <ns0:c r="B680" t="inlineStr">
        <ns0:is>
          <ns0:t>Indiana Pacers</ns0:t>
        </ns0:is>
      </ns0:c>
      <ns0:c r="C680">
        <ns0:f>COUNTIFS(Games_Raw!$K$2:$K$1232,"Yes",Games_Raw!$I$2:$I$1232,A680,Games_Raw!$J$2:$J$1232,B680)</ns0:f>
        <ns0:v>0</ns0:v>
      </ns0:c>
      <ns0:c r="D680">
        <ns0:f>COUNTIFS(Games_Raw!$K$2:$K$1232,"Yes",Games_Raw!$I$2:$I$1232,B680,Games_Raw!$J$2:$J$1232,A680)</ns0:f>
        <ns0:v>2</ns0:v>
      </ns0:c>
      <ns0:c r="E680" t="str">
        <ns0:f>C680&amp;"-"&amp;D680</ns0:f>
        <ns0:v>0-2</ns0:v>
      </ns0:c>
      <ns0:c r="F680">
        <ns0:f>COUNTIFS(Games_Raw!$K$2:$K$1232,"Yes",Games_Raw!$I$2:$I$1232,A680)</ns0:f>
        <ns0:v>36</ns0:v>
      </ns0:c>
      <ns0:c r="G680">
        <ns0:f>COUNTIFS(Games_Raw!$K$2:$K$1232,"Yes",Games_Raw!$J$2:$J$1232,A680)</ns0:f>
        <ns0:v>46</ns0:v>
      </ns0:c>
    </ns0:row>
    <ns0:row r="681">
      <ns0:c r="A681" t="inlineStr">
        <ns0:is>
          <ns0:t>Phoenix Suns</ns0:t>
        </ns0:is>
      </ns0:c>
      <ns0:c r="B681" t="inlineStr">
        <ns0:is>
          <ns0:t>LA Clippers</ns0:t>
        </ns0:is>
      </ns0:c>
      <ns0:c r="C681">
        <ns0:f>COUNTIFS(Games_Raw!$K$2:$K$1232,"Yes",Games_Raw!$I$2:$I$1232,A681,Games_Raw!$J$2:$J$1232,B681)</ns0:f>
        <ns0:v>4</ns0:v>
      </ns0:c>
      <ns0:c r="D681">
        <ns0:f>COUNTIFS(Games_Raw!$K$2:$K$1232,"Yes",Games_Raw!$I$2:$I$1232,B681,Games_Raw!$J$2:$J$1232,A681)</ns0:f>
        <ns0:v>0</ns0:v>
      </ns0:c>
      <ns0:c r="E681" t="str">
        <ns0:f>C681&amp;"-"&amp;D681</ns0:f>
        <ns0:v>4-0</ns0:v>
      </ns0:c>
      <ns0:c r="F681">
        <ns0:f>COUNTIFS(Games_Raw!$K$2:$K$1232,"Yes",Games_Raw!$I$2:$I$1232,A681)</ns0:f>
        <ns0:v>36</ns0:v>
      </ns0:c>
      <ns0:c r="G681">
        <ns0:f>COUNTIFS(Games_Raw!$K$2:$K$1232,"Yes",Games_Raw!$J$2:$J$1232,A681)</ns0:f>
        <ns0:v>46</ns0:v>
      </ns0:c>
    </ns0:row>
    <ns0:row r="682">
      <ns0:c r="A682" t="inlineStr">
        <ns0:is>
          <ns0:t>Phoenix Suns</ns0:t>
        </ns0:is>
      </ns0:c>
      <ns0:c r="B682" t="inlineStr">
        <ns0:is>
          <ns0:t>Los Angeles Lakers</ns0:t>
        </ns0:is>
      </ns0:c>
      <ns0:c r="C682">
        <ns0:f>COUNTIFS(Games_Raw!$K$2:$K$1232,"Yes",Games_Raw!$I$2:$I$1232,A682,Games_Raw!$J$2:$J$1232,B682)</ns0:f>
        <ns0:v>2</ns0:v>
      </ns0:c>
      <ns0:c r="D682">
        <ns0:f>COUNTIFS(Games_Raw!$K$2:$K$1232,"Yes",Games_Raw!$I$2:$I$1232,B682,Games_Raw!$J$2:$J$1232,A682)</ns0:f>
        <ns0:v>2</ns0:v>
      </ns0:c>
      <ns0:c r="E682" t="str">
        <ns0:f>C682&amp;"-"&amp;D682</ns0:f>
        <ns0:v>2-2</ns0:v>
      </ns0:c>
      <ns0:c r="F682">
        <ns0:f>COUNTIFS(Games_Raw!$K$2:$K$1232,"Yes",Games_Raw!$I$2:$I$1232,A682)</ns0:f>
        <ns0:v>36</ns0:v>
      </ns0:c>
      <ns0:c r="G682">
        <ns0:f>COUNTIFS(Games_Raw!$K$2:$K$1232,"Yes",Games_Raw!$J$2:$J$1232,A682)</ns0:f>
        <ns0:v>46</ns0:v>
      </ns0:c>
    </ns0:row>
    <ns0:row r="683">
      <ns0:c r="A683" t="inlineStr">
        <ns0:is>
          <ns0:t>Phoenix Suns</ns0:t>
        </ns0:is>
      </ns0:c>
      <ns0:c r="B683" t="inlineStr">
        <ns0:is>
          <ns0:t>Memphis Grizzlies</ns0:t>
        </ns0:is>
      </ns0:c>
      <ns0:c r="C683">
        <ns0:f>COUNTIFS(Games_Raw!$K$2:$K$1232,"Yes",Games_Raw!$I$2:$I$1232,A683,Games_Raw!$J$2:$J$1232,B683)</ns0:f>
        <ns0:v>0</ns0:v>
      </ns0:c>
      <ns0:c r="D683">
        <ns0:f>COUNTIFS(Games_Raw!$K$2:$K$1232,"Yes",Games_Raw!$I$2:$I$1232,B683,Games_Raw!$J$2:$J$1232,A683)</ns0:f>
        <ns0:v>4</ns0:v>
      </ns0:c>
      <ns0:c r="E683" t="str">
        <ns0:f>C683&amp;"-"&amp;D683</ns0:f>
        <ns0:v>0-4</ns0:v>
      </ns0:c>
      <ns0:c r="F683">
        <ns0:f>COUNTIFS(Games_Raw!$K$2:$K$1232,"Yes",Games_Raw!$I$2:$I$1232,A683)</ns0:f>
        <ns0:v>36</ns0:v>
      </ns0:c>
      <ns0:c r="G683">
        <ns0:f>COUNTIFS(Games_Raw!$K$2:$K$1232,"Yes",Games_Raw!$J$2:$J$1232,A683)</ns0:f>
        <ns0:v>46</ns0:v>
      </ns0:c>
    </ns0:row>
    <ns0:row r="684">
      <ns0:c r="A684" t="inlineStr">
        <ns0:is>
          <ns0:t>Phoenix Suns</ns0:t>
        </ns0:is>
      </ns0:c>
      <ns0:c r="B684" t="inlineStr">
        <ns0:is>
          <ns0:t>Miami Heat</ns0:t>
        </ns0:is>
      </ns0:c>
      <ns0:c r="C684">
        <ns0:f>COUNTIFS(Games_Raw!$K$2:$K$1232,"Yes",Games_Raw!$I$2:$I$1232,A684,Games_Raw!$J$2:$J$1232,B684)</ns0:f>
        <ns0:v>1</ns0:v>
      </ns0:c>
      <ns0:c r="D684">
        <ns0:f>COUNTIFS(Games_Raw!$K$2:$K$1232,"Yes",Games_Raw!$I$2:$I$1232,B684,Games_Raw!$J$2:$J$1232,A684)</ns0:f>
        <ns0:v>1</ns0:v>
      </ns0:c>
      <ns0:c r="E684" t="str">
        <ns0:f>C684&amp;"-"&amp;D684</ns0:f>
        <ns0:v>1-1</ns0:v>
      </ns0:c>
      <ns0:c r="F684">
        <ns0:f>COUNTIFS(Games_Raw!$K$2:$K$1232,"Yes",Games_Raw!$I$2:$I$1232,A684)</ns0:f>
        <ns0:v>36</ns0:v>
      </ns0:c>
      <ns0:c r="G684">
        <ns0:f>COUNTIFS(Games_Raw!$K$2:$K$1232,"Yes",Games_Raw!$J$2:$J$1232,A684)</ns0:f>
        <ns0:v>46</ns0:v>
      </ns0:c>
    </ns0:row>
    <ns0:row r="685">
      <ns0:c r="A685" t="inlineStr">
        <ns0:is>
          <ns0:t>Phoenix Suns</ns0:t>
        </ns0:is>
      </ns0:c>
      <ns0:c r="B685" t="inlineStr">
        <ns0:is>
          <ns0:t>Milwaukee Bucks</ns0:t>
        </ns0:is>
      </ns0:c>
      <ns0:c r="C685">
        <ns0:f>COUNTIFS(Games_Raw!$K$2:$K$1232,"Yes",Games_Raw!$I$2:$I$1232,A685,Games_Raw!$J$2:$J$1232,B685)</ns0:f>
        <ns0:v>1</ns0:v>
      </ns0:c>
      <ns0:c r="D685">
        <ns0:f>COUNTIFS(Games_Raw!$K$2:$K$1232,"Yes",Games_Raw!$I$2:$I$1232,B685,Games_Raw!$J$2:$J$1232,A685)</ns0:f>
        <ns0:v>1</ns0:v>
      </ns0:c>
      <ns0:c r="E685" t="str">
        <ns0:f>C685&amp;"-"&amp;D685</ns0:f>
        <ns0:v>1-1</ns0:v>
      </ns0:c>
      <ns0:c r="F685">
        <ns0:f>COUNTIFS(Games_Raw!$K$2:$K$1232,"Yes",Games_Raw!$I$2:$I$1232,A685)</ns0:f>
        <ns0:v>36</ns0:v>
      </ns0:c>
      <ns0:c r="G685">
        <ns0:f>COUNTIFS(Games_Raw!$K$2:$K$1232,"Yes",Games_Raw!$J$2:$J$1232,A685)</ns0:f>
        <ns0:v>46</ns0:v>
      </ns0:c>
    </ns0:row>
    <ns0:row r="686">
      <ns0:c r="A686" t="inlineStr">
        <ns0:is>
          <ns0:t>Phoenix Suns</ns0:t>
        </ns0:is>
      </ns0:c>
      <ns0:c r="B686" t="inlineStr">
        <ns0:is>
          <ns0:t>Minnesota Timberwolves</ns0:t>
        </ns0:is>
      </ns0:c>
      <ns0:c r="C686">
        <ns0:f>COUNTIFS(Games_Raw!$K$2:$K$1232,"Yes",Games_Raw!$I$2:$I$1232,A686,Games_Raw!$J$2:$J$1232,B686)</ns0:f>
        <ns0:v>0</ns0:v>
      </ns0:c>
      <ns0:c r="D686">
        <ns0:f>COUNTIFS(Games_Raw!$K$2:$K$1232,"Yes",Games_Raw!$I$2:$I$1232,B686,Games_Raw!$J$2:$J$1232,A686)</ns0:f>
        <ns0:v>4</ns0:v>
      </ns0:c>
      <ns0:c r="E686" t="str">
        <ns0:f>C686&amp;"-"&amp;D686</ns0:f>
        <ns0:v>0-4</ns0:v>
      </ns0:c>
      <ns0:c r="F686">
        <ns0:f>COUNTIFS(Games_Raw!$K$2:$K$1232,"Yes",Games_Raw!$I$2:$I$1232,A686)</ns0:f>
        <ns0:v>36</ns0:v>
      </ns0:c>
      <ns0:c r="G686">
        <ns0:f>COUNTIFS(Games_Raw!$K$2:$K$1232,"Yes",Games_Raw!$J$2:$J$1232,A686)</ns0:f>
        <ns0:v>46</ns0:v>
      </ns0:c>
    </ns0:row>
    <ns0:row r="687">
      <ns0:c r="A687" t="inlineStr">
        <ns0:is>
          <ns0:t>Phoenix Suns</ns0:t>
        </ns0:is>
      </ns0:c>
      <ns0:c r="B687" t="inlineStr">
        <ns0:is>
          <ns0:t>New Orleans Pelicans</ns0:t>
        </ns0:is>
      </ns0:c>
      <ns0:c r="C687">
        <ns0:f>COUNTIFS(Games_Raw!$K$2:$K$1232,"Yes",Games_Raw!$I$2:$I$1232,A687,Games_Raw!$J$2:$J$1232,B687)</ns0:f>
        <ns0:v>1</ns0:v>
      </ns0:c>
      <ns0:c r="D687">
        <ns0:f>COUNTIFS(Games_Raw!$K$2:$K$1232,"Yes",Games_Raw!$I$2:$I$1232,B687,Games_Raw!$J$2:$J$1232,A687)</ns0:f>
        <ns0:v>2</ns0:v>
      </ns0:c>
      <ns0:c r="E687" t="str">
        <ns0:f>C687&amp;"-"&amp;D687</ns0:f>
        <ns0:v>1-2</ns0:v>
      </ns0:c>
      <ns0:c r="F687">
        <ns0:f>COUNTIFS(Games_Raw!$K$2:$K$1232,"Yes",Games_Raw!$I$2:$I$1232,A687)</ns0:f>
        <ns0:v>36</ns0:v>
      </ns0:c>
      <ns0:c r="G687">
        <ns0:f>COUNTIFS(Games_Raw!$K$2:$K$1232,"Yes",Games_Raw!$J$2:$J$1232,A687)</ns0:f>
        <ns0:v>46</ns0:v>
      </ns0:c>
    </ns0:row>
    <ns0:row r="688">
      <ns0:c r="A688" t="inlineStr">
        <ns0:is>
          <ns0:t>Phoenix Suns</ns0:t>
        </ns0:is>
      </ns0:c>
      <ns0:c r="B688" t="inlineStr">
        <ns0:is>
          <ns0:t>New York Knicks</ns0:t>
        </ns0:is>
      </ns0:c>
      <ns0:c r="C688">
        <ns0:f>COUNTIFS(Games_Raw!$K$2:$K$1232,"Yes",Games_Raw!$I$2:$I$1232,A688,Games_Raw!$J$2:$J$1232,B688)</ns0:f>
        <ns0:v>0</ns0:v>
      </ns0:c>
      <ns0:c r="D688">
        <ns0:f>COUNTIFS(Games_Raw!$K$2:$K$1232,"Yes",Games_Raw!$I$2:$I$1232,B688,Games_Raw!$J$2:$J$1232,A688)</ns0:f>
        <ns0:v>2</ns0:v>
      </ns0:c>
      <ns0:c r="E688" t="str">
        <ns0:f>C688&amp;"-"&amp;D688</ns0:f>
        <ns0:v>0-2</ns0:v>
      </ns0:c>
      <ns0:c r="F688">
        <ns0:f>COUNTIFS(Games_Raw!$K$2:$K$1232,"Yes",Games_Raw!$I$2:$I$1232,A688)</ns0:f>
        <ns0:v>36</ns0:v>
      </ns0:c>
      <ns0:c r="G688">
        <ns0:f>COUNTIFS(Games_Raw!$K$2:$K$1232,"Yes",Games_Raw!$J$2:$J$1232,A688)</ns0:f>
        <ns0:v>46</ns0:v>
      </ns0:c>
    </ns0:row>
    <ns0:row r="689">
      <ns0:c r="A689" t="inlineStr">
        <ns0:is>
          <ns0:t>Phoenix Suns</ns0:t>
        </ns0:is>
      </ns0:c>
      <ns0:c r="B689" t="inlineStr">
        <ns0:is>
          <ns0:t>Oklahoma City Thunder</ns0:t>
        </ns0:is>
      </ns0:c>
      <ns0:c r="C689">
        <ns0:f>COUNTIFS(Games_Raw!$K$2:$K$1232,"Yes",Games_Raw!$I$2:$I$1232,A689,Games_Raw!$J$2:$J$1232,B689)</ns0:f>
        <ns0:v>0</ns0:v>
      </ns0:c>
      <ns0:c r="D689">
        <ns0:f>COUNTIFS(Games_Raw!$K$2:$K$1232,"Yes",Games_Raw!$I$2:$I$1232,B689,Games_Raw!$J$2:$J$1232,A689)</ns0:f>
        <ns0:v>3</ns0:v>
      </ns0:c>
      <ns0:c r="E689" t="str">
        <ns0:f>C689&amp;"-"&amp;D689</ns0:f>
        <ns0:v>0-3</ns0:v>
      </ns0:c>
      <ns0:c r="F689">
        <ns0:f>COUNTIFS(Games_Raw!$K$2:$K$1232,"Yes",Games_Raw!$I$2:$I$1232,A689)</ns0:f>
        <ns0:v>36</ns0:v>
      </ns0:c>
      <ns0:c r="G689">
        <ns0:f>COUNTIFS(Games_Raw!$K$2:$K$1232,"Yes",Games_Raw!$J$2:$J$1232,A689)</ns0:f>
        <ns0:v>46</ns0:v>
      </ns0:c>
    </ns0:row>
    <ns0:row r="690">
      <ns0:c r="A690" t="inlineStr">
        <ns0:is>
          <ns0:t>Phoenix Suns</ns0:t>
        </ns0:is>
      </ns0:c>
      <ns0:c r="B690" t="inlineStr">
        <ns0:is>
          <ns0:t>Orlando Magic</ns0:t>
        </ns0:is>
      </ns0:c>
      <ns0:c r="C690">
        <ns0:f>COUNTIFS(Games_Raw!$K$2:$K$1232,"Yes",Games_Raw!$I$2:$I$1232,A690,Games_Raw!$J$2:$J$1232,B690)</ns0:f>
        <ns0:v>0</ns0:v>
      </ns0:c>
      <ns0:c r="D690">
        <ns0:f>COUNTIFS(Games_Raw!$K$2:$K$1232,"Yes",Games_Raw!$I$2:$I$1232,B690,Games_Raw!$J$2:$J$1232,A690)</ns0:f>
        <ns0:v>2</ns0:v>
      </ns0:c>
      <ns0:c r="E690" t="str">
        <ns0:f>C690&amp;"-"&amp;D690</ns0:f>
        <ns0:v>0-2</ns0:v>
      </ns0:c>
      <ns0:c r="F690">
        <ns0:f>COUNTIFS(Games_Raw!$K$2:$K$1232,"Yes",Games_Raw!$I$2:$I$1232,A690)</ns0:f>
        <ns0:v>36</ns0:v>
      </ns0:c>
      <ns0:c r="G690">
        <ns0:f>COUNTIFS(Games_Raw!$K$2:$K$1232,"Yes",Games_Raw!$J$2:$J$1232,A690)</ns0:f>
        <ns0:v>46</ns0:v>
      </ns0:c>
    </ns0:row>
    <ns0:row r="691">
      <ns0:c r="A691" t="inlineStr">
        <ns0:is>
          <ns0:t>Phoenix Suns</ns0:t>
        </ns0:is>
      </ns0:c>
      <ns0:c r="B691" t="inlineStr">
        <ns0:is>
          <ns0:t>Philadelphia 76ers</ns0:t>
        </ns0:is>
      </ns0:c>
      <ns0:c r="C691">
        <ns0:f>COUNTIFS(Games_Raw!$K$2:$K$1232,"Yes",Games_Raw!$I$2:$I$1232,A691,Games_Raw!$J$2:$J$1232,B691)</ns0:f>
        <ns0:v>2</ns0:v>
      </ns0:c>
      <ns0:c r="D691">
        <ns0:f>COUNTIFS(Games_Raw!$K$2:$K$1232,"Yes",Games_Raw!$I$2:$I$1232,B691,Games_Raw!$J$2:$J$1232,A691)</ns0:f>
        <ns0:v>0</ns0:v>
      </ns0:c>
      <ns0:c r="E691" t="str">
        <ns0:f>C691&amp;"-"&amp;D691</ns0:f>
        <ns0:v>2-0</ns0:v>
      </ns0:c>
      <ns0:c r="F691">
        <ns0:f>COUNTIFS(Games_Raw!$K$2:$K$1232,"Yes",Games_Raw!$I$2:$I$1232,A691)</ns0:f>
        <ns0:v>36</ns0:v>
      </ns0:c>
      <ns0:c r="G691">
        <ns0:f>COUNTIFS(Games_Raw!$K$2:$K$1232,"Yes",Games_Raw!$J$2:$J$1232,A691)</ns0:f>
        <ns0:v>46</ns0:v>
      </ns0:c>
    </ns0:row>
    <ns0:row r="692">
      <ns0:c r="A692" t="inlineStr">
        <ns0:is>
          <ns0:t>Phoenix Suns</ns0:t>
        </ns0:is>
      </ns0:c>
      <ns0:c r="B692" t="inlineStr">
        <ns0:is>
          <ns0:t>Portland Trail Blazers</ns0:t>
        </ns0:is>
      </ns0:c>
      <ns0:c r="C692">
        <ns0:f>COUNTIFS(Games_Raw!$K$2:$K$1232,"Yes",Games_Raw!$I$2:$I$1232,A692,Games_Raw!$J$2:$J$1232,B692)</ns0:f>
        <ns0:v>2</ns0:v>
      </ns0:c>
      <ns0:c r="D692">
        <ns0:f>COUNTIFS(Games_Raw!$K$2:$K$1232,"Yes",Games_Raw!$I$2:$I$1232,B692,Games_Raw!$J$2:$J$1232,A692)</ns0:f>
        <ns0:v>2</ns0:v>
      </ns0:c>
      <ns0:c r="E692" t="str">
        <ns0:f>C692&amp;"-"&amp;D692</ns0:f>
        <ns0:v>2-2</ns0:v>
      </ns0:c>
      <ns0:c r="F692">
        <ns0:f>COUNTIFS(Games_Raw!$K$2:$K$1232,"Yes",Games_Raw!$I$2:$I$1232,A692)</ns0:f>
        <ns0:v>36</ns0:v>
      </ns0:c>
      <ns0:c r="G692">
        <ns0:f>COUNTIFS(Games_Raw!$K$2:$K$1232,"Yes",Games_Raw!$J$2:$J$1232,A692)</ns0:f>
        <ns0:v>46</ns0:v>
      </ns0:c>
    </ns0:row>
    <ns0:row r="693">
      <ns0:c r="A693" t="inlineStr">
        <ns0:is>
          <ns0:t>Phoenix Suns</ns0:t>
        </ns0:is>
      </ns0:c>
      <ns0:c r="B693" t="inlineStr">
        <ns0:is>
          <ns0:t>Sacramento Kings</ns0:t>
        </ns0:is>
      </ns0:c>
      <ns0:c r="C693">
        <ns0:f>COUNTIFS(Games_Raw!$K$2:$K$1232,"Yes",Games_Raw!$I$2:$I$1232,A693,Games_Raw!$J$2:$J$1232,B693)</ns0:f>
        <ns0:v>1</ns0:v>
      </ns0:c>
      <ns0:c r="D693">
        <ns0:f>COUNTIFS(Games_Raw!$K$2:$K$1232,"Yes",Games_Raw!$I$2:$I$1232,B693,Games_Raw!$J$2:$J$1232,A693)</ns0:f>
        <ns0:v>3</ns0:v>
      </ns0:c>
      <ns0:c r="E693" t="str">
        <ns0:f>C693&amp;"-"&amp;D693</ns0:f>
        <ns0:v>1-3</ns0:v>
      </ns0:c>
      <ns0:c r="F693">
        <ns0:f>COUNTIFS(Games_Raw!$K$2:$K$1232,"Yes",Games_Raw!$I$2:$I$1232,A693)</ns0:f>
        <ns0:v>36</ns0:v>
      </ns0:c>
      <ns0:c r="G693">
        <ns0:f>COUNTIFS(Games_Raw!$K$2:$K$1232,"Yes",Games_Raw!$J$2:$J$1232,A693)</ns0:f>
        <ns0:v>46</ns0:v>
      </ns0:c>
    </ns0:row>
    <ns0:row r="694">
      <ns0:c r="A694" t="inlineStr">
        <ns0:is>
          <ns0:t>Phoenix Suns</ns0:t>
        </ns0:is>
      </ns0:c>
      <ns0:c r="B694" t="inlineStr">
        <ns0:is>
          <ns0:t>San Antonio Spurs</ns0:t>
        </ns0:is>
      </ns0:c>
      <ns0:c r="C694">
        <ns0:f>COUNTIFS(Games_Raw!$K$2:$K$1232,"Yes",Games_Raw!$I$2:$I$1232,A694,Games_Raw!$J$2:$J$1232,B694)</ns0:f>
        <ns0:v>2</ns0:v>
      </ns0:c>
      <ns0:c r="D694">
        <ns0:f>COUNTIFS(Games_Raw!$K$2:$K$1232,"Yes",Games_Raw!$I$2:$I$1232,B694,Games_Raw!$J$2:$J$1232,A694)</ns0:f>
        <ns0:v>1</ns0:v>
      </ns0:c>
      <ns0:c r="E694" t="str">
        <ns0:f>C694&amp;"-"&amp;D694</ns0:f>
        <ns0:v>2-1</ns0:v>
      </ns0:c>
      <ns0:c r="F694">
        <ns0:f>COUNTIFS(Games_Raw!$K$2:$K$1232,"Yes",Games_Raw!$I$2:$I$1232,A694)</ns0:f>
        <ns0:v>36</ns0:v>
      </ns0:c>
      <ns0:c r="G694">
        <ns0:f>COUNTIFS(Games_Raw!$K$2:$K$1232,"Yes",Games_Raw!$J$2:$J$1232,A694)</ns0:f>
        <ns0:v>46</ns0:v>
      </ns0:c>
    </ns0:row>
    <ns0:row r="695">
      <ns0:c r="A695" t="inlineStr">
        <ns0:is>
          <ns0:t>Phoenix Suns</ns0:t>
        </ns0:is>
      </ns0:c>
      <ns0:c r="B695" t="inlineStr">
        <ns0:is>
          <ns0:t>Toronto Raptors</ns0:t>
        </ns0:is>
      </ns0:c>
      <ns0:c r="C695">
        <ns0:f>COUNTIFS(Games_Raw!$K$2:$K$1232,"Yes",Games_Raw!$I$2:$I$1232,A695,Games_Raw!$J$2:$J$1232,B695)</ns0:f>
        <ns0:v>1</ns0:v>
      </ns0:c>
      <ns0:c r="D695">
        <ns0:f>COUNTIFS(Games_Raw!$K$2:$K$1232,"Yes",Games_Raw!$I$2:$I$1232,B695,Games_Raw!$J$2:$J$1232,A695)</ns0:f>
        <ns0:v>1</ns0:v>
      </ns0:c>
      <ns0:c r="E695" t="str">
        <ns0:f>C695&amp;"-"&amp;D695</ns0:f>
        <ns0:v>1-1</ns0:v>
      </ns0:c>
      <ns0:c r="F695">
        <ns0:f>COUNTIFS(Games_Raw!$K$2:$K$1232,"Yes",Games_Raw!$I$2:$I$1232,A695)</ns0:f>
        <ns0:v>36</ns0:v>
      </ns0:c>
      <ns0:c r="G695">
        <ns0:f>COUNTIFS(Games_Raw!$K$2:$K$1232,"Yes",Games_Raw!$J$2:$J$1232,A695)</ns0:f>
        <ns0:v>46</ns0:v>
      </ns0:c>
    </ns0:row>
    <ns0:row r="696">
      <ns0:c r="A696" t="inlineStr">
        <ns0:is>
          <ns0:t>Phoenix Suns</ns0:t>
        </ns0:is>
      </ns0:c>
      <ns0:c r="B696" t="inlineStr">
        <ns0:is>
          <ns0:t>Utah Jazz</ns0:t>
        </ns0:is>
      </ns0:c>
      <ns0:c r="C696">
        <ns0:f>COUNTIFS(Games_Raw!$K$2:$K$1232,"Yes",Games_Raw!$I$2:$I$1232,A696,Games_Raw!$J$2:$J$1232,B696)</ns0:f>
        <ns0:v>4</ns0:v>
      </ns0:c>
      <ns0:c r="D696">
        <ns0:f>COUNTIFS(Games_Raw!$K$2:$K$1232,"Yes",Games_Raw!$I$2:$I$1232,B696,Games_Raw!$J$2:$J$1232,A696)</ns0:f>
        <ns0:v>0</ns0:v>
      </ns0:c>
      <ns0:c r="E696" t="str">
        <ns0:f>C696&amp;"-"&amp;D696</ns0:f>
        <ns0:v>4-0</ns0:v>
      </ns0:c>
      <ns0:c r="F696">
        <ns0:f>COUNTIFS(Games_Raw!$K$2:$K$1232,"Yes",Games_Raw!$I$2:$I$1232,A696)</ns0:f>
        <ns0:v>36</ns0:v>
      </ns0:c>
      <ns0:c r="G696">
        <ns0:f>COUNTIFS(Games_Raw!$K$2:$K$1232,"Yes",Games_Raw!$J$2:$J$1232,A696)</ns0:f>
        <ns0:v>46</ns0:v>
      </ns0:c>
    </ns0:row>
    <ns0:row r="697">
      <ns0:c r="A697" t="inlineStr">
        <ns0:is>
          <ns0:t>Phoenix Suns</ns0:t>
        </ns0:is>
      </ns0:c>
      <ns0:c r="B697" t="inlineStr">
        <ns0:is>
          <ns0:t>Washington Wizards</ns0:t>
        </ns0:is>
      </ns0:c>
      <ns0:c r="C697">
        <ns0:f>COUNTIFS(Games_Raw!$K$2:$K$1232,"Yes",Games_Raw!$I$2:$I$1232,A697,Games_Raw!$J$2:$J$1232,B697)</ns0:f>
        <ns0:v>2</ns0:v>
      </ns0:c>
      <ns0:c r="D697">
        <ns0:f>COUNTIFS(Games_Raw!$K$2:$K$1232,"Yes",Games_Raw!$I$2:$I$1232,B697,Games_Raw!$J$2:$J$1232,A697)</ns0:f>
        <ns0:v>0</ns0:v>
      </ns0:c>
      <ns0:c r="E697" t="str">
        <ns0:f>C697&amp;"-"&amp;D697</ns0:f>
        <ns0:v>2-0</ns0:v>
      </ns0:c>
      <ns0:c r="F697">
        <ns0:f>COUNTIFS(Games_Raw!$K$2:$K$1232,"Yes",Games_Raw!$I$2:$I$1232,A697)</ns0:f>
        <ns0:v>36</ns0:v>
      </ns0:c>
      <ns0:c r="G697">
        <ns0:f>COUNTIFS(Games_Raw!$K$2:$K$1232,"Yes",Games_Raw!$J$2:$J$1232,A697)</ns0:f>
        <ns0:v>46</ns0:v>
      </ns0:c>
    </ns0:row>
    <ns0:row r="698">
      <ns0:c r="A698" t="inlineStr">
        <ns0:is>
          <ns0:t>Portland Trail Blazers</ns0:t>
        </ns0:is>
      </ns0:c>
      <ns0:c r="B698" t="inlineStr">
        <ns0:is>
          <ns0:t>Atlanta Hawks</ns0:t>
        </ns0:is>
      </ns0:c>
      <ns0:c r="C698">
        <ns0:f>COUNTIFS(Games_Raw!$K$2:$K$1232,"Yes",Games_Raw!$I$2:$I$1232,A698,Games_Raw!$J$2:$J$1232,B698)</ns0:f>
        <ns0:v>2</ns0:v>
      </ns0:c>
      <ns0:c r="D698">
        <ns0:f>COUNTIFS(Games_Raw!$K$2:$K$1232,"Yes",Games_Raw!$I$2:$I$1232,B698,Games_Raw!$J$2:$J$1232,A698)</ns0:f>
        <ns0:v>0</ns0:v>
      </ns0:c>
      <ns0:c r="E698" t="str">
        <ns0:f>C698&amp;"-"&amp;D698</ns0:f>
        <ns0:v>2-0</ns0:v>
      </ns0:c>
      <ns0:c r="F698">
        <ns0:f>COUNTIFS(Games_Raw!$K$2:$K$1232,"Yes",Games_Raw!$I$2:$I$1232,A698)</ns0:f>
        <ns0:v>36</ns0:v>
      </ns0:c>
      <ns0:c r="G698">
        <ns0:f>COUNTIFS(Games_Raw!$K$2:$K$1232,"Yes",Games_Raw!$J$2:$J$1232,A698)</ns0:f>
        <ns0:v>46</ns0:v>
      </ns0:c>
    </ns0:row>
    <ns0:row r="699">
      <ns0:c r="A699" t="inlineStr">
        <ns0:is>
          <ns0:t>Portland Trail Blazers</ns0:t>
        </ns0:is>
      </ns0:c>
      <ns0:c r="B699" t="inlineStr">
        <ns0:is>
          <ns0:t>Boston Celtics</ns0:t>
        </ns0:is>
      </ns0:c>
      <ns0:c r="C699">
        <ns0:f>COUNTIFS(Games_Raw!$K$2:$K$1232,"Yes",Games_Raw!$I$2:$I$1232,A699,Games_Raw!$J$2:$J$1232,B699)</ns0:f>
        <ns0:v>0</ns0:v>
      </ns0:c>
      <ns0:c r="D699">
        <ns0:f>COUNTIFS(Games_Raw!$K$2:$K$1232,"Yes",Games_Raw!$I$2:$I$1232,B699,Games_Raw!$J$2:$J$1232,A699)</ns0:f>
        <ns0:v>2</ns0:v>
      </ns0:c>
      <ns0:c r="E699" t="str">
        <ns0:f>C699&amp;"-"&amp;D699</ns0:f>
        <ns0:v>0-2</ns0:v>
      </ns0:c>
      <ns0:c r="F699">
        <ns0:f>COUNTIFS(Games_Raw!$K$2:$K$1232,"Yes",Games_Raw!$I$2:$I$1232,A699)</ns0:f>
        <ns0:v>36</ns0:v>
      </ns0:c>
      <ns0:c r="G699">
        <ns0:f>COUNTIFS(Games_Raw!$K$2:$K$1232,"Yes",Games_Raw!$J$2:$J$1232,A699)</ns0:f>
        <ns0:v>46</ns0:v>
      </ns0:c>
    </ns0:row>
    <ns0:row r="700">
      <ns0:c r="A700" t="inlineStr">
        <ns0:is>
          <ns0:t>Portland Trail Blazers</ns0:t>
        </ns0:is>
      </ns0:c>
      <ns0:c r="B700" t="inlineStr">
        <ns0:is>
          <ns0:t>Brooklyn Nets</ns0:t>
        </ns0:is>
      </ns0:c>
      <ns0:c r="C700">
        <ns0:f>COUNTIFS(Games_Raw!$K$2:$K$1232,"Yes",Games_Raw!$I$2:$I$1232,A700,Games_Raw!$J$2:$J$1232,B700)</ns0:f>
        <ns0:v>1</ns0:v>
      </ns0:c>
      <ns0:c r="D700">
        <ns0:f>COUNTIFS(Games_Raw!$K$2:$K$1232,"Yes",Games_Raw!$I$2:$I$1232,B700,Games_Raw!$J$2:$J$1232,A700)</ns0:f>
        <ns0:v>1</ns0:v>
      </ns0:c>
      <ns0:c r="E700" t="str">
        <ns0:f>C700&amp;"-"&amp;D700</ns0:f>
        <ns0:v>1-1</ns0:v>
      </ns0:c>
      <ns0:c r="F700">
        <ns0:f>COUNTIFS(Games_Raw!$K$2:$K$1232,"Yes",Games_Raw!$I$2:$I$1232,A700)</ns0:f>
        <ns0:v>36</ns0:v>
      </ns0:c>
      <ns0:c r="G700">
        <ns0:f>COUNTIFS(Games_Raw!$K$2:$K$1232,"Yes",Games_Raw!$J$2:$J$1232,A700)</ns0:f>
        <ns0:v>46</ns0:v>
      </ns0:c>
    </ns0:row>
    <ns0:row r="701">
      <ns0:c r="A701" t="inlineStr">
        <ns0:is>
          <ns0:t>Portland Trail Blazers</ns0:t>
        </ns0:is>
      </ns0:c>
      <ns0:c r="B701" t="inlineStr">
        <ns0:is>
          <ns0:t>Charlotte Hornets</ns0:t>
        </ns0:is>
      </ns0:c>
      <ns0:c r="C701">
        <ns0:f>COUNTIFS(Games_Raw!$K$2:$K$1232,"Yes",Games_Raw!$I$2:$I$1232,A701,Games_Raw!$J$2:$J$1232,B701)</ns0:f>
        <ns0:v>2</ns0:v>
      </ns0:c>
      <ns0:c r="D701">
        <ns0:f>COUNTIFS(Games_Raw!$K$2:$K$1232,"Yes",Games_Raw!$I$2:$I$1232,B701,Games_Raw!$J$2:$J$1232,A701)</ns0:f>
        <ns0:v>0</ns0:v>
      </ns0:c>
      <ns0:c r="E701" t="str">
        <ns0:f>C701&amp;"-"&amp;D701</ns0:f>
        <ns0:v>2-0</ns0:v>
      </ns0:c>
      <ns0:c r="F701">
        <ns0:f>COUNTIFS(Games_Raw!$K$2:$K$1232,"Yes",Games_Raw!$I$2:$I$1232,A701)</ns0:f>
        <ns0:v>36</ns0:v>
      </ns0:c>
      <ns0:c r="G701">
        <ns0:f>COUNTIFS(Games_Raw!$K$2:$K$1232,"Yes",Games_Raw!$J$2:$J$1232,A701)</ns0:f>
        <ns0:v>46</ns0:v>
      </ns0:c>
    </ns0:row>
    <ns0:row r="702">
      <ns0:c r="A702" t="inlineStr">
        <ns0:is>
          <ns0:t>Portland Trail Blazers</ns0:t>
        </ns0:is>
      </ns0:c>
      <ns0:c r="B702" t="inlineStr">
        <ns0:is>
          <ns0:t>Chicago Bulls</ns0:t>
        </ns0:is>
      </ns0:c>
      <ns0:c r="C702">
        <ns0:f>COUNTIFS(Games_Raw!$K$2:$K$1232,"Yes",Games_Raw!$I$2:$I$1232,A702,Games_Raw!$J$2:$J$1232,B702)</ns0:f>
        <ns0:v>1</ns0:v>
      </ns0:c>
      <ns0:c r="D702">
        <ns0:f>COUNTIFS(Games_Raw!$K$2:$K$1232,"Yes",Games_Raw!$I$2:$I$1232,B702,Games_Raw!$J$2:$J$1232,A702)</ns0:f>
        <ns0:v>1</ns0:v>
      </ns0:c>
      <ns0:c r="E702" t="str">
        <ns0:f>C702&amp;"-"&amp;D702</ns0:f>
        <ns0:v>1-1</ns0:v>
      </ns0:c>
      <ns0:c r="F702">
        <ns0:f>COUNTIFS(Games_Raw!$K$2:$K$1232,"Yes",Games_Raw!$I$2:$I$1232,A702)</ns0:f>
        <ns0:v>36</ns0:v>
      </ns0:c>
      <ns0:c r="G702">
        <ns0:f>COUNTIFS(Games_Raw!$K$2:$K$1232,"Yes",Games_Raw!$J$2:$J$1232,A702)</ns0:f>
        <ns0:v>46</ns0:v>
      </ns0:c>
    </ns0:row>
    <ns0:row r="703">
      <ns0:c r="A703" t="inlineStr">
        <ns0:is>
          <ns0:t>Portland Trail Blazers</ns0:t>
        </ns0:is>
      </ns0:c>
      <ns0:c r="B703" t="inlineStr">
        <ns0:is>
          <ns0:t>Cleveland Cavaliers</ns0:t>
        </ns0:is>
      </ns0:c>
      <ns0:c r="C703">
        <ns0:f>COUNTIFS(Games_Raw!$K$2:$K$1232,"Yes",Games_Raw!$I$2:$I$1232,A703,Games_Raw!$J$2:$J$1232,B703)</ns0:f>
        <ns0:v>0</ns0:v>
      </ns0:c>
      <ns0:c r="D703">
        <ns0:f>COUNTIFS(Games_Raw!$K$2:$K$1232,"Yes",Games_Raw!$I$2:$I$1232,B703,Games_Raw!$J$2:$J$1232,A703)</ns0:f>
        <ns0:v>2</ns0:v>
      </ns0:c>
      <ns0:c r="E703" t="str">
        <ns0:f>C703&amp;"-"&amp;D703</ns0:f>
        <ns0:v>0-2</ns0:v>
      </ns0:c>
      <ns0:c r="F703">
        <ns0:f>COUNTIFS(Games_Raw!$K$2:$K$1232,"Yes",Games_Raw!$I$2:$I$1232,A703)</ns0:f>
        <ns0:v>36</ns0:v>
      </ns0:c>
      <ns0:c r="G703">
        <ns0:f>COUNTIFS(Games_Raw!$K$2:$K$1232,"Yes",Games_Raw!$J$2:$J$1232,A703)</ns0:f>
        <ns0:v>46</ns0:v>
      </ns0:c>
    </ns0:row>
    <ns0:row r="704">
      <ns0:c r="A704" t="inlineStr">
        <ns0:is>
          <ns0:t>Portland Trail Blazers</ns0:t>
        </ns0:is>
      </ns0:c>
      <ns0:c r="B704" t="inlineStr">
        <ns0:is>
          <ns0:t>Dallas Mavericks</ns0:t>
        </ns0:is>
      </ns0:c>
      <ns0:c r="C704">
        <ns0:f>COUNTIFS(Games_Raw!$K$2:$K$1232,"Yes",Games_Raw!$I$2:$I$1232,A704,Games_Raw!$J$2:$J$1232,B704)</ns0:f>
        <ns0:v>1</ns0:v>
      </ns0:c>
      <ns0:c r="D704">
        <ns0:f>COUNTIFS(Games_Raw!$K$2:$K$1232,"Yes",Games_Raw!$I$2:$I$1232,B704,Games_Raw!$J$2:$J$1232,A704)</ns0:f>
        <ns0:v>3</ns0:v>
      </ns0:c>
      <ns0:c r="E704" t="str">
        <ns0:f>C704&amp;"-"&amp;D704</ns0:f>
        <ns0:v>1-3</ns0:v>
      </ns0:c>
      <ns0:c r="F704">
        <ns0:f>COUNTIFS(Games_Raw!$K$2:$K$1232,"Yes",Games_Raw!$I$2:$I$1232,A704)</ns0:f>
        <ns0:v>36</ns0:v>
      </ns0:c>
      <ns0:c r="G704">
        <ns0:f>COUNTIFS(Games_Raw!$K$2:$K$1232,"Yes",Games_Raw!$J$2:$J$1232,A704)</ns0:f>
        <ns0:v>46</ns0:v>
      </ns0:c>
    </ns0:row>
    <ns0:row r="705">
      <ns0:c r="A705" t="inlineStr">
        <ns0:is>
          <ns0:t>Portland Trail Blazers</ns0:t>
        </ns0:is>
      </ns0:c>
      <ns0:c r="B705" t="inlineStr">
        <ns0:is>
          <ns0:t>Denver Nuggets</ns0:t>
        </ns0:is>
      </ns0:c>
      <ns0:c r="C705">
        <ns0:f>COUNTIFS(Games_Raw!$K$2:$K$1232,"Yes",Games_Raw!$I$2:$I$1232,A705,Games_Raw!$J$2:$J$1232,B705)</ns0:f>
        <ns0:v>2</ns0:v>
      </ns0:c>
      <ns0:c r="D705">
        <ns0:f>COUNTIFS(Games_Raw!$K$2:$K$1232,"Yes",Games_Raw!$I$2:$I$1232,B705,Games_Raw!$J$2:$J$1232,A705)</ns0:f>
        <ns0:v>2</ns0:v>
      </ns0:c>
      <ns0:c r="E705" t="str">
        <ns0:f>C705&amp;"-"&amp;D705</ns0:f>
        <ns0:v>2-2</ns0:v>
      </ns0:c>
      <ns0:c r="F705">
        <ns0:f>COUNTIFS(Games_Raw!$K$2:$K$1232,"Yes",Games_Raw!$I$2:$I$1232,A705)</ns0:f>
        <ns0:v>36</ns0:v>
      </ns0:c>
      <ns0:c r="G705">
        <ns0:f>COUNTIFS(Games_Raw!$K$2:$K$1232,"Yes",Games_Raw!$J$2:$J$1232,A705)</ns0:f>
        <ns0:v>46</ns0:v>
      </ns0:c>
    </ns0:row>
    <ns0:row r="706">
      <ns0:c r="A706" t="inlineStr">
        <ns0:is>
          <ns0:t>Portland Trail Blazers</ns0:t>
        </ns0:is>
      </ns0:c>
      <ns0:c r="B706" t="inlineStr">
        <ns0:is>
          <ns0:t>Detroit Pistons</ns0:t>
        </ns0:is>
      </ns0:c>
      <ns0:c r="C706">
        <ns0:f>COUNTIFS(Games_Raw!$K$2:$K$1232,"Yes",Games_Raw!$I$2:$I$1232,A706,Games_Raw!$J$2:$J$1232,B706)</ns0:f>
        <ns0:v>0</ns0:v>
      </ns0:c>
      <ns0:c r="D706">
        <ns0:f>COUNTIFS(Games_Raw!$K$2:$K$1232,"Yes",Games_Raw!$I$2:$I$1232,B706,Games_Raw!$J$2:$J$1232,A706)</ns0:f>
        <ns0:v>2</ns0:v>
      </ns0:c>
      <ns0:c r="E706" t="str">
        <ns0:f>C706&amp;"-"&amp;D706</ns0:f>
        <ns0:v>0-2</ns0:v>
      </ns0:c>
      <ns0:c r="F706">
        <ns0:f>COUNTIFS(Games_Raw!$K$2:$K$1232,"Yes",Games_Raw!$I$2:$I$1232,A706)</ns0:f>
        <ns0:v>36</ns0:v>
      </ns0:c>
      <ns0:c r="G706">
        <ns0:f>COUNTIFS(Games_Raw!$K$2:$K$1232,"Yes",Games_Raw!$J$2:$J$1232,A706)</ns0:f>
        <ns0:v>46</ns0:v>
      </ns0:c>
    </ns0:row>
    <ns0:row r="707">
      <ns0:c r="A707" t="inlineStr">
        <ns0:is>
          <ns0:t>Portland Trail Blazers</ns0:t>
        </ns0:is>
      </ns0:c>
      <ns0:c r="B707" t="inlineStr">
        <ns0:is>
          <ns0:t>Golden State Warriors</ns0:t>
        </ns0:is>
      </ns0:c>
      <ns0:c r="C707">
        <ns0:f>COUNTIFS(Games_Raw!$K$2:$K$1232,"Yes",Games_Raw!$I$2:$I$1232,A707,Games_Raw!$J$2:$J$1232,B707)</ns0:f>
        <ns0:v>0</ns0:v>
      </ns0:c>
      <ns0:c r="D707">
        <ns0:f>COUNTIFS(Games_Raw!$K$2:$K$1232,"Yes",Games_Raw!$I$2:$I$1232,B707,Games_Raw!$J$2:$J$1232,A707)</ns0:f>
        <ns0:v>3</ns0:v>
      </ns0:c>
      <ns0:c r="E707" t="str">
        <ns0:f>C707&amp;"-"&amp;D707</ns0:f>
        <ns0:v>0-3</ns0:v>
      </ns0:c>
      <ns0:c r="F707">
        <ns0:f>COUNTIFS(Games_Raw!$K$2:$K$1232,"Yes",Games_Raw!$I$2:$I$1232,A707)</ns0:f>
        <ns0:v>36</ns0:v>
      </ns0:c>
      <ns0:c r="G707">
        <ns0:f>COUNTIFS(Games_Raw!$K$2:$K$1232,"Yes",Games_Raw!$J$2:$J$1232,A707)</ns0:f>
        <ns0:v>46</ns0:v>
      </ns0:c>
    </ns0:row>
    <ns0:row r="708">
      <ns0:c r="A708" t="inlineStr">
        <ns0:is>
          <ns0:t>Portland Trail Blazers</ns0:t>
        </ns0:is>
      </ns0:c>
      <ns0:c r="B708" t="inlineStr">
        <ns0:is>
          <ns0:t>Houston Rockets</ns0:t>
        </ns0:is>
      </ns0:c>
      <ns0:c r="C708">
        <ns0:f>COUNTIFS(Games_Raw!$K$2:$K$1232,"Yes",Games_Raw!$I$2:$I$1232,A708,Games_Raw!$J$2:$J$1232,B708)</ns0:f>
        <ns0:v>1</ns0:v>
      </ns0:c>
      <ns0:c r="D708">
        <ns0:f>COUNTIFS(Games_Raw!$K$2:$K$1232,"Yes",Games_Raw!$I$2:$I$1232,B708,Games_Raw!$J$2:$J$1232,A708)</ns0:f>
        <ns0:v>2</ns0:v>
      </ns0:c>
      <ns0:c r="E708" t="str">
        <ns0:f>C708&amp;"-"&amp;D708</ns0:f>
        <ns0:v>1-2</ns0:v>
      </ns0:c>
      <ns0:c r="F708">
        <ns0:f>COUNTIFS(Games_Raw!$K$2:$K$1232,"Yes",Games_Raw!$I$2:$I$1232,A708)</ns0:f>
        <ns0:v>36</ns0:v>
      </ns0:c>
      <ns0:c r="G708">
        <ns0:f>COUNTIFS(Games_Raw!$K$2:$K$1232,"Yes",Games_Raw!$J$2:$J$1232,A708)</ns0:f>
        <ns0:v>46</ns0:v>
      </ns0:c>
    </ns0:row>
    <ns0:row r="709">
      <ns0:c r="A709" t="inlineStr">
        <ns0:is>
          <ns0:t>Portland Trail Blazers</ns0:t>
        </ns0:is>
      </ns0:c>
      <ns0:c r="B709" t="inlineStr">
        <ns0:is>
          <ns0:t>Indiana Pacers</ns0:t>
        </ns0:is>
      </ns0:c>
      <ns0:c r="C709">
        <ns0:f>COUNTIFS(Games_Raw!$K$2:$K$1232,"Yes",Games_Raw!$I$2:$I$1232,A709,Games_Raw!$J$2:$J$1232,B709)</ns0:f>
        <ns0:v>1</ns0:v>
      </ns0:c>
      <ns0:c r="D709">
        <ns0:f>COUNTIFS(Games_Raw!$K$2:$K$1232,"Yes",Games_Raw!$I$2:$I$1232,B709,Games_Raw!$J$2:$J$1232,A709)</ns0:f>
        <ns0:v>1</ns0:v>
      </ns0:c>
      <ns0:c r="E709" t="str">
        <ns0:f>C709&amp;"-"&amp;D709</ns0:f>
        <ns0:v>1-1</ns0:v>
      </ns0:c>
      <ns0:c r="F709">
        <ns0:f>COUNTIFS(Games_Raw!$K$2:$K$1232,"Yes",Games_Raw!$I$2:$I$1232,A709)</ns0:f>
        <ns0:v>36</ns0:v>
      </ns0:c>
      <ns0:c r="G709">
        <ns0:f>COUNTIFS(Games_Raw!$K$2:$K$1232,"Yes",Games_Raw!$J$2:$J$1232,A709)</ns0:f>
        <ns0:v>46</ns0:v>
      </ns0:c>
    </ns0:row>
    <ns0:row r="710">
      <ns0:c r="A710" t="inlineStr">
        <ns0:is>
          <ns0:t>Portland Trail Blazers</ns0:t>
        </ns0:is>
      </ns0:c>
      <ns0:c r="B710" t="inlineStr">
        <ns0:is>
          <ns0:t>LA Clippers</ns0:t>
        </ns0:is>
      </ns0:c>
      <ns0:c r="C710">
        <ns0:f>COUNTIFS(Games_Raw!$K$2:$K$1232,"Yes",Games_Raw!$I$2:$I$1232,A710,Games_Raw!$J$2:$J$1232,B710)</ns0:f>
        <ns0:v>1</ns0:v>
      </ns0:c>
      <ns0:c r="D710">
        <ns0:f>COUNTIFS(Games_Raw!$K$2:$K$1232,"Yes",Games_Raw!$I$2:$I$1232,B710,Games_Raw!$J$2:$J$1232,A710)</ns0:f>
        <ns0:v>2</ns0:v>
      </ns0:c>
      <ns0:c r="E710" t="str">
        <ns0:f>C710&amp;"-"&amp;D710</ns0:f>
        <ns0:v>1-2</ns0:v>
      </ns0:c>
      <ns0:c r="F710">
        <ns0:f>COUNTIFS(Games_Raw!$K$2:$K$1232,"Yes",Games_Raw!$I$2:$I$1232,A710)</ns0:f>
        <ns0:v>36</ns0:v>
      </ns0:c>
      <ns0:c r="G710">
        <ns0:f>COUNTIFS(Games_Raw!$K$2:$K$1232,"Yes",Games_Raw!$J$2:$J$1232,A710)</ns0:f>
        <ns0:v>46</ns0:v>
      </ns0:c>
    </ns0:row>
    <ns0:row r="711">
      <ns0:c r="A711" t="inlineStr">
        <ns0:is>
          <ns0:t>Portland Trail Blazers</ns0:t>
        </ns0:is>
      </ns0:c>
      <ns0:c r="B711" t="inlineStr">
        <ns0:is>
          <ns0:t>Los Angeles Lakers</ns0:t>
        </ns0:is>
      </ns0:c>
      <ns0:c r="C711">
        <ns0:f>COUNTIFS(Games_Raw!$K$2:$K$1232,"Yes",Games_Raw!$I$2:$I$1232,A711,Games_Raw!$J$2:$J$1232,B711)</ns0:f>
        <ns0:v>1</ns0:v>
      </ns0:c>
      <ns0:c r="D711">
        <ns0:f>COUNTIFS(Games_Raw!$K$2:$K$1232,"Yes",Games_Raw!$I$2:$I$1232,B711,Games_Raw!$J$2:$J$1232,A711)</ns0:f>
        <ns0:v>3</ns0:v>
      </ns0:c>
      <ns0:c r="E711" t="str">
        <ns0:f>C711&amp;"-"&amp;D711</ns0:f>
        <ns0:v>1-3</ns0:v>
      </ns0:c>
      <ns0:c r="F711">
        <ns0:f>COUNTIFS(Games_Raw!$K$2:$K$1232,"Yes",Games_Raw!$I$2:$I$1232,A711)</ns0:f>
        <ns0:v>36</ns0:v>
      </ns0:c>
      <ns0:c r="G711">
        <ns0:f>COUNTIFS(Games_Raw!$K$2:$K$1232,"Yes",Games_Raw!$J$2:$J$1232,A711)</ns0:f>
        <ns0:v>46</ns0:v>
      </ns0:c>
    </ns0:row>
    <ns0:row r="712">
      <ns0:c r="A712" t="inlineStr">
        <ns0:is>
          <ns0:t>Portland Trail Blazers</ns0:t>
        </ns0:is>
      </ns0:c>
      <ns0:c r="B712" t="inlineStr">
        <ns0:is>
          <ns0:t>Memphis Grizzlies</ns0:t>
        </ns0:is>
      </ns0:c>
      <ns0:c r="C712">
        <ns0:f>COUNTIFS(Games_Raw!$K$2:$K$1232,"Yes",Games_Raw!$I$2:$I$1232,A712,Games_Raw!$J$2:$J$1232,B712)</ns0:f>
        <ns0:v>1</ns0:v>
      </ns0:c>
      <ns0:c r="D712">
        <ns0:f>COUNTIFS(Games_Raw!$K$2:$K$1232,"Yes",Games_Raw!$I$2:$I$1232,B712,Games_Raw!$J$2:$J$1232,A712)</ns0:f>
        <ns0:v>2</ns0:v>
      </ns0:c>
      <ns0:c r="E712" t="str">
        <ns0:f>C712&amp;"-"&amp;D712</ns0:f>
        <ns0:v>1-2</ns0:v>
      </ns0:c>
      <ns0:c r="F712">
        <ns0:f>COUNTIFS(Games_Raw!$K$2:$K$1232,"Yes",Games_Raw!$I$2:$I$1232,A712)</ns0:f>
        <ns0:v>36</ns0:v>
      </ns0:c>
      <ns0:c r="G712">
        <ns0:f>COUNTIFS(Games_Raw!$K$2:$K$1232,"Yes",Games_Raw!$J$2:$J$1232,A712)</ns0:f>
        <ns0:v>46</ns0:v>
      </ns0:c>
    </ns0:row>
    <ns0:row r="713">
      <ns0:c r="A713" t="inlineStr">
        <ns0:is>
          <ns0:t>Portland Trail Blazers</ns0:t>
        </ns0:is>
      </ns0:c>
      <ns0:c r="B713" t="inlineStr">
        <ns0:is>
          <ns0:t>Miami Heat</ns0:t>
        </ns0:is>
      </ns0:c>
      <ns0:c r="C713">
        <ns0:f>COUNTIFS(Games_Raw!$K$2:$K$1232,"Yes",Games_Raw!$I$2:$I$1232,A713,Games_Raw!$J$2:$J$1232,B713)</ns0:f>
        <ns0:v>1</ns0:v>
      </ns0:c>
      <ns0:c r="D713">
        <ns0:f>COUNTIFS(Games_Raw!$K$2:$K$1232,"Yes",Games_Raw!$I$2:$I$1232,B713,Games_Raw!$J$2:$J$1232,A713)</ns0:f>
        <ns0:v>1</ns0:v>
      </ns0:c>
      <ns0:c r="E713" t="str">
        <ns0:f>C713&amp;"-"&amp;D713</ns0:f>
        <ns0:v>1-1</ns0:v>
      </ns0:c>
      <ns0:c r="F713">
        <ns0:f>COUNTIFS(Games_Raw!$K$2:$K$1232,"Yes",Games_Raw!$I$2:$I$1232,A713)</ns0:f>
        <ns0:v>36</ns0:v>
      </ns0:c>
      <ns0:c r="G713">
        <ns0:f>COUNTIFS(Games_Raw!$K$2:$K$1232,"Yes",Games_Raw!$J$2:$J$1232,A713)</ns0:f>
        <ns0:v>46</ns0:v>
      </ns0:c>
    </ns0:row>
    <ns0:row r="714">
      <ns0:c r="A714" t="inlineStr">
        <ns0:is>
          <ns0:t>Portland Trail Blazers</ns0:t>
        </ns0:is>
      </ns0:c>
      <ns0:c r="B714" t="inlineStr">
        <ns0:is>
          <ns0:t>Milwaukee Bucks</ns0:t>
        </ns0:is>
      </ns0:c>
      <ns0:c r="C714">
        <ns0:f>COUNTIFS(Games_Raw!$K$2:$K$1232,"Yes",Games_Raw!$I$2:$I$1232,A714,Games_Raw!$J$2:$J$1232,B714)</ns0:f>
        <ns0:v>2</ns0:v>
      </ns0:c>
      <ns0:c r="D714">
        <ns0:f>COUNTIFS(Games_Raw!$K$2:$K$1232,"Yes",Games_Raw!$I$2:$I$1232,B714,Games_Raw!$J$2:$J$1232,A714)</ns0:f>
        <ns0:v>0</ns0:v>
      </ns0:c>
      <ns0:c r="E714" t="str">
        <ns0:f>C714&amp;"-"&amp;D714</ns0:f>
        <ns0:v>2-0</ns0:v>
      </ns0:c>
      <ns0:c r="F714">
        <ns0:f>COUNTIFS(Games_Raw!$K$2:$K$1232,"Yes",Games_Raw!$I$2:$I$1232,A714)</ns0:f>
        <ns0:v>36</ns0:v>
      </ns0:c>
      <ns0:c r="G714">
        <ns0:f>COUNTIFS(Games_Raw!$K$2:$K$1232,"Yes",Games_Raw!$J$2:$J$1232,A714)</ns0:f>
        <ns0:v>46</ns0:v>
      </ns0:c>
    </ns0:row>
    <ns0:row r="715">
      <ns0:c r="A715" t="inlineStr">
        <ns0:is>
          <ns0:t>Portland Trail Blazers</ns0:t>
        </ns0:is>
      </ns0:c>
      <ns0:c r="B715" t="inlineStr">
        <ns0:is>
          <ns0:t>Minnesota Timberwolves</ns0:t>
        </ns0:is>
      </ns0:c>
      <ns0:c r="C715">
        <ns0:f>COUNTIFS(Games_Raw!$K$2:$K$1232,"Yes",Games_Raw!$I$2:$I$1232,A715,Games_Raw!$J$2:$J$1232,B715)</ns0:f>
        <ns0:v>2</ns0:v>
      </ns0:c>
      <ns0:c r="D715">
        <ns0:f>COUNTIFS(Games_Raw!$K$2:$K$1232,"Yes",Games_Raw!$I$2:$I$1232,B715,Games_Raw!$J$2:$J$1232,A715)</ns0:f>
        <ns0:v>2</ns0:v>
      </ns0:c>
      <ns0:c r="E715" t="str">
        <ns0:f>C715&amp;"-"&amp;D715</ns0:f>
        <ns0:v>2-2</ns0:v>
      </ns0:c>
      <ns0:c r="F715">
        <ns0:f>COUNTIFS(Games_Raw!$K$2:$K$1232,"Yes",Games_Raw!$I$2:$I$1232,A715)</ns0:f>
        <ns0:v>36</ns0:v>
      </ns0:c>
      <ns0:c r="G715">
        <ns0:f>COUNTIFS(Games_Raw!$K$2:$K$1232,"Yes",Games_Raw!$J$2:$J$1232,A715)</ns0:f>
        <ns0:v>46</ns0:v>
      </ns0:c>
    </ns0:row>
    <ns0:row r="716">
      <ns0:c r="A716" t="inlineStr">
        <ns0:is>
          <ns0:t>Portland Trail Blazers</ns0:t>
        </ns0:is>
      </ns0:c>
      <ns0:c r="B716" t="inlineStr">
        <ns0:is>
          <ns0:t>New Orleans Pelicans</ns0:t>
        </ns0:is>
      </ns0:c>
      <ns0:c r="C716">
        <ns0:f>COUNTIFS(Games_Raw!$K$2:$K$1232,"Yes",Games_Raw!$I$2:$I$1232,A716,Games_Raw!$J$2:$J$1232,B716)</ns0:f>
        <ns0:v>3</ns0:v>
      </ns0:c>
      <ns0:c r="D716">
        <ns0:f>COUNTIFS(Games_Raw!$K$2:$K$1232,"Yes",Games_Raw!$I$2:$I$1232,B716,Games_Raw!$J$2:$J$1232,A716)</ns0:f>
        <ns0:v>1</ns0:v>
      </ns0:c>
      <ns0:c r="E716" t="str">
        <ns0:f>C716&amp;"-"&amp;D716</ns0:f>
        <ns0:v>3-1</ns0:v>
      </ns0:c>
      <ns0:c r="F716">
        <ns0:f>COUNTIFS(Games_Raw!$K$2:$K$1232,"Yes",Games_Raw!$I$2:$I$1232,A716)</ns0:f>
        <ns0:v>36</ns0:v>
      </ns0:c>
      <ns0:c r="G716">
        <ns0:f>COUNTIFS(Games_Raw!$K$2:$K$1232,"Yes",Games_Raw!$J$2:$J$1232,A716)</ns0:f>
        <ns0:v>46</ns0:v>
      </ns0:c>
    </ns0:row>
    <ns0:row r="717">
      <ns0:c r="A717" t="inlineStr">
        <ns0:is>
          <ns0:t>Portland Trail Blazers</ns0:t>
        </ns0:is>
      </ns0:c>
      <ns0:c r="B717" t="inlineStr">
        <ns0:is>
          <ns0:t>New York Knicks</ns0:t>
        </ns0:is>
      </ns0:c>
      <ns0:c r="C717">
        <ns0:f>COUNTIFS(Games_Raw!$K$2:$K$1232,"Yes",Games_Raw!$I$2:$I$1232,A717,Games_Raw!$J$2:$J$1232,B717)</ns0:f>
        <ns0:v>0</ns0:v>
      </ns0:c>
      <ns0:c r="D717">
        <ns0:f>COUNTIFS(Games_Raw!$K$2:$K$1232,"Yes",Games_Raw!$I$2:$I$1232,B717,Games_Raw!$J$2:$J$1232,A717)</ns0:f>
        <ns0:v>2</ns0:v>
      </ns0:c>
      <ns0:c r="E717" t="str">
        <ns0:f>C717&amp;"-"&amp;D717</ns0:f>
        <ns0:v>0-2</ns0:v>
      </ns0:c>
      <ns0:c r="F717">
        <ns0:f>COUNTIFS(Games_Raw!$K$2:$K$1232,"Yes",Games_Raw!$I$2:$I$1232,A717)</ns0:f>
        <ns0:v>36</ns0:v>
      </ns0:c>
      <ns0:c r="G717">
        <ns0:f>COUNTIFS(Games_Raw!$K$2:$K$1232,"Yes",Games_Raw!$J$2:$J$1232,A717)</ns0:f>
        <ns0:v>46</ns0:v>
      </ns0:c>
    </ns0:row>
    <ns0:row r="718">
      <ns0:c r="A718" t="inlineStr">
        <ns0:is>
          <ns0:t>Portland Trail Blazers</ns0:t>
        </ns0:is>
      </ns0:c>
      <ns0:c r="B718" t="inlineStr">
        <ns0:is>
          <ns0:t>Oklahoma City Thunder</ns0:t>
        </ns0:is>
      </ns0:c>
      <ns0:c r="C718">
        <ns0:f>COUNTIFS(Games_Raw!$K$2:$K$1232,"Yes",Games_Raw!$I$2:$I$1232,A718,Games_Raw!$J$2:$J$1232,B718)</ns0:f>
        <ns0:v>0</ns0:v>
      </ns0:c>
      <ns0:c r="D718">
        <ns0:f>COUNTIFS(Games_Raw!$K$2:$K$1232,"Yes",Games_Raw!$I$2:$I$1232,B718,Games_Raw!$J$2:$J$1232,A718)</ns0:f>
        <ns0:v>4</ns0:v>
      </ns0:c>
      <ns0:c r="E718" t="str">
        <ns0:f>C718&amp;"-"&amp;D718</ns0:f>
        <ns0:v>0-4</ns0:v>
      </ns0:c>
      <ns0:c r="F718">
        <ns0:f>COUNTIFS(Games_Raw!$K$2:$K$1232,"Yes",Games_Raw!$I$2:$I$1232,A718)</ns0:f>
        <ns0:v>36</ns0:v>
      </ns0:c>
      <ns0:c r="G718">
        <ns0:f>COUNTIFS(Games_Raw!$K$2:$K$1232,"Yes",Games_Raw!$J$2:$J$1232,A718)</ns0:f>
        <ns0:v>46</ns0:v>
      </ns0:c>
    </ns0:row>
    <ns0:row r="719">
      <ns0:c r="A719" t="inlineStr">
        <ns0:is>
          <ns0:t>Portland Trail Blazers</ns0:t>
        </ns0:is>
      </ns0:c>
      <ns0:c r="B719" t="inlineStr">
        <ns0:is>
          <ns0:t>Orlando Magic</ns0:t>
        </ns0:is>
      </ns0:c>
      <ns0:c r="C719">
        <ns0:f>COUNTIFS(Games_Raw!$K$2:$K$1232,"Yes",Games_Raw!$I$2:$I$1232,A719,Games_Raw!$J$2:$J$1232,B719)</ns0:f>
        <ns0:v>2</ns0:v>
      </ns0:c>
      <ns0:c r="D719">
        <ns0:f>COUNTIFS(Games_Raw!$K$2:$K$1232,"Yes",Games_Raw!$I$2:$I$1232,B719,Games_Raw!$J$2:$J$1232,A719)</ns0:f>
        <ns0:v>0</ns0:v>
      </ns0:c>
      <ns0:c r="E719" t="str">
        <ns0:f>C719&amp;"-"&amp;D719</ns0:f>
        <ns0:v>2-0</ns0:v>
      </ns0:c>
      <ns0:c r="F719">
        <ns0:f>COUNTIFS(Games_Raw!$K$2:$K$1232,"Yes",Games_Raw!$I$2:$I$1232,A719)</ns0:f>
        <ns0:v>36</ns0:v>
      </ns0:c>
      <ns0:c r="G719">
        <ns0:f>COUNTIFS(Games_Raw!$K$2:$K$1232,"Yes",Games_Raw!$J$2:$J$1232,A719)</ns0:f>
        <ns0:v>46</ns0:v>
      </ns0:c>
    </ns0:row>
    <ns0:row r="720">
      <ns0:c r="A720" t="inlineStr">
        <ns0:is>
          <ns0:t>Portland Trail Blazers</ns0:t>
        </ns0:is>
      </ns0:c>
      <ns0:c r="B720" t="inlineStr">
        <ns0:is>
          <ns0:t>Philadelphia 76ers</ns0:t>
        </ns0:is>
      </ns0:c>
      <ns0:c r="C720">
        <ns0:f>COUNTIFS(Games_Raw!$K$2:$K$1232,"Yes",Games_Raw!$I$2:$I$1232,A720,Games_Raw!$J$2:$J$1232,B720)</ns0:f>
        <ns0:v>1</ns0:v>
      </ns0:c>
      <ns0:c r="D720">
        <ns0:f>COUNTIFS(Games_Raw!$K$2:$K$1232,"Yes",Games_Raw!$I$2:$I$1232,B720,Games_Raw!$J$2:$J$1232,A720)</ns0:f>
        <ns0:v>1</ns0:v>
      </ns0:c>
      <ns0:c r="E720" t="str">
        <ns0:f>C720&amp;"-"&amp;D720</ns0:f>
        <ns0:v>1-1</ns0:v>
      </ns0:c>
      <ns0:c r="F720">
        <ns0:f>COUNTIFS(Games_Raw!$K$2:$K$1232,"Yes",Games_Raw!$I$2:$I$1232,A720)</ns0:f>
        <ns0:v>36</ns0:v>
      </ns0:c>
      <ns0:c r="G720">
        <ns0:f>COUNTIFS(Games_Raw!$K$2:$K$1232,"Yes",Games_Raw!$J$2:$J$1232,A720)</ns0:f>
        <ns0:v>46</ns0:v>
      </ns0:c>
    </ns0:row>
    <ns0:row r="721">
      <ns0:c r="A721" t="inlineStr">
        <ns0:is>
          <ns0:t>Portland Trail Blazers</ns0:t>
        </ns0:is>
      </ns0:c>
      <ns0:c r="B721" t="inlineStr">
        <ns0:is>
          <ns0:t>Phoenix Suns</ns0:t>
        </ns0:is>
      </ns0:c>
      <ns0:c r="C721">
        <ns0:f>COUNTIFS(Games_Raw!$K$2:$K$1232,"Yes",Games_Raw!$I$2:$I$1232,A721,Games_Raw!$J$2:$J$1232,B721)</ns0:f>
        <ns0:v>2</ns0:v>
      </ns0:c>
      <ns0:c r="D721">
        <ns0:f>COUNTIFS(Games_Raw!$K$2:$K$1232,"Yes",Games_Raw!$I$2:$I$1232,B721,Games_Raw!$J$2:$J$1232,A721)</ns0:f>
        <ns0:v>2</ns0:v>
      </ns0:c>
      <ns0:c r="E721" t="str">
        <ns0:f>C721&amp;"-"&amp;D721</ns0:f>
        <ns0:v>2-2</ns0:v>
      </ns0:c>
      <ns0:c r="F721">
        <ns0:f>COUNTIFS(Games_Raw!$K$2:$K$1232,"Yes",Games_Raw!$I$2:$I$1232,A721)</ns0:f>
        <ns0:v>36</ns0:v>
      </ns0:c>
      <ns0:c r="G721">
        <ns0:f>COUNTIFS(Games_Raw!$K$2:$K$1232,"Yes",Games_Raw!$J$2:$J$1232,A721)</ns0:f>
        <ns0:v>46</ns0:v>
      </ns0:c>
    </ns0:row>
    <ns0:row r="722">
      <ns0:c r="A722" t="inlineStr">
        <ns0:is>
          <ns0:t>Portland Trail Blazers</ns0:t>
        </ns0:is>
      </ns0:c>
      <ns0:c r="B722" t="inlineStr">
        <ns0:is>
          <ns0:t>Sacramento Kings</ns0:t>
        </ns0:is>
      </ns0:c>
      <ns0:c r="C722">
        <ns0:f>COUNTIFS(Games_Raw!$K$2:$K$1232,"Yes",Games_Raw!$I$2:$I$1232,A722,Games_Raw!$J$2:$J$1232,B722)</ns0:f>
        <ns0:v>2</ns0:v>
      </ns0:c>
      <ns0:c r="D722">
        <ns0:f>COUNTIFS(Games_Raw!$K$2:$K$1232,"Yes",Games_Raw!$I$2:$I$1232,B722,Games_Raw!$J$2:$J$1232,A722)</ns0:f>
        <ns0:v>2</ns0:v>
      </ns0:c>
      <ns0:c r="E722" t="str">
        <ns0:f>C722&amp;"-"&amp;D722</ns0:f>
        <ns0:v>2-2</ns0:v>
      </ns0:c>
      <ns0:c r="F722">
        <ns0:f>COUNTIFS(Games_Raw!$K$2:$K$1232,"Yes",Games_Raw!$I$2:$I$1232,A722)</ns0:f>
        <ns0:v>36</ns0:v>
      </ns0:c>
      <ns0:c r="G722">
        <ns0:f>COUNTIFS(Games_Raw!$K$2:$K$1232,"Yes",Games_Raw!$J$2:$J$1232,A722)</ns0:f>
        <ns0:v>46</ns0:v>
      </ns0:c>
    </ns0:row>
    <ns0:row r="723">
      <ns0:c r="A723" t="inlineStr">
        <ns0:is>
          <ns0:t>Portland Trail Blazers</ns0:t>
        </ns0:is>
      </ns0:c>
      <ns0:c r="B723" t="inlineStr">
        <ns0:is>
          <ns0:t>San Antonio Spurs</ns0:t>
        </ns0:is>
      </ns0:c>
      <ns0:c r="C723">
        <ns0:f>COUNTIFS(Games_Raw!$K$2:$K$1232,"Yes",Games_Raw!$I$2:$I$1232,A723,Games_Raw!$J$2:$J$1232,B723)</ns0:f>
        <ns0:v>1</ns0:v>
      </ns0:c>
      <ns0:c r="D723">
        <ns0:f>COUNTIFS(Games_Raw!$K$2:$K$1232,"Yes",Games_Raw!$I$2:$I$1232,B723,Games_Raw!$J$2:$J$1232,A723)</ns0:f>
        <ns0:v>3</ns0:v>
      </ns0:c>
      <ns0:c r="E723" t="str">
        <ns0:f>C723&amp;"-"&amp;D723</ns0:f>
        <ns0:v>1-3</ns0:v>
      </ns0:c>
      <ns0:c r="F723">
        <ns0:f>COUNTIFS(Games_Raw!$K$2:$K$1232,"Yes",Games_Raw!$I$2:$I$1232,A723)</ns0:f>
        <ns0:v>36</ns0:v>
      </ns0:c>
      <ns0:c r="G723">
        <ns0:f>COUNTIFS(Games_Raw!$K$2:$K$1232,"Yes",Games_Raw!$J$2:$J$1232,A723)</ns0:f>
        <ns0:v>46</ns0:v>
      </ns0:c>
    </ns0:row>
    <ns0:row r="724">
      <ns0:c r="A724" t="inlineStr">
        <ns0:is>
          <ns0:t>Portland Trail Blazers</ns0:t>
        </ns0:is>
      </ns0:c>
      <ns0:c r="B724" t="inlineStr">
        <ns0:is>
          <ns0:t>Toronto Raptors</ns0:t>
        </ns0:is>
      </ns0:c>
      <ns0:c r="C724">
        <ns0:f>COUNTIFS(Games_Raw!$K$2:$K$1232,"Yes",Games_Raw!$I$2:$I$1232,A724,Games_Raw!$J$2:$J$1232,B724)</ns0:f>
        <ns0:v>2</ns0:v>
      </ns0:c>
      <ns0:c r="D724">
        <ns0:f>COUNTIFS(Games_Raw!$K$2:$K$1232,"Yes",Games_Raw!$I$2:$I$1232,B724,Games_Raw!$J$2:$J$1232,A724)</ns0:f>
        <ns0:v>0</ns0:v>
      </ns0:c>
      <ns0:c r="E724" t="str">
        <ns0:f>C724&amp;"-"&amp;D724</ns0:f>
        <ns0:v>2-0</ns0:v>
      </ns0:c>
      <ns0:c r="F724">
        <ns0:f>COUNTIFS(Games_Raw!$K$2:$K$1232,"Yes",Games_Raw!$I$2:$I$1232,A724)</ns0:f>
        <ns0:v>36</ns0:v>
      </ns0:c>
      <ns0:c r="G724">
        <ns0:f>COUNTIFS(Games_Raw!$K$2:$K$1232,"Yes",Games_Raw!$J$2:$J$1232,A724)</ns0:f>
        <ns0:v>46</ns0:v>
      </ns0:c>
    </ns0:row>
    <ns0:row r="725">
      <ns0:c r="A725" t="inlineStr">
        <ns0:is>
          <ns0:t>Portland Trail Blazers</ns0:t>
        </ns0:is>
      </ns0:c>
      <ns0:c r="B725" t="inlineStr">
        <ns0:is>
          <ns0:t>Utah Jazz</ns0:t>
        </ns0:is>
      </ns0:c>
      <ns0:c r="C725">
        <ns0:f>COUNTIFS(Games_Raw!$K$2:$K$1232,"Yes",Games_Raw!$I$2:$I$1232,A725,Games_Raw!$J$2:$J$1232,B725)</ns0:f>
        <ns0:v>2</ns0:v>
      </ns0:c>
      <ns0:c r="D725">
        <ns0:f>COUNTIFS(Games_Raw!$K$2:$K$1232,"Yes",Games_Raw!$I$2:$I$1232,B725,Games_Raw!$J$2:$J$1232,A725)</ns0:f>
        <ns0:v>2</ns0:v>
      </ns0:c>
      <ns0:c r="E725" t="str">
        <ns0:f>C725&amp;"-"&amp;D725</ns0:f>
        <ns0:v>2-2</ns0:v>
      </ns0:c>
      <ns0:c r="F725">
        <ns0:f>COUNTIFS(Games_Raw!$K$2:$K$1232,"Yes",Games_Raw!$I$2:$I$1232,A725)</ns0:f>
        <ns0:v>36</ns0:v>
      </ns0:c>
      <ns0:c r="G725">
        <ns0:f>COUNTIFS(Games_Raw!$K$2:$K$1232,"Yes",Games_Raw!$J$2:$J$1232,A725)</ns0:f>
        <ns0:v>46</ns0:v>
      </ns0:c>
    </ns0:row>
    <ns0:row r="726">
      <ns0:c r="A726" t="inlineStr">
        <ns0:is>
          <ns0:t>Portland Trail Blazers</ns0:t>
        </ns0:is>
      </ns0:c>
      <ns0:c r="B726" t="inlineStr">
        <ns0:is>
          <ns0:t>Washington Wizards</ns0:t>
        </ns0:is>
      </ns0:c>
      <ns0:c r="C726">
        <ns0:f>COUNTIFS(Games_Raw!$K$2:$K$1232,"Yes",Games_Raw!$I$2:$I$1232,A726,Games_Raw!$J$2:$J$1232,B726)</ns0:f>
        <ns0:v>2</ns0:v>
      </ns0:c>
      <ns0:c r="D726">
        <ns0:f>COUNTIFS(Games_Raw!$K$2:$K$1232,"Yes",Games_Raw!$I$2:$I$1232,B726,Games_Raw!$J$2:$J$1232,A726)</ns0:f>
        <ns0:v>0</ns0:v>
      </ns0:c>
      <ns0:c r="E726" t="str">
        <ns0:f>C726&amp;"-"&amp;D726</ns0:f>
        <ns0:v>2-0</ns0:v>
      </ns0:c>
      <ns0:c r="F726">
        <ns0:f>COUNTIFS(Games_Raw!$K$2:$K$1232,"Yes",Games_Raw!$I$2:$I$1232,A726)</ns0:f>
        <ns0:v>36</ns0:v>
      </ns0:c>
      <ns0:c r="G726">
        <ns0:f>COUNTIFS(Games_Raw!$K$2:$K$1232,"Yes",Games_Raw!$J$2:$J$1232,A726)</ns0:f>
        <ns0:v>46</ns0:v>
      </ns0:c>
    </ns0:row>
    <ns0:row r="727">
      <ns0:c r="A727" t="inlineStr">
        <ns0:is>
          <ns0:t>Sacramento Kings</ns0:t>
        </ns0:is>
      </ns0:c>
      <ns0:c r="B727" t="inlineStr">
        <ns0:is>
          <ns0:t>Atlanta Hawks</ns0:t>
        </ns0:is>
      </ns0:c>
      <ns0:c r="C727">
        <ns0:f>COUNTIFS(Games_Raw!$K$2:$K$1232,"Yes",Games_Raw!$I$2:$I$1232,A727,Games_Raw!$J$2:$J$1232,B727)</ns0:f>
        <ns0:v>1</ns0:v>
      </ns0:c>
      <ns0:c r="D727">
        <ns0:f>COUNTIFS(Games_Raw!$K$2:$K$1232,"Yes",Games_Raw!$I$2:$I$1232,B727,Games_Raw!$J$2:$J$1232,A727)</ns0:f>
        <ns0:v>1</ns0:v>
      </ns0:c>
      <ns0:c r="E727" t="str">
        <ns0:f>C727&amp;"-"&amp;D727</ns0:f>
        <ns0:v>1-1</ns0:v>
      </ns0:c>
      <ns0:c r="F727">
        <ns0:f>COUNTIFS(Games_Raw!$K$2:$K$1232,"Yes",Games_Raw!$I$2:$I$1232,A727)</ns0:f>
        <ns0:v>40</ns0:v>
      </ns0:c>
      <ns0:c r="G727">
        <ns0:f>COUNTIFS(Games_Raw!$K$2:$K$1232,"Yes",Games_Raw!$J$2:$J$1232,A727)</ns0:f>
        <ns0:v>42</ns0:v>
      </ns0:c>
    </ns0:row>
    <ns0:row r="728">
      <ns0:c r="A728" t="inlineStr">
        <ns0:is>
          <ns0:t>Sacramento Kings</ns0:t>
        </ns0:is>
      </ns0:c>
      <ns0:c r="B728" t="inlineStr">
        <ns0:is>
          <ns0:t>Boston Celtics</ns0:t>
        </ns0:is>
      </ns0:c>
      <ns0:c r="C728">
        <ns0:f>COUNTIFS(Games_Raw!$K$2:$K$1232,"Yes",Games_Raw!$I$2:$I$1232,A728,Games_Raw!$J$2:$J$1232,B728)</ns0:f>
        <ns0:v>1</ns0:v>
      </ns0:c>
      <ns0:c r="D728">
        <ns0:f>COUNTIFS(Games_Raw!$K$2:$K$1232,"Yes",Games_Raw!$I$2:$I$1232,B728,Games_Raw!$J$2:$J$1232,A728)</ns0:f>
        <ns0:v>1</ns0:v>
      </ns0:c>
      <ns0:c r="E728" t="str">
        <ns0:f>C728&amp;"-"&amp;D728</ns0:f>
        <ns0:v>1-1</ns0:v>
      </ns0:c>
      <ns0:c r="F728">
        <ns0:f>COUNTIFS(Games_Raw!$K$2:$K$1232,"Yes",Games_Raw!$I$2:$I$1232,A728)</ns0:f>
        <ns0:v>40</ns0:v>
      </ns0:c>
      <ns0:c r="G728">
        <ns0:f>COUNTIFS(Games_Raw!$K$2:$K$1232,"Yes",Games_Raw!$J$2:$J$1232,A728)</ns0:f>
        <ns0:v>42</ns0:v>
      </ns0:c>
    </ns0:row>
    <ns0:row r="729">
      <ns0:c r="A729" t="inlineStr">
        <ns0:is>
          <ns0:t>Sacramento Kings</ns0:t>
        </ns0:is>
      </ns0:c>
      <ns0:c r="B729" t="inlineStr">
        <ns0:is>
          <ns0:t>Brooklyn Nets</ns0:t>
        </ns0:is>
      </ns0:c>
      <ns0:c r="C729">
        <ns0:f>COUNTIFS(Games_Raw!$K$2:$K$1232,"Yes",Games_Raw!$I$2:$I$1232,A729,Games_Raw!$J$2:$J$1232,B729)</ns0:f>
        <ns0:v>1</ns0:v>
      </ns0:c>
      <ns0:c r="D729">
        <ns0:f>COUNTIFS(Games_Raw!$K$2:$K$1232,"Yes",Games_Raw!$I$2:$I$1232,B729,Games_Raw!$J$2:$J$1232,A729)</ns0:f>
        <ns0:v>1</ns0:v>
      </ns0:c>
      <ns0:c r="E729" t="str">
        <ns0:f>C729&amp;"-"&amp;D729</ns0:f>
        <ns0:v>1-1</ns0:v>
      </ns0:c>
      <ns0:c r="F729">
        <ns0:f>COUNTIFS(Games_Raw!$K$2:$K$1232,"Yes",Games_Raw!$I$2:$I$1232,A729)</ns0:f>
        <ns0:v>40</ns0:v>
      </ns0:c>
      <ns0:c r="G729">
        <ns0:f>COUNTIFS(Games_Raw!$K$2:$K$1232,"Yes",Games_Raw!$J$2:$J$1232,A729)</ns0:f>
        <ns0:v>42</ns0:v>
      </ns0:c>
    </ns0:row>
    <ns0:row r="730">
      <ns0:c r="A730" t="inlineStr">
        <ns0:is>
          <ns0:t>Sacramento Kings</ns0:t>
        </ns0:is>
      </ns0:c>
      <ns0:c r="B730" t="inlineStr">
        <ns0:is>
          <ns0:t>Charlotte Hornets</ns0:t>
        </ns0:is>
      </ns0:c>
      <ns0:c r="C730">
        <ns0:f>COUNTIFS(Games_Raw!$K$2:$K$1232,"Yes",Games_Raw!$I$2:$I$1232,A730,Games_Raw!$J$2:$J$1232,B730)</ns0:f>
        <ns0:v>2</ns0:v>
      </ns0:c>
      <ns0:c r="D730">
        <ns0:f>COUNTIFS(Games_Raw!$K$2:$K$1232,"Yes",Games_Raw!$I$2:$I$1232,B730,Games_Raw!$J$2:$J$1232,A730)</ns0:f>
        <ns0:v>0</ns0:v>
      </ns0:c>
      <ns0:c r="E730" t="str">
        <ns0:f>C730&amp;"-"&amp;D730</ns0:f>
        <ns0:v>2-0</ns0:v>
      </ns0:c>
      <ns0:c r="F730">
        <ns0:f>COUNTIFS(Games_Raw!$K$2:$K$1232,"Yes",Games_Raw!$I$2:$I$1232,A730)</ns0:f>
        <ns0:v>40</ns0:v>
      </ns0:c>
      <ns0:c r="G730">
        <ns0:f>COUNTIFS(Games_Raw!$K$2:$K$1232,"Yes",Games_Raw!$J$2:$J$1232,A730)</ns0:f>
        <ns0:v>42</ns0:v>
      </ns0:c>
    </ns0:row>
    <ns0:row r="731">
      <ns0:c r="A731" t="inlineStr">
        <ns0:is>
          <ns0:t>Sacramento Kings</ns0:t>
        </ns0:is>
      </ns0:c>
      <ns0:c r="B731" t="inlineStr">
        <ns0:is>
          <ns0:t>Chicago Bulls</ns0:t>
        </ns0:is>
      </ns0:c>
      <ns0:c r="C731">
        <ns0:f>COUNTIFS(Games_Raw!$K$2:$K$1232,"Yes",Games_Raw!$I$2:$I$1232,A731,Games_Raw!$J$2:$J$1232,B731)</ns0:f>
        <ns0:v>1</ns0:v>
      </ns0:c>
      <ns0:c r="D731">
        <ns0:f>COUNTIFS(Games_Raw!$K$2:$K$1232,"Yes",Games_Raw!$I$2:$I$1232,B731,Games_Raw!$J$2:$J$1232,A731)</ns0:f>
        <ns0:v>1</ns0:v>
      </ns0:c>
      <ns0:c r="E731" t="str">
        <ns0:f>C731&amp;"-"&amp;D731</ns0:f>
        <ns0:v>1-1</ns0:v>
      </ns0:c>
      <ns0:c r="F731">
        <ns0:f>COUNTIFS(Games_Raw!$K$2:$K$1232,"Yes",Games_Raw!$I$2:$I$1232,A731)</ns0:f>
        <ns0:v>40</ns0:v>
      </ns0:c>
      <ns0:c r="G731">
        <ns0:f>COUNTIFS(Games_Raw!$K$2:$K$1232,"Yes",Games_Raw!$J$2:$J$1232,A731)</ns0:f>
        <ns0:v>42</ns0:v>
      </ns0:c>
    </ns0:row>
    <ns0:row r="732">
      <ns0:c r="A732" t="inlineStr">
        <ns0:is>
          <ns0:t>Sacramento Kings</ns0:t>
        </ns0:is>
      </ns0:c>
      <ns0:c r="B732" t="inlineStr">
        <ns0:is>
          <ns0:t>Cleveland Cavaliers</ns0:t>
        </ns0:is>
      </ns0:c>
      <ns0:c r="C732">
        <ns0:f>COUNTIFS(Games_Raw!$K$2:$K$1232,"Yes",Games_Raw!$I$2:$I$1232,A732,Games_Raw!$J$2:$J$1232,B732)</ns0:f>
        <ns0:v>2</ns0:v>
      </ns0:c>
      <ns0:c r="D732">
        <ns0:f>COUNTIFS(Games_Raw!$K$2:$K$1232,"Yes",Games_Raw!$I$2:$I$1232,B732,Games_Raw!$J$2:$J$1232,A732)</ns0:f>
        <ns0:v>0</ns0:v>
      </ns0:c>
      <ns0:c r="E732" t="str">
        <ns0:f>C732&amp;"-"&amp;D732</ns0:f>
        <ns0:v>2-0</ns0:v>
      </ns0:c>
      <ns0:c r="F732">
        <ns0:f>COUNTIFS(Games_Raw!$K$2:$K$1232,"Yes",Games_Raw!$I$2:$I$1232,A732)</ns0:f>
        <ns0:v>40</ns0:v>
      </ns0:c>
      <ns0:c r="G732">
        <ns0:f>COUNTIFS(Games_Raw!$K$2:$K$1232,"Yes",Games_Raw!$J$2:$J$1232,A732)</ns0:f>
        <ns0:v>42</ns0:v>
      </ns0:c>
    </ns0:row>
    <ns0:row r="733">
      <ns0:c r="A733" t="inlineStr">
        <ns0:is>
          <ns0:t>Sacramento Kings</ns0:t>
        </ns0:is>
      </ns0:c>
      <ns0:c r="B733" t="inlineStr">
        <ns0:is>
          <ns0:t>Dallas Mavericks</ns0:t>
        </ns0:is>
      </ns0:c>
      <ns0:c r="C733">
        <ns0:f>COUNTIFS(Games_Raw!$K$2:$K$1232,"Yes",Games_Raw!$I$2:$I$1232,A733,Games_Raw!$J$2:$J$1232,B733)</ns0:f>
        <ns0:v>3</ns0:v>
      </ns0:c>
      <ns0:c r="D733">
        <ns0:f>COUNTIFS(Games_Raw!$K$2:$K$1232,"Yes",Games_Raw!$I$2:$I$1232,B733,Games_Raw!$J$2:$J$1232,A733)</ns0:f>
        <ns0:v>0</ns0:v>
      </ns0:c>
      <ns0:c r="E733" t="str">
        <ns0:f>C733&amp;"-"&amp;D733</ns0:f>
        <ns0:v>3-0</ns0:v>
      </ns0:c>
      <ns0:c r="F733">
        <ns0:f>COUNTIFS(Games_Raw!$K$2:$K$1232,"Yes",Games_Raw!$I$2:$I$1232,A733)</ns0:f>
        <ns0:v>40</ns0:v>
      </ns0:c>
      <ns0:c r="G733">
        <ns0:f>COUNTIFS(Games_Raw!$K$2:$K$1232,"Yes",Games_Raw!$J$2:$J$1232,A733)</ns0:f>
        <ns0:v>42</ns0:v>
      </ns0:c>
    </ns0:row>
    <ns0:row r="734">
      <ns0:c r="A734" t="inlineStr">
        <ns0:is>
          <ns0:t>Sacramento Kings</ns0:t>
        </ns0:is>
      </ns0:c>
      <ns0:c r="B734" t="inlineStr">
        <ns0:is>
          <ns0:t>Denver Nuggets</ns0:t>
        </ns0:is>
      </ns0:c>
      <ns0:c r="C734">
        <ns0:f>COUNTIFS(Games_Raw!$K$2:$K$1232,"Yes",Games_Raw!$I$2:$I$1232,A734,Games_Raw!$J$2:$J$1232,B734)</ns0:f>
        <ns0:v>0</ns0:v>
      </ns0:c>
      <ns0:c r="D734">
        <ns0:f>COUNTIFS(Games_Raw!$K$2:$K$1232,"Yes",Games_Raw!$I$2:$I$1232,B734,Games_Raw!$J$2:$J$1232,A734)</ns0:f>
        <ns0:v>4</ns0:v>
      </ns0:c>
      <ns0:c r="E734" t="str">
        <ns0:f>C734&amp;"-"&amp;D734</ns0:f>
        <ns0:v>0-4</ns0:v>
      </ns0:c>
      <ns0:c r="F734">
        <ns0:f>COUNTIFS(Games_Raw!$K$2:$K$1232,"Yes",Games_Raw!$I$2:$I$1232,A734)</ns0:f>
        <ns0:v>40</ns0:v>
      </ns0:c>
      <ns0:c r="G734">
        <ns0:f>COUNTIFS(Games_Raw!$K$2:$K$1232,"Yes",Games_Raw!$J$2:$J$1232,A734)</ns0:f>
        <ns0:v>42</ns0:v>
      </ns0:c>
    </ns0:row>
    <ns0:row r="735">
      <ns0:c r="A735" t="inlineStr">
        <ns0:is>
          <ns0:t>Sacramento Kings</ns0:t>
        </ns0:is>
      </ns0:c>
      <ns0:c r="B735" t="inlineStr">
        <ns0:is>
          <ns0:t>Detroit Pistons</ns0:t>
        </ns0:is>
      </ns0:c>
      <ns0:c r="C735">
        <ns0:f>COUNTIFS(Games_Raw!$K$2:$K$1232,"Yes",Games_Raw!$I$2:$I$1232,A735,Games_Raw!$J$2:$J$1232,B735)</ns0:f>
        <ns0:v>1</ns0:v>
      </ns0:c>
      <ns0:c r="D735">
        <ns0:f>COUNTIFS(Games_Raw!$K$2:$K$1232,"Yes",Games_Raw!$I$2:$I$1232,B735,Games_Raw!$J$2:$J$1232,A735)</ns0:f>
        <ns0:v>1</ns0:v>
      </ns0:c>
      <ns0:c r="E735" t="str">
        <ns0:f>C735&amp;"-"&amp;D735</ns0:f>
        <ns0:v>1-1</ns0:v>
      </ns0:c>
      <ns0:c r="F735">
        <ns0:f>COUNTIFS(Games_Raw!$K$2:$K$1232,"Yes",Games_Raw!$I$2:$I$1232,A735)</ns0:f>
        <ns0:v>40</ns0:v>
      </ns0:c>
      <ns0:c r="G735">
        <ns0:f>COUNTIFS(Games_Raw!$K$2:$K$1232,"Yes",Games_Raw!$J$2:$J$1232,A735)</ns0:f>
        <ns0:v>42</ns0:v>
      </ns0:c>
    </ns0:row>
    <ns0:row r="736">
      <ns0:c r="A736" t="inlineStr">
        <ns0:is>
          <ns0:t>Sacramento Kings</ns0:t>
        </ns0:is>
      </ns0:c>
      <ns0:c r="B736" t="inlineStr">
        <ns0:is>
          <ns0:t>Golden State Warriors</ns0:t>
        </ns0:is>
      </ns0:c>
      <ns0:c r="C736">
        <ns0:f>COUNTIFS(Games_Raw!$K$2:$K$1232,"Yes",Games_Raw!$I$2:$I$1232,A736,Games_Raw!$J$2:$J$1232,B736)</ns0:f>
        <ns0:v>2</ns0:v>
      </ns0:c>
      <ns0:c r="D736">
        <ns0:f>COUNTIFS(Games_Raw!$K$2:$K$1232,"Yes",Games_Raw!$I$2:$I$1232,B736,Games_Raw!$J$2:$J$1232,A736)</ns0:f>
        <ns0:v>2</ns0:v>
      </ns0:c>
      <ns0:c r="E736" t="str">
        <ns0:f>C736&amp;"-"&amp;D736</ns0:f>
        <ns0:v>2-2</ns0:v>
      </ns0:c>
      <ns0:c r="F736">
        <ns0:f>COUNTIFS(Games_Raw!$K$2:$K$1232,"Yes",Games_Raw!$I$2:$I$1232,A736)</ns0:f>
        <ns0:v>40</ns0:v>
      </ns0:c>
      <ns0:c r="G736">
        <ns0:f>COUNTIFS(Games_Raw!$K$2:$K$1232,"Yes",Games_Raw!$J$2:$J$1232,A736)</ns0:f>
        <ns0:v>42</ns0:v>
      </ns0:c>
    </ns0:row>
    <ns0:row r="737">
      <ns0:c r="A737" t="inlineStr">
        <ns0:is>
          <ns0:t>Sacramento Kings</ns0:t>
        </ns0:is>
      </ns0:c>
      <ns0:c r="B737" t="inlineStr">
        <ns0:is>
          <ns0:t>Houston Rockets</ns0:t>
        </ns0:is>
      </ns0:c>
      <ns0:c r="C737">
        <ns0:f>COUNTIFS(Games_Raw!$K$2:$K$1232,"Yes",Games_Raw!$I$2:$I$1232,A737,Games_Raw!$J$2:$J$1232,B737)</ns0:f>
        <ns0:v>3</ns0:v>
      </ns0:c>
      <ns0:c r="D737">
        <ns0:f>COUNTIFS(Games_Raw!$K$2:$K$1232,"Yes",Games_Raw!$I$2:$I$1232,B737,Games_Raw!$J$2:$J$1232,A737)</ns0:f>
        <ns0:v>0</ns0:v>
      </ns0:c>
      <ns0:c r="E737" t="str">
        <ns0:f>C737&amp;"-"&amp;D737</ns0:f>
        <ns0:v>3-0</ns0:v>
      </ns0:c>
      <ns0:c r="F737">
        <ns0:f>COUNTIFS(Games_Raw!$K$2:$K$1232,"Yes",Games_Raw!$I$2:$I$1232,A737)</ns0:f>
        <ns0:v>40</ns0:v>
      </ns0:c>
      <ns0:c r="G737">
        <ns0:f>COUNTIFS(Games_Raw!$K$2:$K$1232,"Yes",Games_Raw!$J$2:$J$1232,A737)</ns0:f>
        <ns0:v>42</ns0:v>
      </ns0:c>
    </ns0:row>
    <ns0:row r="738">
      <ns0:c r="A738" t="inlineStr">
        <ns0:is>
          <ns0:t>Sacramento Kings</ns0:t>
        </ns0:is>
      </ns0:c>
      <ns0:c r="B738" t="inlineStr">
        <ns0:is>
          <ns0:t>Indiana Pacers</ns0:t>
        </ns0:is>
      </ns0:c>
      <ns0:c r="C738">
        <ns0:f>COUNTIFS(Games_Raw!$K$2:$K$1232,"Yes",Games_Raw!$I$2:$I$1232,A738,Games_Raw!$J$2:$J$1232,B738)</ns0:f>
        <ns0:v>0</ns0:v>
      </ns0:c>
      <ns0:c r="D738">
        <ns0:f>COUNTIFS(Games_Raw!$K$2:$K$1232,"Yes",Games_Raw!$I$2:$I$1232,B738,Games_Raw!$J$2:$J$1232,A738)</ns0:f>
        <ns0:v>2</ns0:v>
      </ns0:c>
      <ns0:c r="E738" t="str">
        <ns0:f>C738&amp;"-"&amp;D738</ns0:f>
        <ns0:v>0-2</ns0:v>
      </ns0:c>
      <ns0:c r="F738">
        <ns0:f>COUNTIFS(Games_Raw!$K$2:$K$1232,"Yes",Games_Raw!$I$2:$I$1232,A738)</ns0:f>
        <ns0:v>40</ns0:v>
      </ns0:c>
      <ns0:c r="G738">
        <ns0:f>COUNTIFS(Games_Raw!$K$2:$K$1232,"Yes",Games_Raw!$J$2:$J$1232,A738)</ns0:f>
        <ns0:v>42</ns0:v>
      </ns0:c>
    </ns0:row>
    <ns0:row r="739">
      <ns0:c r="A739" t="inlineStr">
        <ns0:is>
          <ns0:t>Sacramento Kings</ns0:t>
        </ns0:is>
      </ns0:c>
      <ns0:c r="B739" t="inlineStr">
        <ns0:is>
          <ns0:t>LA Clippers</ns0:t>
        </ns0:is>
      </ns0:c>
      <ns0:c r="C739">
        <ns0:f>COUNTIFS(Games_Raw!$K$2:$K$1232,"Yes",Games_Raw!$I$2:$I$1232,A739,Games_Raw!$J$2:$J$1232,B739)</ns0:f>
        <ns0:v>0</ns0:v>
      </ns0:c>
      <ns0:c r="D739">
        <ns0:f>COUNTIFS(Games_Raw!$K$2:$K$1232,"Yes",Games_Raw!$I$2:$I$1232,B739,Games_Raw!$J$2:$J$1232,A739)</ns0:f>
        <ns0:v>4</ns0:v>
      </ns0:c>
      <ns0:c r="E739" t="str">
        <ns0:f>C739&amp;"-"&amp;D739</ns0:f>
        <ns0:v>0-4</ns0:v>
      </ns0:c>
      <ns0:c r="F739">
        <ns0:f>COUNTIFS(Games_Raw!$K$2:$K$1232,"Yes",Games_Raw!$I$2:$I$1232,A739)</ns0:f>
        <ns0:v>40</ns0:v>
      </ns0:c>
      <ns0:c r="G739">
        <ns0:f>COUNTIFS(Games_Raw!$K$2:$K$1232,"Yes",Games_Raw!$J$2:$J$1232,A739)</ns0:f>
        <ns0:v>42</ns0:v>
      </ns0:c>
    </ns0:row>
    <ns0:row r="740">
      <ns0:c r="A740" t="inlineStr">
        <ns0:is>
          <ns0:t>Sacramento Kings</ns0:t>
        </ns0:is>
      </ns0:c>
      <ns0:c r="B740" t="inlineStr">
        <ns0:is>
          <ns0:t>Los Angeles Lakers</ns0:t>
        </ns0:is>
      </ns0:c>
      <ns0:c r="C740">
        <ns0:f>COUNTIFS(Games_Raw!$K$2:$K$1232,"Yes",Games_Raw!$I$2:$I$1232,A740,Games_Raw!$J$2:$J$1232,B740)</ns0:f>
        <ns0:v>0</ns0:v>
      </ns0:c>
      <ns0:c r="D740">
        <ns0:f>COUNTIFS(Games_Raw!$K$2:$K$1232,"Yes",Games_Raw!$I$2:$I$1232,B740,Games_Raw!$J$2:$J$1232,A740)</ns0:f>
        <ns0:v>4</ns0:v>
      </ns0:c>
      <ns0:c r="E740" t="str">
        <ns0:f>C740&amp;"-"&amp;D740</ns0:f>
        <ns0:v>0-4</ns0:v>
      </ns0:c>
      <ns0:c r="F740">
        <ns0:f>COUNTIFS(Games_Raw!$K$2:$K$1232,"Yes",Games_Raw!$I$2:$I$1232,A740)</ns0:f>
        <ns0:v>40</ns0:v>
      </ns0:c>
      <ns0:c r="G740">
        <ns0:f>COUNTIFS(Games_Raw!$K$2:$K$1232,"Yes",Games_Raw!$J$2:$J$1232,A740)</ns0:f>
        <ns0:v>42</ns0:v>
      </ns0:c>
    </ns0:row>
    <ns0:row r="741">
      <ns0:c r="A741" t="inlineStr">
        <ns0:is>
          <ns0:t>Sacramento Kings</ns0:t>
        </ns0:is>
      </ns0:c>
      <ns0:c r="B741" t="inlineStr">
        <ns0:is>
          <ns0:t>Memphis Grizzlies</ns0:t>
        </ns0:is>
      </ns0:c>
      <ns0:c r="C741">
        <ns0:f>COUNTIFS(Games_Raw!$K$2:$K$1232,"Yes",Games_Raw!$I$2:$I$1232,A741,Games_Raw!$J$2:$J$1232,B741)</ns0:f>
        <ns0:v>2</ns0:v>
      </ns0:c>
      <ns0:c r="D741">
        <ns0:f>COUNTIFS(Games_Raw!$K$2:$K$1232,"Yes",Games_Raw!$I$2:$I$1232,B741,Games_Raw!$J$2:$J$1232,A741)</ns0:f>
        <ns0:v>1</ns0:v>
      </ns0:c>
      <ns0:c r="E741" t="str">
        <ns0:f>C741&amp;"-"&amp;D741</ns0:f>
        <ns0:v>2-1</ns0:v>
      </ns0:c>
      <ns0:c r="F741">
        <ns0:f>COUNTIFS(Games_Raw!$K$2:$K$1232,"Yes",Games_Raw!$I$2:$I$1232,A741)</ns0:f>
        <ns0:v>40</ns0:v>
      </ns0:c>
      <ns0:c r="G741">
        <ns0:f>COUNTIFS(Games_Raw!$K$2:$K$1232,"Yes",Games_Raw!$J$2:$J$1232,A741)</ns0:f>
        <ns0:v>42</ns0:v>
      </ns0:c>
    </ns0:row>
    <ns0:row r="742">
      <ns0:c r="A742" t="inlineStr">
        <ns0:is>
          <ns0:t>Sacramento Kings</ns0:t>
        </ns0:is>
      </ns0:c>
      <ns0:c r="B742" t="inlineStr">
        <ns0:is>
          <ns0:t>Miami Heat</ns0:t>
        </ns0:is>
      </ns0:c>
      <ns0:c r="C742">
        <ns0:f>COUNTIFS(Games_Raw!$K$2:$K$1232,"Yes",Games_Raw!$I$2:$I$1232,A742,Games_Raw!$J$2:$J$1232,B742)</ns0:f>
        <ns0:v>2</ns0:v>
      </ns0:c>
      <ns0:c r="D742">
        <ns0:f>COUNTIFS(Games_Raw!$K$2:$K$1232,"Yes",Games_Raw!$I$2:$I$1232,B742,Games_Raw!$J$2:$J$1232,A742)</ns0:f>
        <ns0:v>0</ns0:v>
      </ns0:c>
      <ns0:c r="E742" t="str">
        <ns0:f>C742&amp;"-"&amp;D742</ns0:f>
        <ns0:v>2-0</ns0:v>
      </ns0:c>
      <ns0:c r="F742">
        <ns0:f>COUNTIFS(Games_Raw!$K$2:$K$1232,"Yes",Games_Raw!$I$2:$I$1232,A742)</ns0:f>
        <ns0:v>40</ns0:v>
      </ns0:c>
      <ns0:c r="G742">
        <ns0:f>COUNTIFS(Games_Raw!$K$2:$K$1232,"Yes",Games_Raw!$J$2:$J$1232,A742)</ns0:f>
        <ns0:v>42</ns0:v>
      </ns0:c>
    </ns0:row>
    <ns0:row r="743">
      <ns0:c r="A743" t="inlineStr">
        <ns0:is>
          <ns0:t>Sacramento Kings</ns0:t>
        </ns0:is>
      </ns0:c>
      <ns0:c r="B743" t="inlineStr">
        <ns0:is>
          <ns0:t>Milwaukee Bucks</ns0:t>
        </ns0:is>
      </ns0:c>
      <ns0:c r="C743">
        <ns0:f>COUNTIFS(Games_Raw!$K$2:$K$1232,"Yes",Games_Raw!$I$2:$I$1232,A743,Games_Raw!$J$2:$J$1232,B743)</ns0:f>
        <ns0:v>0</ns0:v>
      </ns0:c>
      <ns0:c r="D743">
        <ns0:f>COUNTIFS(Games_Raw!$K$2:$K$1232,"Yes",Games_Raw!$I$2:$I$1232,B743,Games_Raw!$J$2:$J$1232,A743)</ns0:f>
        <ns0:v>2</ns0:v>
      </ns0:c>
      <ns0:c r="E743" t="str">
        <ns0:f>C743&amp;"-"&amp;D743</ns0:f>
        <ns0:v>0-2</ns0:v>
      </ns0:c>
      <ns0:c r="F743">
        <ns0:f>COUNTIFS(Games_Raw!$K$2:$K$1232,"Yes",Games_Raw!$I$2:$I$1232,A743)</ns0:f>
        <ns0:v>40</ns0:v>
      </ns0:c>
      <ns0:c r="G743">
        <ns0:f>COUNTIFS(Games_Raw!$K$2:$K$1232,"Yes",Games_Raw!$J$2:$J$1232,A743)</ns0:f>
        <ns0:v>42</ns0:v>
      </ns0:c>
    </ns0:row>
    <ns0:row r="744">
      <ns0:c r="A744" t="inlineStr">
        <ns0:is>
          <ns0:t>Sacramento Kings</ns0:t>
        </ns0:is>
      </ns0:c>
      <ns0:c r="B744" t="inlineStr">
        <ns0:is>
          <ns0:t>Minnesota Timberwolves</ns0:t>
        </ns0:is>
      </ns0:c>
      <ns0:c r="C744">
        <ns0:f>COUNTIFS(Games_Raw!$K$2:$K$1232,"Yes",Games_Raw!$I$2:$I$1232,A744,Games_Raw!$J$2:$J$1232,B744)</ns0:f>
        <ns0:v>2</ns0:v>
      </ns0:c>
      <ns0:c r="D744">
        <ns0:f>COUNTIFS(Games_Raw!$K$2:$K$1232,"Yes",Games_Raw!$I$2:$I$1232,B744,Games_Raw!$J$2:$J$1232,A744)</ns0:f>
        <ns0:v>2</ns0:v>
      </ns0:c>
      <ns0:c r="E744" t="str">
        <ns0:f>C744&amp;"-"&amp;D744</ns0:f>
        <ns0:v>2-2</ns0:v>
      </ns0:c>
      <ns0:c r="F744">
        <ns0:f>COUNTIFS(Games_Raw!$K$2:$K$1232,"Yes",Games_Raw!$I$2:$I$1232,A744)</ns0:f>
        <ns0:v>40</ns0:v>
      </ns0:c>
      <ns0:c r="G744">
        <ns0:f>COUNTIFS(Games_Raw!$K$2:$K$1232,"Yes",Games_Raw!$J$2:$J$1232,A744)</ns0:f>
        <ns0:v>42</ns0:v>
      </ns0:c>
    </ns0:row>
    <ns0:row r="745">
      <ns0:c r="A745" t="inlineStr">
        <ns0:is>
          <ns0:t>Sacramento Kings</ns0:t>
        </ns0:is>
      </ns0:c>
      <ns0:c r="B745" t="inlineStr">
        <ns0:is>
          <ns0:t>New Orleans Pelicans</ns0:t>
        </ns0:is>
      </ns0:c>
      <ns0:c r="C745">
        <ns0:f>COUNTIFS(Games_Raw!$K$2:$K$1232,"Yes",Games_Raw!$I$2:$I$1232,A745,Games_Raw!$J$2:$J$1232,B745)</ns0:f>
        <ns0:v>3</ns0:v>
      </ns0:c>
      <ns0:c r="D745">
        <ns0:f>COUNTIFS(Games_Raw!$K$2:$K$1232,"Yes",Games_Raw!$I$2:$I$1232,B745,Games_Raw!$J$2:$J$1232,A745)</ns0:f>
        <ns0:v>1</ns0:v>
      </ns0:c>
      <ns0:c r="E745" t="str">
        <ns0:f>C745&amp;"-"&amp;D745</ns0:f>
        <ns0:v>3-1</ns0:v>
      </ns0:c>
      <ns0:c r="F745">
        <ns0:f>COUNTIFS(Games_Raw!$K$2:$K$1232,"Yes",Games_Raw!$I$2:$I$1232,A745)</ns0:f>
        <ns0:v>40</ns0:v>
      </ns0:c>
      <ns0:c r="G745">
        <ns0:f>COUNTIFS(Games_Raw!$K$2:$K$1232,"Yes",Games_Raw!$J$2:$J$1232,A745)</ns0:f>
        <ns0:v>42</ns0:v>
      </ns0:c>
    </ns0:row>
    <ns0:row r="746">
      <ns0:c r="A746" t="inlineStr">
        <ns0:is>
          <ns0:t>Sacramento Kings</ns0:t>
        </ns0:is>
      </ns0:c>
      <ns0:c r="B746" t="inlineStr">
        <ns0:is>
          <ns0:t>New York Knicks</ns0:t>
        </ns0:is>
      </ns0:c>
      <ns0:c r="C746">
        <ns0:f>COUNTIFS(Games_Raw!$K$2:$K$1232,"Yes",Games_Raw!$I$2:$I$1232,A746,Games_Raw!$J$2:$J$1232,B746)</ns0:f>
        <ns0:v>0</ns0:v>
      </ns0:c>
      <ns0:c r="D746">
        <ns0:f>COUNTIFS(Games_Raw!$K$2:$K$1232,"Yes",Games_Raw!$I$2:$I$1232,B746,Games_Raw!$J$2:$J$1232,A746)</ns0:f>
        <ns0:v>2</ns0:v>
      </ns0:c>
      <ns0:c r="E746" t="str">
        <ns0:f>C746&amp;"-"&amp;D746</ns0:f>
        <ns0:v>0-2</ns0:v>
      </ns0:c>
      <ns0:c r="F746">
        <ns0:f>COUNTIFS(Games_Raw!$K$2:$K$1232,"Yes",Games_Raw!$I$2:$I$1232,A746)</ns0:f>
        <ns0:v>40</ns0:v>
      </ns0:c>
      <ns0:c r="G746">
        <ns0:f>COUNTIFS(Games_Raw!$K$2:$K$1232,"Yes",Games_Raw!$J$2:$J$1232,A746)</ns0:f>
        <ns0:v>42</ns0:v>
      </ns0:c>
    </ns0:row>
    <ns0:row r="747">
      <ns0:c r="A747" t="inlineStr">
        <ns0:is>
          <ns0:t>Sacramento Kings</ns0:t>
        </ns0:is>
      </ns0:c>
      <ns0:c r="B747" t="inlineStr">
        <ns0:is>
          <ns0:t>Oklahoma City Thunder</ns0:t>
        </ns0:is>
      </ns0:c>
      <ns0:c r="C747">
        <ns0:f>COUNTIFS(Games_Raw!$K$2:$K$1232,"Yes",Games_Raw!$I$2:$I$1232,A747,Games_Raw!$J$2:$J$1232,B747)</ns0:f>
        <ns0:v>0</ns0:v>
      </ns0:c>
      <ns0:c r="D747">
        <ns0:f>COUNTIFS(Games_Raw!$K$2:$K$1232,"Yes",Games_Raw!$I$2:$I$1232,B747,Games_Raw!$J$2:$J$1232,A747)</ns0:f>
        <ns0:v>3</ns0:v>
      </ns0:c>
      <ns0:c r="E747" t="str">
        <ns0:f>C747&amp;"-"&amp;D747</ns0:f>
        <ns0:v>0-3</ns0:v>
      </ns0:c>
      <ns0:c r="F747">
        <ns0:f>COUNTIFS(Games_Raw!$K$2:$K$1232,"Yes",Games_Raw!$I$2:$I$1232,A747)</ns0:f>
        <ns0:v>40</ns0:v>
      </ns0:c>
      <ns0:c r="G747">
        <ns0:f>COUNTIFS(Games_Raw!$K$2:$K$1232,"Yes",Games_Raw!$J$2:$J$1232,A747)</ns0:f>
        <ns0:v>42</ns0:v>
      </ns0:c>
    </ns0:row>
    <ns0:row r="748">
      <ns0:c r="A748" t="inlineStr">
        <ns0:is>
          <ns0:t>Sacramento Kings</ns0:t>
        </ns0:is>
      </ns0:c>
      <ns0:c r="B748" t="inlineStr">
        <ns0:is>
          <ns0:t>Orlando Magic</ns0:t>
        </ns0:is>
      </ns0:c>
      <ns0:c r="C748">
        <ns0:f>COUNTIFS(Games_Raw!$K$2:$K$1232,"Yes",Games_Raw!$I$2:$I$1232,A748,Games_Raw!$J$2:$J$1232,B748)</ns0:f>
        <ns0:v>0</ns0:v>
      </ns0:c>
      <ns0:c r="D748">
        <ns0:f>COUNTIFS(Games_Raw!$K$2:$K$1232,"Yes",Games_Raw!$I$2:$I$1232,B748,Games_Raw!$J$2:$J$1232,A748)</ns0:f>
        <ns0:v>2</ns0:v>
      </ns0:c>
      <ns0:c r="E748" t="str">
        <ns0:f>C748&amp;"-"&amp;D748</ns0:f>
        <ns0:v>0-2</ns0:v>
      </ns0:c>
      <ns0:c r="F748">
        <ns0:f>COUNTIFS(Games_Raw!$K$2:$K$1232,"Yes",Games_Raw!$I$2:$I$1232,A748)</ns0:f>
        <ns0:v>40</ns0:v>
      </ns0:c>
      <ns0:c r="G748">
        <ns0:f>COUNTIFS(Games_Raw!$K$2:$K$1232,"Yes",Games_Raw!$J$2:$J$1232,A748)</ns0:f>
        <ns0:v>42</ns0:v>
      </ns0:c>
    </ns0:row>
    <ns0:row r="749">
      <ns0:c r="A749" t="inlineStr">
        <ns0:is>
          <ns0:t>Sacramento Kings</ns0:t>
        </ns0:is>
      </ns0:c>
      <ns0:c r="B749" t="inlineStr">
        <ns0:is>
          <ns0:t>Philadelphia 76ers</ns0:t>
        </ns0:is>
      </ns0:c>
      <ns0:c r="C749">
        <ns0:f>COUNTIFS(Games_Raw!$K$2:$K$1232,"Yes",Games_Raw!$I$2:$I$1232,A749,Games_Raw!$J$2:$J$1232,B749)</ns0:f>
        <ns0:v>1</ns0:v>
      </ns0:c>
      <ns0:c r="D749">
        <ns0:f>COUNTIFS(Games_Raw!$K$2:$K$1232,"Yes",Games_Raw!$I$2:$I$1232,B749,Games_Raw!$J$2:$J$1232,A749)</ns0:f>
        <ns0:v>1</ns0:v>
      </ns0:c>
      <ns0:c r="E749" t="str">
        <ns0:f>C749&amp;"-"&amp;D749</ns0:f>
        <ns0:v>1-1</ns0:v>
      </ns0:c>
      <ns0:c r="F749">
        <ns0:f>COUNTIFS(Games_Raw!$K$2:$K$1232,"Yes",Games_Raw!$I$2:$I$1232,A749)</ns0:f>
        <ns0:v>40</ns0:v>
      </ns0:c>
      <ns0:c r="G749">
        <ns0:f>COUNTIFS(Games_Raw!$K$2:$K$1232,"Yes",Games_Raw!$J$2:$J$1232,A749)</ns0:f>
        <ns0:v>42</ns0:v>
      </ns0:c>
    </ns0:row>
    <ns0:row r="750">
      <ns0:c r="A750" t="inlineStr">
        <ns0:is>
          <ns0:t>Sacramento Kings</ns0:t>
        </ns0:is>
      </ns0:c>
      <ns0:c r="B750" t="inlineStr">
        <ns0:is>
          <ns0:t>Phoenix Suns</ns0:t>
        </ns0:is>
      </ns0:c>
      <ns0:c r="C750">
        <ns0:f>COUNTIFS(Games_Raw!$K$2:$K$1232,"Yes",Games_Raw!$I$2:$I$1232,A750,Games_Raw!$J$2:$J$1232,B750)</ns0:f>
        <ns0:v>3</ns0:v>
      </ns0:c>
      <ns0:c r="D750">
        <ns0:f>COUNTIFS(Games_Raw!$K$2:$K$1232,"Yes",Games_Raw!$I$2:$I$1232,B750,Games_Raw!$J$2:$J$1232,A750)</ns0:f>
        <ns0:v>1</ns0:v>
      </ns0:c>
      <ns0:c r="E750" t="str">
        <ns0:f>C750&amp;"-"&amp;D750</ns0:f>
        <ns0:v>3-1</ns0:v>
      </ns0:c>
      <ns0:c r="F750">
        <ns0:f>COUNTIFS(Games_Raw!$K$2:$K$1232,"Yes",Games_Raw!$I$2:$I$1232,A750)</ns0:f>
        <ns0:v>40</ns0:v>
      </ns0:c>
      <ns0:c r="G750">
        <ns0:f>COUNTIFS(Games_Raw!$K$2:$K$1232,"Yes",Games_Raw!$J$2:$J$1232,A750)</ns0:f>
        <ns0:v>42</ns0:v>
      </ns0:c>
    </ns0:row>
    <ns0:row r="751">
      <ns0:c r="A751" t="inlineStr">
        <ns0:is>
          <ns0:t>Sacramento Kings</ns0:t>
        </ns0:is>
      </ns0:c>
      <ns0:c r="B751" t="inlineStr">
        <ns0:is>
          <ns0:t>Portland Trail Blazers</ns0:t>
        </ns0:is>
      </ns0:c>
      <ns0:c r="C751">
        <ns0:f>COUNTIFS(Games_Raw!$K$2:$K$1232,"Yes",Games_Raw!$I$2:$I$1232,A751,Games_Raw!$J$2:$J$1232,B751)</ns0:f>
        <ns0:v>2</ns0:v>
      </ns0:c>
      <ns0:c r="D751">
        <ns0:f>COUNTIFS(Games_Raw!$K$2:$K$1232,"Yes",Games_Raw!$I$2:$I$1232,B751,Games_Raw!$J$2:$J$1232,A751)</ns0:f>
        <ns0:v>2</ns0:v>
      </ns0:c>
      <ns0:c r="E751" t="str">
        <ns0:f>C751&amp;"-"&amp;D751</ns0:f>
        <ns0:v>2-2</ns0:v>
      </ns0:c>
      <ns0:c r="F751">
        <ns0:f>COUNTIFS(Games_Raw!$K$2:$K$1232,"Yes",Games_Raw!$I$2:$I$1232,A751)</ns0:f>
        <ns0:v>40</ns0:v>
      </ns0:c>
      <ns0:c r="G751">
        <ns0:f>COUNTIFS(Games_Raw!$K$2:$K$1232,"Yes",Games_Raw!$J$2:$J$1232,A751)</ns0:f>
        <ns0:v>42</ns0:v>
      </ns0:c>
    </ns0:row>
    <ns0:row r="752">
      <ns0:c r="A752" t="inlineStr">
        <ns0:is>
          <ns0:t>Sacramento Kings</ns0:t>
        </ns0:is>
      </ns0:c>
      <ns0:c r="B752" t="inlineStr">
        <ns0:is>
          <ns0:t>San Antonio Spurs</ns0:t>
        </ns0:is>
      </ns0:c>
      <ns0:c r="C752">
        <ns0:f>COUNTIFS(Games_Raw!$K$2:$K$1232,"Yes",Games_Raw!$I$2:$I$1232,A752,Games_Raw!$J$2:$J$1232,B752)</ns0:f>
        <ns0:v>2</ns0:v>
      </ns0:c>
      <ns0:c r="D752">
        <ns0:f>COUNTIFS(Games_Raw!$K$2:$K$1232,"Yes",Games_Raw!$I$2:$I$1232,B752,Games_Raw!$J$2:$J$1232,A752)</ns0:f>
        <ns0:v>2</ns0:v>
      </ns0:c>
      <ns0:c r="E752" t="str">
        <ns0:f>C752&amp;"-"&amp;D752</ns0:f>
        <ns0:v>2-2</ns0:v>
      </ns0:c>
      <ns0:c r="F752">
        <ns0:f>COUNTIFS(Games_Raw!$K$2:$K$1232,"Yes",Games_Raw!$I$2:$I$1232,A752)</ns0:f>
        <ns0:v>40</ns0:v>
      </ns0:c>
      <ns0:c r="G752">
        <ns0:f>COUNTIFS(Games_Raw!$K$2:$K$1232,"Yes",Games_Raw!$J$2:$J$1232,A752)</ns0:f>
        <ns0:v>42</ns0:v>
      </ns0:c>
    </ns0:row>
    <ns0:row r="753">
      <ns0:c r="A753" t="inlineStr">
        <ns0:is>
          <ns0:t>Sacramento Kings</ns0:t>
        </ns0:is>
      </ns0:c>
      <ns0:c r="B753" t="inlineStr">
        <ns0:is>
          <ns0:t>Toronto Raptors</ns0:t>
        </ns0:is>
      </ns0:c>
      <ns0:c r="C753">
        <ns0:f>COUNTIFS(Games_Raw!$K$2:$K$1232,"Yes",Games_Raw!$I$2:$I$1232,A753,Games_Raw!$J$2:$J$1232,B753)</ns0:f>
        <ns0:v>1</ns0:v>
      </ns0:c>
      <ns0:c r="D753">
        <ns0:f>COUNTIFS(Games_Raw!$K$2:$K$1232,"Yes",Games_Raw!$I$2:$I$1232,B753,Games_Raw!$J$2:$J$1232,A753)</ns0:f>
        <ns0:v>1</ns0:v>
      </ns0:c>
      <ns0:c r="E753" t="str">
        <ns0:f>C753&amp;"-"&amp;D753</ns0:f>
        <ns0:v>1-1</ns0:v>
      </ns0:c>
      <ns0:c r="F753">
        <ns0:f>COUNTIFS(Games_Raw!$K$2:$K$1232,"Yes",Games_Raw!$I$2:$I$1232,A753)</ns0:f>
        <ns0:v>40</ns0:v>
      </ns0:c>
      <ns0:c r="G753">
        <ns0:f>COUNTIFS(Games_Raw!$K$2:$K$1232,"Yes",Games_Raw!$J$2:$J$1232,A753)</ns0:f>
        <ns0:v>42</ns0:v>
      </ns0:c>
    </ns0:row>
    <ns0:row r="754">
      <ns0:c r="A754" t="inlineStr">
        <ns0:is>
          <ns0:t>Sacramento Kings</ns0:t>
        </ns0:is>
      </ns0:c>
      <ns0:c r="B754" t="inlineStr">
        <ns0:is>
          <ns0:t>Utah Jazz</ns0:t>
        </ns0:is>
      </ns0:c>
      <ns0:c r="C754">
        <ns0:f>COUNTIFS(Games_Raw!$K$2:$K$1232,"Yes",Games_Raw!$I$2:$I$1232,A754,Games_Raw!$J$2:$J$1232,B754)</ns0:f>
        <ns0:v>4</ns0:v>
      </ns0:c>
      <ns0:c r="D754">
        <ns0:f>COUNTIFS(Games_Raw!$K$2:$K$1232,"Yes",Games_Raw!$I$2:$I$1232,B754,Games_Raw!$J$2:$J$1232,A754)</ns0:f>
        <ns0:v>0</ns0:v>
      </ns0:c>
      <ns0:c r="E754" t="str">
        <ns0:f>C754&amp;"-"&amp;D754</ns0:f>
        <ns0:v>4-0</ns0:v>
      </ns0:c>
      <ns0:c r="F754">
        <ns0:f>COUNTIFS(Games_Raw!$K$2:$K$1232,"Yes",Games_Raw!$I$2:$I$1232,A754)</ns0:f>
        <ns0:v>40</ns0:v>
      </ns0:c>
      <ns0:c r="G754">
        <ns0:f>COUNTIFS(Games_Raw!$K$2:$K$1232,"Yes",Games_Raw!$J$2:$J$1232,A754)</ns0:f>
        <ns0:v>42</ns0:v>
      </ns0:c>
    </ns0:row>
    <ns0:row r="755">
      <ns0:c r="A755" t="inlineStr">
        <ns0:is>
          <ns0:t>Sacramento Kings</ns0:t>
        </ns0:is>
      </ns0:c>
      <ns0:c r="B755" t="inlineStr">
        <ns0:is>
          <ns0:t>Washington Wizards</ns0:t>
        </ns0:is>
      </ns0:c>
      <ns0:c r="C755">
        <ns0:f>COUNTIFS(Games_Raw!$K$2:$K$1232,"Yes",Games_Raw!$I$2:$I$1232,A755,Games_Raw!$J$2:$J$1232,B755)</ns0:f>
        <ns0:v>1</ns0:v>
      </ns0:c>
      <ns0:c r="D755">
        <ns0:f>COUNTIFS(Games_Raw!$K$2:$K$1232,"Yes",Games_Raw!$I$2:$I$1232,B755,Games_Raw!$J$2:$J$1232,A755)</ns0:f>
        <ns0:v>1</ns0:v>
      </ns0:c>
      <ns0:c r="E755" t="str">
        <ns0:f>C755&amp;"-"&amp;D755</ns0:f>
        <ns0:v>1-1</ns0:v>
      </ns0:c>
      <ns0:c r="F755">
        <ns0:f>COUNTIFS(Games_Raw!$K$2:$K$1232,"Yes",Games_Raw!$I$2:$I$1232,A755)</ns0:f>
        <ns0:v>40</ns0:v>
      </ns0:c>
      <ns0:c r="G755">
        <ns0:f>COUNTIFS(Games_Raw!$K$2:$K$1232,"Yes",Games_Raw!$J$2:$J$1232,A755)</ns0:f>
        <ns0:v>42</ns0:v>
      </ns0:c>
    </ns0:row>
    <ns0:row r="756">
      <ns0:c r="A756" t="inlineStr">
        <ns0:is>
          <ns0:t>San Antonio Spurs</ns0:t>
        </ns0:is>
      </ns0:c>
      <ns0:c r="B756" t="inlineStr">
        <ns0:is>
          <ns0:t>Atlanta Hawks</ns0:t>
        </ns0:is>
      </ns0:c>
      <ns0:c r="C756">
        <ns0:f>COUNTIFS(Games_Raw!$K$2:$K$1232,"Yes",Games_Raw!$I$2:$I$1232,A756,Games_Raw!$J$2:$J$1232,B756)</ns0:f>
        <ns0:v>2</ns0:v>
      </ns0:c>
      <ns0:c r="D756">
        <ns0:f>COUNTIFS(Games_Raw!$K$2:$K$1232,"Yes",Games_Raw!$I$2:$I$1232,B756,Games_Raw!$J$2:$J$1232,A756)</ns0:f>
        <ns0:v>0</ns0:v>
      </ns0:c>
      <ns0:c r="E756" t="str">
        <ns0:f>C756&amp;"-"&amp;D756</ns0:f>
        <ns0:v>2-0</ns0:v>
      </ns0:c>
      <ns0:c r="F756">
        <ns0:f>COUNTIFS(Games_Raw!$K$2:$K$1232,"Yes",Games_Raw!$I$2:$I$1232,A756)</ns0:f>
        <ns0:v>34</ns0:v>
      </ns0:c>
      <ns0:c r="G756">
        <ns0:f>COUNTIFS(Games_Raw!$K$2:$K$1232,"Yes",Games_Raw!$J$2:$J$1232,A756)</ns0:f>
        <ns0:v>48</ns0:v>
      </ns0:c>
    </ns0:row>
    <ns0:row r="757">
      <ns0:c r="A757" t="inlineStr">
        <ns0:is>
          <ns0:t>San Antonio Spurs</ns0:t>
        </ns0:is>
      </ns0:c>
      <ns0:c r="B757" t="inlineStr">
        <ns0:is>
          <ns0:t>Boston Celtics</ns0:t>
        </ns0:is>
      </ns0:c>
      <ns0:c r="C757">
        <ns0:f>COUNTIFS(Games_Raw!$K$2:$K$1232,"Yes",Games_Raw!$I$2:$I$1232,A757,Games_Raw!$J$2:$J$1232,B757)</ns0:f>
        <ns0:v>0</ns0:v>
      </ns0:c>
      <ns0:c r="D757">
        <ns0:f>COUNTIFS(Games_Raw!$K$2:$K$1232,"Yes",Games_Raw!$I$2:$I$1232,B757,Games_Raw!$J$2:$J$1232,A757)</ns0:f>
        <ns0:v>2</ns0:v>
      </ns0:c>
      <ns0:c r="E757" t="str">
        <ns0:f>C757&amp;"-"&amp;D757</ns0:f>
        <ns0:v>0-2</ns0:v>
      </ns0:c>
      <ns0:c r="F757">
        <ns0:f>COUNTIFS(Games_Raw!$K$2:$K$1232,"Yes",Games_Raw!$I$2:$I$1232,A757)</ns0:f>
        <ns0:v>34</ns0:v>
      </ns0:c>
      <ns0:c r="G757">
        <ns0:f>COUNTIFS(Games_Raw!$K$2:$K$1232,"Yes",Games_Raw!$J$2:$J$1232,A757)</ns0:f>
        <ns0:v>48</ns0:v>
      </ns0:c>
    </ns0:row>
    <ns0:row r="758">
      <ns0:c r="A758" t="inlineStr">
        <ns0:is>
          <ns0:t>San Antonio Spurs</ns0:t>
        </ns0:is>
      </ns0:c>
      <ns0:c r="B758" t="inlineStr">
        <ns0:is>
          <ns0:t>Brooklyn Nets</ns0:t>
        </ns0:is>
      </ns0:c>
      <ns0:c r="C758">
        <ns0:f>COUNTIFS(Games_Raw!$K$2:$K$1232,"Yes",Games_Raw!$I$2:$I$1232,A758,Games_Raw!$J$2:$J$1232,B758)</ns0:f>
        <ns0:v>2</ns0:v>
      </ns0:c>
      <ns0:c r="D758">
        <ns0:f>COUNTIFS(Games_Raw!$K$2:$K$1232,"Yes",Games_Raw!$I$2:$I$1232,B758,Games_Raw!$J$2:$J$1232,A758)</ns0:f>
        <ns0:v>0</ns0:v>
      </ns0:c>
      <ns0:c r="E758" t="str">
        <ns0:f>C758&amp;"-"&amp;D758</ns0:f>
        <ns0:v>2-0</ns0:v>
      </ns0:c>
      <ns0:c r="F758">
        <ns0:f>COUNTIFS(Games_Raw!$K$2:$K$1232,"Yes",Games_Raw!$I$2:$I$1232,A758)</ns0:f>
        <ns0:v>34</ns0:v>
      </ns0:c>
      <ns0:c r="G758">
        <ns0:f>COUNTIFS(Games_Raw!$K$2:$K$1232,"Yes",Games_Raw!$J$2:$J$1232,A758)</ns0:f>
        <ns0:v>48</ns0:v>
      </ns0:c>
    </ns0:row>
    <ns0:row r="759">
      <ns0:c r="A759" t="inlineStr">
        <ns0:is>
          <ns0:t>San Antonio Spurs</ns0:t>
        </ns0:is>
      </ns0:c>
      <ns0:c r="B759" t="inlineStr">
        <ns0:is>
          <ns0:t>Charlotte Hornets</ns0:t>
        </ns0:is>
      </ns0:c>
      <ns0:c r="C759">
        <ns0:f>COUNTIFS(Games_Raw!$K$2:$K$1232,"Yes",Games_Raw!$I$2:$I$1232,A759,Games_Raw!$J$2:$J$1232,B759)</ns0:f>
        <ns0:v>0</ns0:v>
      </ns0:c>
      <ns0:c r="D759">
        <ns0:f>COUNTIFS(Games_Raw!$K$2:$K$1232,"Yes",Games_Raw!$I$2:$I$1232,B759,Games_Raw!$J$2:$J$1232,A759)</ns0:f>
        <ns0:v>2</ns0:v>
      </ns0:c>
      <ns0:c r="E759" t="str">
        <ns0:f>C759&amp;"-"&amp;D759</ns0:f>
        <ns0:v>0-2</ns0:v>
      </ns0:c>
      <ns0:c r="F759">
        <ns0:f>COUNTIFS(Games_Raw!$K$2:$K$1232,"Yes",Games_Raw!$I$2:$I$1232,A759)</ns0:f>
        <ns0:v>34</ns0:v>
      </ns0:c>
      <ns0:c r="G759">
        <ns0:f>COUNTIFS(Games_Raw!$K$2:$K$1232,"Yes",Games_Raw!$J$2:$J$1232,A759)</ns0:f>
        <ns0:v>48</ns0:v>
      </ns0:c>
    </ns0:row>
    <ns0:row r="760">
      <ns0:c r="A760" t="inlineStr">
        <ns0:is>
          <ns0:t>San Antonio Spurs</ns0:t>
        </ns0:is>
      </ns0:c>
      <ns0:c r="B760" t="inlineStr">
        <ns0:is>
          <ns0:t>Chicago Bulls</ns0:t>
        </ns0:is>
      </ns0:c>
      <ns0:c r="C760">
        <ns0:f>COUNTIFS(Games_Raw!$K$2:$K$1232,"Yes",Games_Raw!$I$2:$I$1232,A760,Games_Raw!$J$2:$J$1232,B760)</ns0:f>
        <ns0:v>0</ns0:v>
      </ns0:c>
      <ns0:c r="D760">
        <ns0:f>COUNTIFS(Games_Raw!$K$2:$K$1232,"Yes",Games_Raw!$I$2:$I$1232,B760,Games_Raw!$J$2:$J$1232,A760)</ns0:f>
        <ns0:v>2</ns0:v>
      </ns0:c>
      <ns0:c r="E760" t="str">
        <ns0:f>C760&amp;"-"&amp;D760</ns0:f>
        <ns0:v>0-2</ns0:v>
      </ns0:c>
      <ns0:c r="F760">
        <ns0:f>COUNTIFS(Games_Raw!$K$2:$K$1232,"Yes",Games_Raw!$I$2:$I$1232,A760)</ns0:f>
        <ns0:v>34</ns0:v>
      </ns0:c>
      <ns0:c r="G760">
        <ns0:f>COUNTIFS(Games_Raw!$K$2:$K$1232,"Yes",Games_Raw!$J$2:$J$1232,A760)</ns0:f>
        <ns0:v>48</ns0:v>
      </ns0:c>
    </ns0:row>
    <ns0:row r="761">
      <ns0:c r="A761" t="inlineStr">
        <ns0:is>
          <ns0:t>San Antonio Spurs</ns0:t>
        </ns0:is>
      </ns0:c>
      <ns0:c r="B761" t="inlineStr">
        <ns0:is>
          <ns0:t>Cleveland Cavaliers</ns0:t>
        </ns0:is>
      </ns0:c>
      <ns0:c r="C761">
        <ns0:f>COUNTIFS(Games_Raw!$K$2:$K$1232,"Yes",Games_Raw!$I$2:$I$1232,A761,Games_Raw!$J$2:$J$1232,B761)</ns0:f>
        <ns0:v>0</ns0:v>
      </ns0:c>
      <ns0:c r="D761">
        <ns0:f>COUNTIFS(Games_Raw!$K$2:$K$1232,"Yes",Games_Raw!$I$2:$I$1232,B761,Games_Raw!$J$2:$J$1232,A761)</ns0:f>
        <ns0:v>2</ns0:v>
      </ns0:c>
      <ns0:c r="E761" t="str">
        <ns0:f>C761&amp;"-"&amp;D761</ns0:f>
        <ns0:v>0-2</ns0:v>
      </ns0:c>
      <ns0:c r="F761">
        <ns0:f>COUNTIFS(Games_Raw!$K$2:$K$1232,"Yes",Games_Raw!$I$2:$I$1232,A761)</ns0:f>
        <ns0:v>34</ns0:v>
      </ns0:c>
      <ns0:c r="G761">
        <ns0:f>COUNTIFS(Games_Raw!$K$2:$K$1232,"Yes",Games_Raw!$J$2:$J$1232,A761)</ns0:f>
        <ns0:v>48</ns0:v>
      </ns0:c>
    </ns0:row>
    <ns0:row r="762">
      <ns0:c r="A762" t="inlineStr">
        <ns0:is>
          <ns0:t>San Antonio Spurs</ns0:t>
        </ns0:is>
      </ns0:c>
      <ns0:c r="B762" t="inlineStr">
        <ns0:is>
          <ns0:t>Dallas Mavericks</ns0:t>
        </ns0:is>
      </ns0:c>
      <ns0:c r="C762">
        <ns0:f>COUNTIFS(Games_Raw!$K$2:$K$1232,"Yes",Games_Raw!$I$2:$I$1232,A762,Games_Raw!$J$2:$J$1232,B762)</ns0:f>
        <ns0:v>1</ns0:v>
      </ns0:c>
      <ns0:c r="D762">
        <ns0:f>COUNTIFS(Games_Raw!$K$2:$K$1232,"Yes",Games_Raw!$I$2:$I$1232,B762,Games_Raw!$J$2:$J$1232,A762)</ns0:f>
        <ns0:v>3</ns0:v>
      </ns0:c>
      <ns0:c r="E762" t="str">
        <ns0:f>C762&amp;"-"&amp;D762</ns0:f>
        <ns0:v>1-3</ns0:v>
      </ns0:c>
      <ns0:c r="F762">
        <ns0:f>COUNTIFS(Games_Raw!$K$2:$K$1232,"Yes",Games_Raw!$I$2:$I$1232,A762)</ns0:f>
        <ns0:v>34</ns0:v>
      </ns0:c>
      <ns0:c r="G762">
        <ns0:f>COUNTIFS(Games_Raw!$K$2:$K$1232,"Yes",Games_Raw!$J$2:$J$1232,A762)</ns0:f>
        <ns0:v>48</ns0:v>
      </ns0:c>
    </ns0:row>
    <ns0:row r="763">
      <ns0:c r="A763" t="inlineStr">
        <ns0:is>
          <ns0:t>San Antonio Spurs</ns0:t>
        </ns0:is>
      </ns0:c>
      <ns0:c r="B763" t="inlineStr">
        <ns0:is>
          <ns0:t>Denver Nuggets</ns0:t>
        </ns0:is>
      </ns0:c>
      <ns0:c r="C763">
        <ns0:f>COUNTIFS(Games_Raw!$K$2:$K$1232,"Yes",Games_Raw!$I$2:$I$1232,A763,Games_Raw!$J$2:$J$1232,B763)</ns0:f>
        <ns0:v>2</ns0:v>
      </ns0:c>
      <ns0:c r="D763">
        <ns0:f>COUNTIFS(Games_Raw!$K$2:$K$1232,"Yes",Games_Raw!$I$2:$I$1232,B763,Games_Raw!$J$2:$J$1232,A763)</ns0:f>
        <ns0:v>1</ns0:v>
      </ns0:c>
      <ns0:c r="E763" t="str">
        <ns0:f>C763&amp;"-"&amp;D763</ns0:f>
        <ns0:v>2-1</ns0:v>
      </ns0:c>
      <ns0:c r="F763">
        <ns0:f>COUNTIFS(Games_Raw!$K$2:$K$1232,"Yes",Games_Raw!$I$2:$I$1232,A763)</ns0:f>
        <ns0:v>34</ns0:v>
      </ns0:c>
      <ns0:c r="G763">
        <ns0:f>COUNTIFS(Games_Raw!$K$2:$K$1232,"Yes",Games_Raw!$J$2:$J$1232,A763)</ns0:f>
        <ns0:v>48</ns0:v>
      </ns0:c>
    </ns0:row>
    <ns0:row r="764">
      <ns0:c r="A764" t="inlineStr">
        <ns0:is>
          <ns0:t>San Antonio Spurs</ns0:t>
        </ns0:is>
      </ns0:c>
      <ns0:c r="B764" t="inlineStr">
        <ns0:is>
          <ns0:t>Detroit Pistons</ns0:t>
        </ns0:is>
      </ns0:c>
      <ns0:c r="C764">
        <ns0:f>COUNTIFS(Games_Raw!$K$2:$K$1232,"Yes",Games_Raw!$I$2:$I$1232,A764,Games_Raw!$J$2:$J$1232,B764)</ns0:f>
        <ns0:v>0</ns0:v>
      </ns0:c>
      <ns0:c r="D764">
        <ns0:f>COUNTIFS(Games_Raw!$K$2:$K$1232,"Yes",Games_Raw!$I$2:$I$1232,B764,Games_Raw!$J$2:$J$1232,A764)</ns0:f>
        <ns0:v>2</ns0:v>
      </ns0:c>
      <ns0:c r="E764" t="str">
        <ns0:f>C764&amp;"-"&amp;D764</ns0:f>
        <ns0:v>0-2</ns0:v>
      </ns0:c>
      <ns0:c r="F764">
        <ns0:f>COUNTIFS(Games_Raw!$K$2:$K$1232,"Yes",Games_Raw!$I$2:$I$1232,A764)</ns0:f>
        <ns0:v>34</ns0:v>
      </ns0:c>
      <ns0:c r="G764">
        <ns0:f>COUNTIFS(Games_Raw!$K$2:$K$1232,"Yes",Games_Raw!$J$2:$J$1232,A764)</ns0:f>
        <ns0:v>48</ns0:v>
      </ns0:c>
    </ns0:row>
    <ns0:row r="765">
      <ns0:c r="A765" t="inlineStr">
        <ns0:is>
          <ns0:t>San Antonio Spurs</ns0:t>
        </ns0:is>
      </ns0:c>
      <ns0:c r="B765" t="inlineStr">
        <ns0:is>
          <ns0:t>Golden State Warriors</ns0:t>
        </ns0:is>
      </ns0:c>
      <ns0:c r="C765">
        <ns0:f>COUNTIFS(Games_Raw!$K$2:$K$1232,"Yes",Games_Raw!$I$2:$I$1232,A765,Games_Raw!$J$2:$J$1232,B765)</ns0:f>
        <ns0:v>2</ns0:v>
      </ns0:c>
      <ns0:c r="D765">
        <ns0:f>COUNTIFS(Games_Raw!$K$2:$K$1232,"Yes",Games_Raw!$I$2:$I$1232,B765,Games_Raw!$J$2:$J$1232,A765)</ns0:f>
        <ns0:v>1</ns0:v>
      </ns0:c>
      <ns0:c r="E765" t="str">
        <ns0:f>C765&amp;"-"&amp;D765</ns0:f>
        <ns0:v>2-1</ns0:v>
      </ns0:c>
      <ns0:c r="F765">
        <ns0:f>COUNTIFS(Games_Raw!$K$2:$K$1232,"Yes",Games_Raw!$I$2:$I$1232,A765)</ns0:f>
        <ns0:v>34</ns0:v>
      </ns0:c>
      <ns0:c r="G765">
        <ns0:f>COUNTIFS(Games_Raw!$K$2:$K$1232,"Yes",Games_Raw!$J$2:$J$1232,A765)</ns0:f>
        <ns0:v>48</ns0:v>
      </ns0:c>
    </ns0:row>
    <ns0:row r="766">
      <ns0:c r="A766" t="inlineStr">
        <ns0:is>
          <ns0:t>San Antonio Spurs</ns0:t>
        </ns0:is>
      </ns0:c>
      <ns0:c r="B766" t="inlineStr">
        <ns0:is>
          <ns0:t>Houston Rockets</ns0:t>
        </ns0:is>
      </ns0:c>
      <ns0:c r="C766">
        <ns0:f>COUNTIFS(Games_Raw!$K$2:$K$1232,"Yes",Games_Raw!$I$2:$I$1232,A766,Games_Raw!$J$2:$J$1232,B766)</ns0:f>
        <ns0:v>1</ns0:v>
      </ns0:c>
      <ns0:c r="D766">
        <ns0:f>COUNTIFS(Games_Raw!$K$2:$K$1232,"Yes",Games_Raw!$I$2:$I$1232,B766,Games_Raw!$J$2:$J$1232,A766)</ns0:f>
        <ns0:v>3</ns0:v>
      </ns0:c>
      <ns0:c r="E766" t="str">
        <ns0:f>C766&amp;"-"&amp;D766</ns0:f>
        <ns0:v>1-3</ns0:v>
      </ns0:c>
      <ns0:c r="F766">
        <ns0:f>COUNTIFS(Games_Raw!$K$2:$K$1232,"Yes",Games_Raw!$I$2:$I$1232,A766)</ns0:f>
        <ns0:v>34</ns0:v>
      </ns0:c>
      <ns0:c r="G766">
        <ns0:f>COUNTIFS(Games_Raw!$K$2:$K$1232,"Yes",Games_Raw!$J$2:$J$1232,A766)</ns0:f>
        <ns0:v>48</ns0:v>
      </ns0:c>
    </ns0:row>
    <ns0:row r="767">
      <ns0:c r="A767" t="inlineStr">
        <ns0:is>
          <ns0:t>San Antonio Spurs</ns0:t>
        </ns0:is>
      </ns0:c>
      <ns0:c r="B767" t="inlineStr">
        <ns0:is>
          <ns0:t>Indiana Pacers</ns0:t>
        </ns0:is>
      </ns0:c>
      <ns0:c r="C767">
        <ns0:f>COUNTIFS(Games_Raw!$K$2:$K$1232,"Yes",Games_Raw!$I$2:$I$1232,A767,Games_Raw!$J$2:$J$1232,B767)</ns0:f>
        <ns0:v>1</ns0:v>
      </ns0:c>
      <ns0:c r="D767">
        <ns0:f>COUNTIFS(Games_Raw!$K$2:$K$1232,"Yes",Games_Raw!$I$2:$I$1232,B767,Games_Raw!$J$2:$J$1232,A767)</ns0:f>
        <ns0:v>1</ns0:v>
      </ns0:c>
      <ns0:c r="E767" t="str">
        <ns0:f>C767&amp;"-"&amp;D767</ns0:f>
        <ns0:v>1-1</ns0:v>
      </ns0:c>
      <ns0:c r="F767">
        <ns0:f>COUNTIFS(Games_Raw!$K$2:$K$1232,"Yes",Games_Raw!$I$2:$I$1232,A767)</ns0:f>
        <ns0:v>34</ns0:v>
      </ns0:c>
      <ns0:c r="G767">
        <ns0:f>COUNTIFS(Games_Raw!$K$2:$K$1232,"Yes",Games_Raw!$J$2:$J$1232,A767)</ns0:f>
        <ns0:v>48</ns0:v>
      </ns0:c>
    </ns0:row>
    <ns0:row r="768">
      <ns0:c r="A768" t="inlineStr">
        <ns0:is>
          <ns0:t>San Antonio Spurs</ns0:t>
        </ns0:is>
      </ns0:c>
      <ns0:c r="B768" t="inlineStr">
        <ns0:is>
          <ns0:t>LA Clippers</ns0:t>
        </ns0:is>
      </ns0:c>
      <ns0:c r="C768">
        <ns0:f>COUNTIFS(Games_Raw!$K$2:$K$1232,"Yes",Games_Raw!$I$2:$I$1232,A768,Games_Raw!$J$2:$J$1232,B768)</ns0:f>
        <ns0:v>1</ns0:v>
      </ns0:c>
      <ns0:c r="D768">
        <ns0:f>COUNTIFS(Games_Raw!$K$2:$K$1232,"Yes",Games_Raw!$I$2:$I$1232,B768,Games_Raw!$J$2:$J$1232,A768)</ns0:f>
        <ns0:v>3</ns0:v>
      </ns0:c>
      <ns0:c r="E768" t="str">
        <ns0:f>C768&amp;"-"&amp;D768</ns0:f>
        <ns0:v>1-3</ns0:v>
      </ns0:c>
      <ns0:c r="F768">
        <ns0:f>COUNTIFS(Games_Raw!$K$2:$K$1232,"Yes",Games_Raw!$I$2:$I$1232,A768)</ns0:f>
        <ns0:v>34</ns0:v>
      </ns0:c>
      <ns0:c r="G768">
        <ns0:f>COUNTIFS(Games_Raw!$K$2:$K$1232,"Yes",Games_Raw!$J$2:$J$1232,A768)</ns0:f>
        <ns0:v>48</ns0:v>
      </ns0:c>
    </ns0:row>
    <ns0:row r="769">
      <ns0:c r="A769" t="inlineStr">
        <ns0:is>
          <ns0:t>San Antonio Spurs</ns0:t>
        </ns0:is>
      </ns0:c>
      <ns0:c r="B769" t="inlineStr">
        <ns0:is>
          <ns0:t>Los Angeles Lakers</ns0:t>
        </ns0:is>
      </ns0:c>
      <ns0:c r="C769">
        <ns0:f>COUNTIFS(Games_Raw!$K$2:$K$1232,"Yes",Games_Raw!$I$2:$I$1232,A769,Games_Raw!$J$2:$J$1232,B769)</ns0:f>
        <ns0:v>1</ns0:v>
      </ns0:c>
      <ns0:c r="D769">
        <ns0:f>COUNTIFS(Games_Raw!$K$2:$K$1232,"Yes",Games_Raw!$I$2:$I$1232,B769,Games_Raw!$J$2:$J$1232,A769)</ns0:f>
        <ns0:v>3</ns0:v>
      </ns0:c>
      <ns0:c r="E769" t="str">
        <ns0:f>C769&amp;"-"&amp;D769</ns0:f>
        <ns0:v>1-3</ns0:v>
      </ns0:c>
      <ns0:c r="F769">
        <ns0:f>COUNTIFS(Games_Raw!$K$2:$K$1232,"Yes",Games_Raw!$I$2:$I$1232,A769)</ns0:f>
        <ns0:v>34</ns0:v>
      </ns0:c>
      <ns0:c r="G769">
        <ns0:f>COUNTIFS(Games_Raw!$K$2:$K$1232,"Yes",Games_Raw!$J$2:$J$1232,A769)</ns0:f>
        <ns0:v>48</ns0:v>
      </ns0:c>
    </ns0:row>
    <ns0:row r="770">
      <ns0:c r="A770" t="inlineStr">
        <ns0:is>
          <ns0:t>San Antonio Spurs</ns0:t>
        </ns0:is>
      </ns0:c>
      <ns0:c r="B770" t="inlineStr">
        <ns0:is>
          <ns0:t>Memphis Grizzlies</ns0:t>
        </ns0:is>
      </ns0:c>
      <ns0:c r="C770">
        <ns0:f>COUNTIFS(Games_Raw!$K$2:$K$1232,"Yes",Games_Raw!$I$2:$I$1232,A770,Games_Raw!$J$2:$J$1232,B770)</ns0:f>
        <ns0:v>1</ns0:v>
      </ns0:c>
      <ns0:c r="D770">
        <ns0:f>COUNTIFS(Games_Raw!$K$2:$K$1232,"Yes",Games_Raw!$I$2:$I$1232,B770,Games_Raw!$J$2:$J$1232,A770)</ns0:f>
        <ns0:v>3</ns0:v>
      </ns0:c>
      <ns0:c r="E770" t="str">
        <ns0:f>C770&amp;"-"&amp;D770</ns0:f>
        <ns0:v>1-3</ns0:v>
      </ns0:c>
      <ns0:c r="F770">
        <ns0:f>COUNTIFS(Games_Raw!$K$2:$K$1232,"Yes",Games_Raw!$I$2:$I$1232,A770)</ns0:f>
        <ns0:v>34</ns0:v>
      </ns0:c>
      <ns0:c r="G770">
        <ns0:f>COUNTIFS(Games_Raw!$K$2:$K$1232,"Yes",Games_Raw!$J$2:$J$1232,A770)</ns0:f>
        <ns0:v>48</ns0:v>
      </ns0:c>
    </ns0:row>
    <ns0:row r="771">
      <ns0:c r="A771" t="inlineStr">
        <ns0:is>
          <ns0:t>San Antonio Spurs</ns0:t>
        </ns0:is>
      </ns0:c>
      <ns0:c r="B771" t="inlineStr">
        <ns0:is>
          <ns0:t>Miami Heat</ns0:t>
        </ns0:is>
      </ns0:c>
      <ns0:c r="C771">
        <ns0:f>COUNTIFS(Games_Raw!$K$2:$K$1232,"Yes",Games_Raw!$I$2:$I$1232,A771,Games_Raw!$J$2:$J$1232,B771)</ns0:f>
        <ns0:v>0</ns0:v>
      </ns0:c>
      <ns0:c r="D771">
        <ns0:f>COUNTIFS(Games_Raw!$K$2:$K$1232,"Yes",Games_Raw!$I$2:$I$1232,B771,Games_Raw!$J$2:$J$1232,A771)</ns0:f>
        <ns0:v>2</ns0:v>
      </ns0:c>
      <ns0:c r="E771" t="str">
        <ns0:f>C771&amp;"-"&amp;D771</ns0:f>
        <ns0:v>0-2</ns0:v>
      </ns0:c>
      <ns0:c r="F771">
        <ns0:f>COUNTIFS(Games_Raw!$K$2:$K$1232,"Yes",Games_Raw!$I$2:$I$1232,A771)</ns0:f>
        <ns0:v>34</ns0:v>
      </ns0:c>
      <ns0:c r="G771">
        <ns0:f>COUNTIFS(Games_Raw!$K$2:$K$1232,"Yes",Games_Raw!$J$2:$J$1232,A771)</ns0:f>
        <ns0:v>48</ns0:v>
      </ns0:c>
    </ns0:row>
    <ns0:row r="772">
      <ns0:c r="A772" t="inlineStr">
        <ns0:is>
          <ns0:t>San Antonio Spurs</ns0:t>
        </ns0:is>
      </ns0:c>
      <ns0:c r="B772" t="inlineStr">
        <ns0:is>
          <ns0:t>Milwaukee Bucks</ns0:t>
        </ns0:is>
      </ns0:c>
      <ns0:c r="C772">
        <ns0:f>COUNTIFS(Games_Raw!$K$2:$K$1232,"Yes",Games_Raw!$I$2:$I$1232,A772,Games_Raw!$J$2:$J$1232,B772)</ns0:f>
        <ns0:v>1</ns0:v>
      </ns0:c>
      <ns0:c r="D772">
        <ns0:f>COUNTIFS(Games_Raw!$K$2:$K$1232,"Yes",Games_Raw!$I$2:$I$1232,B772,Games_Raw!$J$2:$J$1232,A772)</ns0:f>
        <ns0:v>1</ns0:v>
      </ns0:c>
      <ns0:c r="E772" t="str">
        <ns0:f>C772&amp;"-"&amp;D772</ns0:f>
        <ns0:v>1-1</ns0:v>
      </ns0:c>
      <ns0:c r="F772">
        <ns0:f>COUNTIFS(Games_Raw!$K$2:$K$1232,"Yes",Games_Raw!$I$2:$I$1232,A772)</ns0:f>
        <ns0:v>34</ns0:v>
      </ns0:c>
      <ns0:c r="G772">
        <ns0:f>COUNTIFS(Games_Raw!$K$2:$K$1232,"Yes",Games_Raw!$J$2:$J$1232,A772)</ns0:f>
        <ns0:v>48</ns0:v>
      </ns0:c>
    </ns0:row>
    <ns0:row r="773">
      <ns0:c r="A773" t="inlineStr">
        <ns0:is>
          <ns0:t>San Antonio Spurs</ns0:t>
        </ns0:is>
      </ns0:c>
      <ns0:c r="B773" t="inlineStr">
        <ns0:is>
          <ns0:t>Minnesota Timberwolves</ns0:t>
        </ns0:is>
      </ns0:c>
      <ns0:c r="C773">
        <ns0:f>COUNTIFS(Games_Raw!$K$2:$K$1232,"Yes",Games_Raw!$I$2:$I$1232,A773,Games_Raw!$J$2:$J$1232,B773)</ns0:f>
        <ns0:v>1</ns0:v>
      </ns0:c>
      <ns0:c r="D773">
        <ns0:f>COUNTIFS(Games_Raw!$K$2:$K$1232,"Yes",Games_Raw!$I$2:$I$1232,B773,Games_Raw!$J$2:$J$1232,A773)</ns0:f>
        <ns0:v>3</ns0:v>
      </ns0:c>
      <ns0:c r="E773" t="str">
        <ns0:f>C773&amp;"-"&amp;D773</ns0:f>
        <ns0:v>1-3</ns0:v>
      </ns0:c>
      <ns0:c r="F773">
        <ns0:f>COUNTIFS(Games_Raw!$K$2:$K$1232,"Yes",Games_Raw!$I$2:$I$1232,A773)</ns0:f>
        <ns0:v>34</ns0:v>
      </ns0:c>
      <ns0:c r="G773">
        <ns0:f>COUNTIFS(Games_Raw!$K$2:$K$1232,"Yes",Games_Raw!$J$2:$J$1232,A773)</ns0:f>
        <ns0:v>48</ns0:v>
      </ns0:c>
    </ns0:row>
    <ns0:row r="774">
      <ns0:c r="A774" t="inlineStr">
        <ns0:is>
          <ns0:t>San Antonio Spurs</ns0:t>
        </ns0:is>
      </ns0:c>
      <ns0:c r="B774" t="inlineStr">
        <ns0:is>
          <ns0:t>New Orleans Pelicans</ns0:t>
        </ns0:is>
      </ns0:c>
      <ns0:c r="C774">
        <ns0:f>COUNTIFS(Games_Raw!$K$2:$K$1232,"Yes",Games_Raw!$I$2:$I$1232,A774,Games_Raw!$J$2:$J$1232,B774)</ns0:f>
        <ns0:v>2</ns0:v>
      </ns0:c>
      <ns0:c r="D774">
        <ns0:f>COUNTIFS(Games_Raw!$K$2:$K$1232,"Yes",Games_Raw!$I$2:$I$1232,B774,Games_Raw!$J$2:$J$1232,A774)</ns0:f>
        <ns0:v>2</ns0:v>
      </ns0:c>
      <ns0:c r="E774" t="str">
        <ns0:f>C774&amp;"-"&amp;D774</ns0:f>
        <ns0:v>2-2</ns0:v>
      </ns0:c>
      <ns0:c r="F774">
        <ns0:f>COUNTIFS(Games_Raw!$K$2:$K$1232,"Yes",Games_Raw!$I$2:$I$1232,A774)</ns0:f>
        <ns0:v>34</ns0:v>
      </ns0:c>
      <ns0:c r="G774">
        <ns0:f>COUNTIFS(Games_Raw!$K$2:$K$1232,"Yes",Games_Raw!$J$2:$J$1232,A774)</ns0:f>
        <ns0:v>48</ns0:v>
      </ns0:c>
    </ns0:row>
    <ns0:row r="775">
      <ns0:c r="A775" t="inlineStr">
        <ns0:is>
          <ns0:t>San Antonio Spurs</ns0:t>
        </ns0:is>
      </ns0:c>
      <ns0:c r="B775" t="inlineStr">
        <ns0:is>
          <ns0:t>New York Knicks</ns0:t>
        </ns0:is>
      </ns0:c>
      <ns0:c r="C775">
        <ns0:f>COUNTIFS(Games_Raw!$K$2:$K$1232,"Yes",Games_Raw!$I$2:$I$1232,A775,Games_Raw!$J$2:$J$1232,B775)</ns0:f>
        <ns0:v>1</ns0:v>
      </ns0:c>
      <ns0:c r="D775">
        <ns0:f>COUNTIFS(Games_Raw!$K$2:$K$1232,"Yes",Games_Raw!$I$2:$I$1232,B775,Games_Raw!$J$2:$J$1232,A775)</ns0:f>
        <ns0:v>1</ns0:v>
      </ns0:c>
      <ns0:c r="E775" t="str">
        <ns0:f>C775&amp;"-"&amp;D775</ns0:f>
        <ns0:v>1-1</ns0:v>
      </ns0:c>
      <ns0:c r="F775">
        <ns0:f>COUNTIFS(Games_Raw!$K$2:$K$1232,"Yes",Games_Raw!$I$2:$I$1232,A775)</ns0:f>
        <ns0:v>34</ns0:v>
      </ns0:c>
      <ns0:c r="G775">
        <ns0:f>COUNTIFS(Games_Raw!$K$2:$K$1232,"Yes",Games_Raw!$J$2:$J$1232,A775)</ns0:f>
        <ns0:v>48</ns0:v>
      </ns0:c>
    </ns0:row>
    <ns0:row r="776">
      <ns0:c r="A776" t="inlineStr">
        <ns0:is>
          <ns0:t>San Antonio Spurs</ns0:t>
        </ns0:is>
      </ns0:c>
      <ns0:c r="B776" t="inlineStr">
        <ns0:is>
          <ns0:t>Oklahoma City Thunder</ns0:t>
        </ns0:is>
      </ns0:c>
      <ns0:c r="C776">
        <ns0:f>COUNTIFS(Games_Raw!$K$2:$K$1232,"Yes",Games_Raw!$I$2:$I$1232,A776,Games_Raw!$J$2:$J$1232,B776)</ns0:f>
        <ns0:v>1</ns0:v>
      </ns0:c>
      <ns0:c r="D776">
        <ns0:f>COUNTIFS(Games_Raw!$K$2:$K$1232,"Yes",Games_Raw!$I$2:$I$1232,B776,Games_Raw!$J$2:$J$1232,A776)</ns0:f>
        <ns0:v>2</ns0:v>
      </ns0:c>
      <ns0:c r="E776" t="str">
        <ns0:f>C776&amp;"-"&amp;D776</ns0:f>
        <ns0:v>1-2</ns0:v>
      </ns0:c>
      <ns0:c r="F776">
        <ns0:f>COUNTIFS(Games_Raw!$K$2:$K$1232,"Yes",Games_Raw!$I$2:$I$1232,A776)</ns0:f>
        <ns0:v>34</ns0:v>
      </ns0:c>
      <ns0:c r="G776">
        <ns0:f>COUNTIFS(Games_Raw!$K$2:$K$1232,"Yes",Games_Raw!$J$2:$J$1232,A776)</ns0:f>
        <ns0:v>48</ns0:v>
      </ns0:c>
    </ns0:row>
    <ns0:row r="777">
      <ns0:c r="A777" t="inlineStr">
        <ns0:is>
          <ns0:t>San Antonio Spurs</ns0:t>
        </ns0:is>
      </ns0:c>
      <ns0:c r="B777" t="inlineStr">
        <ns0:is>
          <ns0:t>Orlando Magic</ns0:t>
        </ns0:is>
      </ns0:c>
      <ns0:c r="C777">
        <ns0:f>COUNTIFS(Games_Raw!$K$2:$K$1232,"Yes",Games_Raw!$I$2:$I$1232,A777,Games_Raw!$J$2:$J$1232,B777)</ns0:f>
        <ns0:v>0</ns0:v>
      </ns0:c>
      <ns0:c r="D777">
        <ns0:f>COUNTIFS(Games_Raw!$K$2:$K$1232,"Yes",Games_Raw!$I$2:$I$1232,B777,Games_Raw!$J$2:$J$1232,A777)</ns0:f>
        <ns0:v>2</ns0:v>
      </ns0:c>
      <ns0:c r="E777" t="str">
        <ns0:f>C777&amp;"-"&amp;D777</ns0:f>
        <ns0:v>0-2</ns0:v>
      </ns0:c>
      <ns0:c r="F777">
        <ns0:f>COUNTIFS(Games_Raw!$K$2:$K$1232,"Yes",Games_Raw!$I$2:$I$1232,A777)</ns0:f>
        <ns0:v>34</ns0:v>
      </ns0:c>
      <ns0:c r="G777">
        <ns0:f>COUNTIFS(Games_Raw!$K$2:$K$1232,"Yes",Games_Raw!$J$2:$J$1232,A777)</ns0:f>
        <ns0:v>48</ns0:v>
      </ns0:c>
    </ns0:row>
    <ns0:row r="778">
      <ns0:c r="A778" t="inlineStr">
        <ns0:is>
          <ns0:t>San Antonio Spurs</ns0:t>
        </ns0:is>
      </ns0:c>
      <ns0:c r="B778" t="inlineStr">
        <ns0:is>
          <ns0:t>Philadelphia 76ers</ns0:t>
        </ns0:is>
      </ns0:c>
      <ns0:c r="C778">
        <ns0:f>COUNTIFS(Games_Raw!$K$2:$K$1232,"Yes",Games_Raw!$I$2:$I$1232,A778,Games_Raw!$J$2:$J$1232,B778)</ns0:f>
        <ns0:v>1</ns0:v>
      </ns0:c>
      <ns0:c r="D778">
        <ns0:f>COUNTIFS(Games_Raw!$K$2:$K$1232,"Yes",Games_Raw!$I$2:$I$1232,B778,Games_Raw!$J$2:$J$1232,A778)</ns0:f>
        <ns0:v>1</ns0:v>
      </ns0:c>
      <ns0:c r="E778" t="str">
        <ns0:f>C778&amp;"-"&amp;D778</ns0:f>
        <ns0:v>1-1</ns0:v>
      </ns0:c>
      <ns0:c r="F778">
        <ns0:f>COUNTIFS(Games_Raw!$K$2:$K$1232,"Yes",Games_Raw!$I$2:$I$1232,A778)</ns0:f>
        <ns0:v>34</ns0:v>
      </ns0:c>
      <ns0:c r="G778">
        <ns0:f>COUNTIFS(Games_Raw!$K$2:$K$1232,"Yes",Games_Raw!$J$2:$J$1232,A778)</ns0:f>
        <ns0:v>48</ns0:v>
      </ns0:c>
    </ns0:row>
    <ns0:row r="779">
      <ns0:c r="A779" t="inlineStr">
        <ns0:is>
          <ns0:t>San Antonio Spurs</ns0:t>
        </ns0:is>
      </ns0:c>
      <ns0:c r="B779" t="inlineStr">
        <ns0:is>
          <ns0:t>Phoenix Suns</ns0:t>
        </ns0:is>
      </ns0:c>
      <ns0:c r="C779">
        <ns0:f>COUNTIFS(Games_Raw!$K$2:$K$1232,"Yes",Games_Raw!$I$2:$I$1232,A779,Games_Raw!$J$2:$J$1232,B779)</ns0:f>
        <ns0:v>1</ns0:v>
      </ns0:c>
      <ns0:c r="D779">
        <ns0:f>COUNTIFS(Games_Raw!$K$2:$K$1232,"Yes",Games_Raw!$I$2:$I$1232,B779,Games_Raw!$J$2:$J$1232,A779)</ns0:f>
        <ns0:v>2</ns0:v>
      </ns0:c>
      <ns0:c r="E779" t="str">
        <ns0:f>C779&amp;"-"&amp;D779</ns0:f>
        <ns0:v>1-2</ns0:v>
      </ns0:c>
      <ns0:c r="F779">
        <ns0:f>COUNTIFS(Games_Raw!$K$2:$K$1232,"Yes",Games_Raw!$I$2:$I$1232,A779)</ns0:f>
        <ns0:v>34</ns0:v>
      </ns0:c>
      <ns0:c r="G779">
        <ns0:f>COUNTIFS(Games_Raw!$K$2:$K$1232,"Yes",Games_Raw!$J$2:$J$1232,A779)</ns0:f>
        <ns0:v>48</ns0:v>
      </ns0:c>
    </ns0:row>
    <ns0:row r="780">
      <ns0:c r="A780" t="inlineStr">
        <ns0:is>
          <ns0:t>San Antonio Spurs</ns0:t>
        </ns0:is>
      </ns0:c>
      <ns0:c r="B780" t="inlineStr">
        <ns0:is>
          <ns0:t>Portland Trail Blazers</ns0:t>
        </ns0:is>
      </ns0:c>
      <ns0:c r="C780">
        <ns0:f>COUNTIFS(Games_Raw!$K$2:$K$1232,"Yes",Games_Raw!$I$2:$I$1232,A780,Games_Raw!$J$2:$J$1232,B780)</ns0:f>
        <ns0:v>3</ns0:v>
      </ns0:c>
      <ns0:c r="D780">
        <ns0:f>COUNTIFS(Games_Raw!$K$2:$K$1232,"Yes",Games_Raw!$I$2:$I$1232,B780,Games_Raw!$J$2:$J$1232,A780)</ns0:f>
        <ns0:v>1</ns0:v>
      </ns0:c>
      <ns0:c r="E780" t="str">
        <ns0:f>C780&amp;"-"&amp;D780</ns0:f>
        <ns0:v>3-1</ns0:v>
      </ns0:c>
      <ns0:c r="F780">
        <ns0:f>COUNTIFS(Games_Raw!$K$2:$K$1232,"Yes",Games_Raw!$I$2:$I$1232,A780)</ns0:f>
        <ns0:v>34</ns0:v>
      </ns0:c>
      <ns0:c r="G780">
        <ns0:f>COUNTIFS(Games_Raw!$K$2:$K$1232,"Yes",Games_Raw!$J$2:$J$1232,A780)</ns0:f>
        <ns0:v>48</ns0:v>
      </ns0:c>
    </ns0:row>
    <ns0:row r="781">
      <ns0:c r="A781" t="inlineStr">
        <ns0:is>
          <ns0:t>San Antonio Spurs</ns0:t>
        </ns0:is>
      </ns0:c>
      <ns0:c r="B781" t="inlineStr">
        <ns0:is>
          <ns0:t>Sacramento Kings</ns0:t>
        </ns0:is>
      </ns0:c>
      <ns0:c r="C781">
        <ns0:f>COUNTIFS(Games_Raw!$K$2:$K$1232,"Yes",Games_Raw!$I$2:$I$1232,A781,Games_Raw!$J$2:$J$1232,B781)</ns0:f>
        <ns0:v>2</ns0:v>
      </ns0:c>
      <ns0:c r="D781">
        <ns0:f>COUNTIFS(Games_Raw!$K$2:$K$1232,"Yes",Games_Raw!$I$2:$I$1232,B781,Games_Raw!$J$2:$J$1232,A781)</ns0:f>
        <ns0:v>2</ns0:v>
      </ns0:c>
      <ns0:c r="E781" t="str">
        <ns0:f>C781&amp;"-"&amp;D781</ns0:f>
        <ns0:v>2-2</ns0:v>
      </ns0:c>
      <ns0:c r="F781">
        <ns0:f>COUNTIFS(Games_Raw!$K$2:$K$1232,"Yes",Games_Raw!$I$2:$I$1232,A781)</ns0:f>
        <ns0:v>34</ns0:v>
      </ns0:c>
      <ns0:c r="G781">
        <ns0:f>COUNTIFS(Games_Raw!$K$2:$K$1232,"Yes",Games_Raw!$J$2:$J$1232,A781)</ns0:f>
        <ns0:v>48</ns0:v>
      </ns0:c>
    </ns0:row>
    <ns0:row r="782">
      <ns0:c r="A782" t="inlineStr">
        <ns0:is>
          <ns0:t>San Antonio Spurs</ns0:t>
        </ns0:is>
      </ns0:c>
      <ns0:c r="B782" t="inlineStr">
        <ns0:is>
          <ns0:t>Toronto Raptors</ns0:t>
        </ns0:is>
      </ns0:c>
      <ns0:c r="C782">
        <ns0:f>COUNTIFS(Games_Raw!$K$2:$K$1232,"Yes",Games_Raw!$I$2:$I$1232,A782,Games_Raw!$J$2:$J$1232,B782)</ns0:f>
        <ns0:v>2</ns0:v>
      </ns0:c>
      <ns0:c r="D782">
        <ns0:f>COUNTIFS(Games_Raw!$K$2:$K$1232,"Yes",Games_Raw!$I$2:$I$1232,B782,Games_Raw!$J$2:$J$1232,A782)</ns0:f>
        <ns0:v>0</ns0:v>
      </ns0:c>
      <ns0:c r="E782" t="str">
        <ns0:f>C782&amp;"-"&amp;D782</ns0:f>
        <ns0:v>2-0</ns0:v>
      </ns0:c>
      <ns0:c r="F782">
        <ns0:f>COUNTIFS(Games_Raw!$K$2:$K$1232,"Yes",Games_Raw!$I$2:$I$1232,A782)</ns0:f>
        <ns0:v>34</ns0:v>
      </ns0:c>
      <ns0:c r="G782">
        <ns0:f>COUNTIFS(Games_Raw!$K$2:$K$1232,"Yes",Games_Raw!$J$2:$J$1232,A782)</ns0:f>
        <ns0:v>48</ns0:v>
      </ns0:c>
    </ns0:row>
    <ns0:row r="783">
      <ns0:c r="A783" t="inlineStr">
        <ns0:is>
          <ns0:t>San Antonio Spurs</ns0:t>
        </ns0:is>
      </ns0:c>
      <ns0:c r="B783" t="inlineStr">
        <ns0:is>
          <ns0:t>Utah Jazz</ns0:t>
        </ns0:is>
      </ns0:c>
      <ns0:c r="C783">
        <ns0:f>COUNTIFS(Games_Raw!$K$2:$K$1232,"Yes",Games_Raw!$I$2:$I$1232,A783,Games_Raw!$J$2:$J$1232,B783)</ns0:f>
        <ns0:v>3</ns0:v>
      </ns0:c>
      <ns0:c r="D783">
        <ns0:f>COUNTIFS(Games_Raw!$K$2:$K$1232,"Yes",Games_Raw!$I$2:$I$1232,B783,Games_Raw!$J$2:$J$1232,A783)</ns0:f>
        <ns0:v>1</ns0:v>
      </ns0:c>
      <ns0:c r="E783" t="str">
        <ns0:f>C783&amp;"-"&amp;D783</ns0:f>
        <ns0:v>3-1</ns0:v>
      </ns0:c>
      <ns0:c r="F783">
        <ns0:f>COUNTIFS(Games_Raw!$K$2:$K$1232,"Yes",Games_Raw!$I$2:$I$1232,A783)</ns0:f>
        <ns0:v>34</ns0:v>
      </ns0:c>
      <ns0:c r="G783">
        <ns0:f>COUNTIFS(Games_Raw!$K$2:$K$1232,"Yes",Games_Raw!$J$2:$J$1232,A783)</ns0:f>
        <ns0:v>48</ns0:v>
      </ns0:c>
    </ns0:row>
    <ns0:row r="784">
      <ns0:c r="A784" t="inlineStr">
        <ns0:is>
          <ns0:t>San Antonio Spurs</ns0:t>
        </ns0:is>
      </ns0:c>
      <ns0:c r="B784" t="inlineStr">
        <ns0:is>
          <ns0:t>Washington Wizards</ns0:t>
        </ns0:is>
      </ns0:c>
      <ns0:c r="C784">
        <ns0:f>COUNTIFS(Games_Raw!$K$2:$K$1232,"Yes",Games_Raw!$I$2:$I$1232,A784,Games_Raw!$J$2:$J$1232,B784)</ns0:f>
        <ns0:v>2</ns0:v>
      </ns0:c>
      <ns0:c r="D784">
        <ns0:f>COUNTIFS(Games_Raw!$K$2:$K$1232,"Yes",Games_Raw!$I$2:$I$1232,B784,Games_Raw!$J$2:$J$1232,A784)</ns0:f>
        <ns0:v>0</ns0:v>
      </ns0:c>
      <ns0:c r="E784" t="str">
        <ns0:f>C784&amp;"-"&amp;D784</ns0:f>
        <ns0:v>2-0</ns0:v>
      </ns0:c>
      <ns0:c r="F784">
        <ns0:f>COUNTIFS(Games_Raw!$K$2:$K$1232,"Yes",Games_Raw!$I$2:$I$1232,A784)</ns0:f>
        <ns0:v>34</ns0:v>
      </ns0:c>
      <ns0:c r="G784">
        <ns0:f>COUNTIFS(Games_Raw!$K$2:$K$1232,"Yes",Games_Raw!$J$2:$J$1232,A784)</ns0:f>
        <ns0:v>48</ns0:v>
      </ns0:c>
    </ns0:row>
    <ns0:row r="785">
      <ns0:c r="A785" t="inlineStr">
        <ns0:is>
          <ns0:t>Toronto Raptors</ns0:t>
        </ns0:is>
      </ns0:c>
      <ns0:c r="B785" t="inlineStr">
        <ns0:is>
          <ns0:t>Atlanta Hawks</ns0:t>
        </ns0:is>
      </ns0:c>
      <ns0:c r="C785">
        <ns0:f>COUNTIFS(Games_Raw!$K$2:$K$1232,"Yes",Games_Raw!$I$2:$I$1232,A785,Games_Raw!$J$2:$J$1232,B785)</ns0:f>
        <ns0:v>2</ns0:v>
      </ns0:c>
      <ns0:c r="D785">
        <ns0:f>COUNTIFS(Games_Raw!$K$2:$K$1232,"Yes",Games_Raw!$I$2:$I$1232,B785,Games_Raw!$J$2:$J$1232,A785)</ns0:f>
        <ns0:v>1</ns0:v>
      </ns0:c>
      <ns0:c r="E785" t="str">
        <ns0:f>C785&amp;"-"&amp;D785</ns0:f>
        <ns0:v>2-1</ns0:v>
      </ns0:c>
      <ns0:c r="F785">
        <ns0:f>COUNTIFS(Games_Raw!$K$2:$K$1232,"Yes",Games_Raw!$I$2:$I$1232,A785)</ns0:f>
        <ns0:v>30</ns0:v>
      </ns0:c>
      <ns0:c r="G785">
        <ns0:f>COUNTIFS(Games_Raw!$K$2:$K$1232,"Yes",Games_Raw!$J$2:$J$1232,A785)</ns0:f>
        <ns0:v>52</ns0:v>
      </ns0:c>
    </ns0:row>
    <ns0:row r="786">
      <ns0:c r="A786" t="inlineStr">
        <ns0:is>
          <ns0:t>Toronto Raptors</ns0:t>
        </ns0:is>
      </ns0:c>
      <ns0:c r="B786" t="inlineStr">
        <ns0:is>
          <ns0:t>Boston Celtics</ns0:t>
        </ns0:is>
      </ns0:c>
      <ns0:c r="C786">
        <ns0:f>COUNTIFS(Games_Raw!$K$2:$K$1232,"Yes",Games_Raw!$I$2:$I$1232,A786,Games_Raw!$J$2:$J$1232,B786)</ns0:f>
        <ns0:v>1</ns0:v>
      </ns0:c>
      <ns0:c r="D786">
        <ns0:f>COUNTIFS(Games_Raw!$K$2:$K$1232,"Yes",Games_Raw!$I$2:$I$1232,B786,Games_Raw!$J$2:$J$1232,A786)</ns0:f>
        <ns0:v>3</ns0:v>
      </ns0:c>
      <ns0:c r="E786" t="str">
        <ns0:f>C786&amp;"-"&amp;D786</ns0:f>
        <ns0:v>1-3</ns0:v>
      </ns0:c>
      <ns0:c r="F786">
        <ns0:f>COUNTIFS(Games_Raw!$K$2:$K$1232,"Yes",Games_Raw!$I$2:$I$1232,A786)</ns0:f>
        <ns0:v>30</ns0:v>
      </ns0:c>
      <ns0:c r="G786">
        <ns0:f>COUNTIFS(Games_Raw!$K$2:$K$1232,"Yes",Games_Raw!$J$2:$J$1232,A786)</ns0:f>
        <ns0:v>52</ns0:v>
      </ns0:c>
    </ns0:row>
    <ns0:row r="787">
      <ns0:c r="A787" t="inlineStr">
        <ns0:is>
          <ns0:t>Toronto Raptors</ns0:t>
        </ns0:is>
      </ns0:c>
      <ns0:c r="B787" t="inlineStr">
        <ns0:is>
          <ns0:t>Brooklyn Nets</ns0:t>
        </ns0:is>
      </ns0:c>
      <ns0:c r="C787">
        <ns0:f>COUNTIFS(Games_Raw!$K$2:$K$1232,"Yes",Games_Raw!$I$2:$I$1232,A787,Games_Raw!$J$2:$J$1232,B787)</ns0:f>
        <ns0:v>3</ns0:v>
      </ns0:c>
      <ns0:c r="D787">
        <ns0:f>COUNTIFS(Games_Raw!$K$2:$K$1232,"Yes",Games_Raw!$I$2:$I$1232,B787,Games_Raw!$J$2:$J$1232,A787)</ns0:f>
        <ns0:v>1</ns0:v>
      </ns0:c>
      <ns0:c r="E787" t="str">
        <ns0:f>C787&amp;"-"&amp;D787</ns0:f>
        <ns0:v>3-1</ns0:v>
      </ns0:c>
      <ns0:c r="F787">
        <ns0:f>COUNTIFS(Games_Raw!$K$2:$K$1232,"Yes",Games_Raw!$I$2:$I$1232,A787)</ns0:f>
        <ns0:v>30</ns0:v>
      </ns0:c>
      <ns0:c r="G787">
        <ns0:f>COUNTIFS(Games_Raw!$K$2:$K$1232,"Yes",Games_Raw!$J$2:$J$1232,A787)</ns0:f>
        <ns0:v>52</ns0:v>
      </ns0:c>
    </ns0:row>
    <ns0:row r="788">
      <ns0:c r="A788" t="inlineStr">
        <ns0:is>
          <ns0:t>Toronto Raptors</ns0:t>
        </ns0:is>
      </ns0:c>
      <ns0:c r="B788" t="inlineStr">
        <ns0:is>
          <ns0:t>Charlotte Hornets</ns0:t>
        </ns0:is>
      </ns0:c>
      <ns0:c r="C788">
        <ns0:f>COUNTIFS(Games_Raw!$K$2:$K$1232,"Yes",Games_Raw!$I$2:$I$1232,A788,Games_Raw!$J$2:$J$1232,B788)</ns0:f>
        <ns0:v>2</ns0:v>
      </ns0:c>
      <ns0:c r="D788">
        <ns0:f>COUNTIFS(Games_Raw!$K$2:$K$1232,"Yes",Games_Raw!$I$2:$I$1232,B788,Games_Raw!$J$2:$J$1232,A788)</ns0:f>
        <ns0:v>1</ns0:v>
      </ns0:c>
      <ns0:c r="E788" t="str">
        <ns0:f>C788&amp;"-"&amp;D788</ns0:f>
        <ns0:v>2-1</ns0:v>
      </ns0:c>
      <ns0:c r="F788">
        <ns0:f>COUNTIFS(Games_Raw!$K$2:$K$1232,"Yes",Games_Raw!$I$2:$I$1232,A788)</ns0:f>
        <ns0:v>30</ns0:v>
      </ns0:c>
      <ns0:c r="G788">
        <ns0:f>COUNTIFS(Games_Raw!$K$2:$K$1232,"Yes",Games_Raw!$J$2:$J$1232,A788)</ns0:f>
        <ns0:v>52</ns0:v>
      </ns0:c>
    </ns0:row>
    <ns0:row r="789">
      <ns0:c r="A789" t="inlineStr">
        <ns0:is>
          <ns0:t>Toronto Raptors</ns0:t>
        </ns0:is>
      </ns0:c>
      <ns0:c r="B789" t="inlineStr">
        <ns0:is>
          <ns0:t>Chicago Bulls</ns0:t>
        </ns0:is>
      </ns0:c>
      <ns0:c r="C789">
        <ns0:f>COUNTIFS(Games_Raw!$K$2:$K$1232,"Yes",Games_Raw!$I$2:$I$1232,A789,Games_Raw!$J$2:$J$1232,B789)</ns0:f>
        <ns0:v>0</ns0:v>
      </ns0:c>
      <ns0:c r="D789">
        <ns0:f>COUNTIFS(Games_Raw!$K$2:$K$1232,"Yes",Games_Raw!$I$2:$I$1232,B789,Games_Raw!$J$2:$J$1232,A789)</ns0:f>
        <ns0:v>4</ns0:v>
      </ns0:c>
      <ns0:c r="E789" t="str">
        <ns0:f>C789&amp;"-"&amp;D789</ns0:f>
        <ns0:v>0-4</ns0:v>
      </ns0:c>
      <ns0:c r="F789">
        <ns0:f>COUNTIFS(Games_Raw!$K$2:$K$1232,"Yes",Games_Raw!$I$2:$I$1232,A789)</ns0:f>
        <ns0:v>30</ns0:v>
      </ns0:c>
      <ns0:c r="G789">
        <ns0:f>COUNTIFS(Games_Raw!$K$2:$K$1232,"Yes",Games_Raw!$J$2:$J$1232,A789)</ns0:f>
        <ns0:v>52</ns0:v>
      </ns0:c>
    </ns0:row>
    <ns0:row r="790">
      <ns0:c r="A790" t="inlineStr">
        <ns0:is>
          <ns0:t>Toronto Raptors</ns0:t>
        </ns0:is>
      </ns0:c>
      <ns0:c r="B790" t="inlineStr">
        <ns0:is>
          <ns0:t>Cleveland Cavaliers</ns0:t>
        </ns0:is>
      </ns0:c>
      <ns0:c r="C790">
        <ns0:f>COUNTIFS(Games_Raw!$K$2:$K$1232,"Yes",Games_Raw!$I$2:$I$1232,A790,Games_Raw!$J$2:$J$1232,B790)</ns0:f>
        <ns0:v>0</ns0:v>
      </ns0:c>
      <ns0:c r="D790">
        <ns0:f>COUNTIFS(Games_Raw!$K$2:$K$1232,"Yes",Games_Raw!$I$2:$I$1232,B790,Games_Raw!$J$2:$J$1232,A790)</ns0:f>
        <ns0:v>4</ns0:v>
      </ns0:c>
      <ns0:c r="E790" t="str">
        <ns0:f>C790&amp;"-"&amp;D790</ns0:f>
        <ns0:v>0-4</ns0:v>
      </ns0:c>
      <ns0:c r="F790">
        <ns0:f>COUNTIFS(Games_Raw!$K$2:$K$1232,"Yes",Games_Raw!$I$2:$I$1232,A790)</ns0:f>
        <ns0:v>30</ns0:v>
      </ns0:c>
      <ns0:c r="G790">
        <ns0:f>COUNTIFS(Games_Raw!$K$2:$K$1232,"Yes",Games_Raw!$J$2:$J$1232,A790)</ns0:f>
        <ns0:v>52</ns0:v>
      </ns0:c>
    </ns0:row>
    <ns0:row r="791">
      <ns0:c r="A791" t="inlineStr">
        <ns0:is>
          <ns0:t>Toronto Raptors</ns0:t>
        </ns0:is>
      </ns0:c>
      <ns0:c r="B791" t="inlineStr">
        <ns0:is>
          <ns0:t>Dallas Mavericks</ns0:t>
        </ns0:is>
      </ns0:c>
      <ns0:c r="C791">
        <ns0:f>COUNTIFS(Games_Raw!$K$2:$K$1232,"Yes",Games_Raw!$I$2:$I$1232,A791,Games_Raw!$J$2:$J$1232,B791)</ns0:f>
        <ns0:v>0</ns0:v>
      </ns0:c>
      <ns0:c r="D791">
        <ns0:f>COUNTIFS(Games_Raw!$K$2:$K$1232,"Yes",Games_Raw!$I$2:$I$1232,B791,Games_Raw!$J$2:$J$1232,A791)</ns0:f>
        <ns0:v>2</ns0:v>
      </ns0:c>
      <ns0:c r="E791" t="str">
        <ns0:f>C791&amp;"-"&amp;D791</ns0:f>
        <ns0:v>0-2</ns0:v>
      </ns0:c>
      <ns0:c r="F791">
        <ns0:f>COUNTIFS(Games_Raw!$K$2:$K$1232,"Yes",Games_Raw!$I$2:$I$1232,A791)</ns0:f>
        <ns0:v>30</ns0:v>
      </ns0:c>
      <ns0:c r="G791">
        <ns0:f>COUNTIFS(Games_Raw!$K$2:$K$1232,"Yes",Games_Raw!$J$2:$J$1232,A791)</ns0:f>
        <ns0:v>52</ns0:v>
      </ns0:c>
    </ns0:row>
    <ns0:row r="792">
      <ns0:c r="A792" t="inlineStr">
        <ns0:is>
          <ns0:t>Toronto Raptors</ns0:t>
        </ns0:is>
      </ns0:c>
      <ns0:c r="B792" t="inlineStr">
        <ns0:is>
          <ns0:t>Denver Nuggets</ns0:t>
        </ns0:is>
      </ns0:c>
      <ns0:c r="C792">
        <ns0:f>COUNTIFS(Games_Raw!$K$2:$K$1232,"Yes",Games_Raw!$I$2:$I$1232,A792,Games_Raw!$J$2:$J$1232,B792)</ns0:f>
        <ns0:v>0</ns0:v>
      </ns0:c>
      <ns0:c r="D792">
        <ns0:f>COUNTIFS(Games_Raw!$K$2:$K$1232,"Yes",Games_Raw!$I$2:$I$1232,B792,Games_Raw!$J$2:$J$1232,A792)</ns0:f>
        <ns0:v>2</ns0:v>
      </ns0:c>
      <ns0:c r="E792" t="str">
        <ns0:f>C792&amp;"-"&amp;D792</ns0:f>
        <ns0:v>0-2</ns0:v>
      </ns0:c>
      <ns0:c r="F792">
        <ns0:f>COUNTIFS(Games_Raw!$K$2:$K$1232,"Yes",Games_Raw!$I$2:$I$1232,A792)</ns0:f>
        <ns0:v>30</ns0:v>
      </ns0:c>
      <ns0:c r="G792">
        <ns0:f>COUNTIFS(Games_Raw!$K$2:$K$1232,"Yes",Games_Raw!$J$2:$J$1232,A792)</ns0:f>
        <ns0:v>52</ns0:v>
      </ns0:c>
    </ns0:row>
    <ns0:row r="793">
      <ns0:c r="A793" t="inlineStr">
        <ns0:is>
          <ns0:t>Toronto Raptors</ns0:t>
        </ns0:is>
      </ns0:c>
      <ns0:c r="B793" t="inlineStr">
        <ns0:is>
          <ns0:t>Detroit Pistons</ns0:t>
        </ns0:is>
      </ns0:c>
      <ns0:c r="C793">
        <ns0:f>COUNTIFS(Games_Raw!$K$2:$K$1232,"Yes",Games_Raw!$I$2:$I$1232,A793,Games_Raw!$J$2:$J$1232,B793)</ns0:f>
        <ns0:v>0</ns0:v>
      </ns0:c>
      <ns0:c r="D793">
        <ns0:f>COUNTIFS(Games_Raw!$K$2:$K$1232,"Yes",Games_Raw!$I$2:$I$1232,B793,Games_Raw!$J$2:$J$1232,A793)</ns0:f>
        <ns0:v>4</ns0:v>
      </ns0:c>
      <ns0:c r="E793" t="str">
        <ns0:f>C793&amp;"-"&amp;D793</ns0:f>
        <ns0:v>0-4</ns0:v>
      </ns0:c>
      <ns0:c r="F793">
        <ns0:f>COUNTIFS(Games_Raw!$K$2:$K$1232,"Yes",Games_Raw!$I$2:$I$1232,A793)</ns0:f>
        <ns0:v>30</ns0:v>
      </ns0:c>
      <ns0:c r="G793">
        <ns0:f>COUNTIFS(Games_Raw!$K$2:$K$1232,"Yes",Games_Raw!$J$2:$J$1232,A793)</ns0:f>
        <ns0:v>52</ns0:v>
      </ns0:c>
    </ns0:row>
    <ns0:row r="794">
      <ns0:c r="A794" t="inlineStr">
        <ns0:is>
          <ns0:t>Toronto Raptors</ns0:t>
        </ns0:is>
      </ns0:c>
      <ns0:c r="B794" t="inlineStr">
        <ns0:is>
          <ns0:t>Golden State Warriors</ns0:t>
        </ns0:is>
      </ns0:c>
      <ns0:c r="C794">
        <ns0:f>COUNTIFS(Games_Raw!$K$2:$K$1232,"Yes",Games_Raw!$I$2:$I$1232,A794,Games_Raw!$J$2:$J$1232,B794)</ns0:f>
        <ns0:v>1</ns0:v>
      </ns0:c>
      <ns0:c r="D794">
        <ns0:f>COUNTIFS(Games_Raw!$K$2:$K$1232,"Yes",Games_Raw!$I$2:$I$1232,B794,Games_Raw!$J$2:$J$1232,A794)</ns0:f>
        <ns0:v>1</ns0:v>
      </ns0:c>
      <ns0:c r="E794" t="str">
        <ns0:f>C794&amp;"-"&amp;D794</ns0:f>
        <ns0:v>1-1</ns0:v>
      </ns0:c>
      <ns0:c r="F794">
        <ns0:f>COUNTIFS(Games_Raw!$K$2:$K$1232,"Yes",Games_Raw!$I$2:$I$1232,A794)</ns0:f>
        <ns0:v>30</ns0:v>
      </ns0:c>
      <ns0:c r="G794">
        <ns0:f>COUNTIFS(Games_Raw!$K$2:$K$1232,"Yes",Games_Raw!$J$2:$J$1232,A794)</ns0:f>
        <ns0:v>52</ns0:v>
      </ns0:c>
    </ns0:row>
    <ns0:row r="795">
      <ns0:c r="A795" t="inlineStr">
        <ns0:is>
          <ns0:t>Toronto Raptors</ns0:t>
        </ns0:is>
      </ns0:c>
      <ns0:c r="B795" t="inlineStr">
        <ns0:is>
          <ns0:t>Houston Rockets</ns0:t>
        </ns0:is>
      </ns0:c>
      <ns0:c r="C795">
        <ns0:f>COUNTIFS(Games_Raw!$K$2:$K$1232,"Yes",Games_Raw!$I$2:$I$1232,A795,Games_Raw!$J$2:$J$1232,B795)</ns0:f>
        <ns0:v>0</ns0:v>
      </ns0:c>
      <ns0:c r="D795">
        <ns0:f>COUNTIFS(Games_Raw!$K$2:$K$1232,"Yes",Games_Raw!$I$2:$I$1232,B795,Games_Raw!$J$2:$J$1232,A795)</ns0:f>
        <ns0:v>2</ns0:v>
      </ns0:c>
      <ns0:c r="E795" t="str">
        <ns0:f>C795&amp;"-"&amp;D795</ns0:f>
        <ns0:v>0-2</ns0:v>
      </ns0:c>
      <ns0:c r="F795">
        <ns0:f>COUNTIFS(Games_Raw!$K$2:$K$1232,"Yes",Games_Raw!$I$2:$I$1232,A795)</ns0:f>
        <ns0:v>30</ns0:v>
      </ns0:c>
      <ns0:c r="G795">
        <ns0:f>COUNTIFS(Games_Raw!$K$2:$K$1232,"Yes",Games_Raw!$J$2:$J$1232,A795)</ns0:f>
        <ns0:v>52</ns0:v>
      </ns0:c>
    </ns0:row>
    <ns0:row r="796">
      <ns0:c r="A796" t="inlineStr">
        <ns0:is>
          <ns0:t>Toronto Raptors</ns0:t>
        </ns0:is>
      </ns0:c>
      <ns0:c r="B796" t="inlineStr">
        <ns0:is>
          <ns0:t>Indiana Pacers</ns0:t>
        </ns0:is>
      </ns0:c>
      <ns0:c r="C796">
        <ns0:f>COUNTIFS(Games_Raw!$K$2:$K$1232,"Yes",Games_Raw!$I$2:$I$1232,A796,Games_Raw!$J$2:$J$1232,B796)</ns0:f>
        <ns0:v>2</ns0:v>
      </ns0:c>
      <ns0:c r="D796">
        <ns0:f>COUNTIFS(Games_Raw!$K$2:$K$1232,"Yes",Games_Raw!$I$2:$I$1232,B796,Games_Raw!$J$2:$J$1232,A796)</ns0:f>
        <ns0:v>1</ns0:v>
      </ns0:c>
      <ns0:c r="E796" t="str">
        <ns0:f>C796&amp;"-"&amp;D796</ns0:f>
        <ns0:v>2-1</ns0:v>
      </ns0:c>
      <ns0:c r="F796">
        <ns0:f>COUNTIFS(Games_Raw!$K$2:$K$1232,"Yes",Games_Raw!$I$2:$I$1232,A796)</ns0:f>
        <ns0:v>30</ns0:v>
      </ns0:c>
      <ns0:c r="G796">
        <ns0:f>COUNTIFS(Games_Raw!$K$2:$K$1232,"Yes",Games_Raw!$J$2:$J$1232,A796)</ns0:f>
        <ns0:v>52</ns0:v>
      </ns0:c>
    </ns0:row>
    <ns0:row r="797">
      <ns0:c r="A797" t="inlineStr">
        <ns0:is>
          <ns0:t>Toronto Raptors</ns0:t>
        </ns0:is>
      </ns0:c>
      <ns0:c r="B797" t="inlineStr">
        <ns0:is>
          <ns0:t>LA Clippers</ns0:t>
        </ns0:is>
      </ns0:c>
      <ns0:c r="C797">
        <ns0:f>COUNTIFS(Games_Raw!$K$2:$K$1232,"Yes",Games_Raw!$I$2:$I$1232,A797,Games_Raw!$J$2:$J$1232,B797)</ns0:f>
        <ns0:v>1</ns0:v>
      </ns0:c>
      <ns0:c r="D797">
        <ns0:f>COUNTIFS(Games_Raw!$K$2:$K$1232,"Yes",Games_Raw!$I$2:$I$1232,B797,Games_Raw!$J$2:$J$1232,A797)</ns0:f>
        <ns0:v>1</ns0:v>
      </ns0:c>
      <ns0:c r="E797" t="str">
        <ns0:f>C797&amp;"-"&amp;D797</ns0:f>
        <ns0:v>1-1</ns0:v>
      </ns0:c>
      <ns0:c r="F797">
        <ns0:f>COUNTIFS(Games_Raw!$K$2:$K$1232,"Yes",Games_Raw!$I$2:$I$1232,A797)</ns0:f>
        <ns0:v>30</ns0:v>
      </ns0:c>
      <ns0:c r="G797">
        <ns0:f>COUNTIFS(Games_Raw!$K$2:$K$1232,"Yes",Games_Raw!$J$2:$J$1232,A797)</ns0:f>
        <ns0:v>52</ns0:v>
      </ns0:c>
    </ns0:row>
    <ns0:row r="798">
      <ns0:c r="A798" t="inlineStr">
        <ns0:is>
          <ns0:t>Toronto Raptors</ns0:t>
        </ns0:is>
      </ns0:c>
      <ns0:c r="B798" t="inlineStr">
        <ns0:is>
          <ns0:t>Los Angeles Lakers</ns0:t>
        </ns0:is>
      </ns0:c>
      <ns0:c r="C798">
        <ns0:f>COUNTIFS(Games_Raw!$K$2:$K$1232,"Yes",Games_Raw!$I$2:$I$1232,A798,Games_Raw!$J$2:$J$1232,B798)</ns0:f>
        <ns0:v>0</ns0:v>
      </ns0:c>
      <ns0:c r="D798">
        <ns0:f>COUNTIFS(Games_Raw!$K$2:$K$1232,"Yes",Games_Raw!$I$2:$I$1232,B798,Games_Raw!$J$2:$J$1232,A798)</ns0:f>
        <ns0:v>2</ns0:v>
      </ns0:c>
      <ns0:c r="E798" t="str">
        <ns0:f>C798&amp;"-"&amp;D798</ns0:f>
        <ns0:v>0-2</ns0:v>
      </ns0:c>
      <ns0:c r="F798">
        <ns0:f>COUNTIFS(Games_Raw!$K$2:$K$1232,"Yes",Games_Raw!$I$2:$I$1232,A798)</ns0:f>
        <ns0:v>30</ns0:v>
      </ns0:c>
      <ns0:c r="G798">
        <ns0:f>COUNTIFS(Games_Raw!$K$2:$K$1232,"Yes",Games_Raw!$J$2:$J$1232,A798)</ns0:f>
        <ns0:v>52</ns0:v>
      </ns0:c>
    </ns0:row>
    <ns0:row r="799">
      <ns0:c r="A799" t="inlineStr">
        <ns0:is>
          <ns0:t>Toronto Raptors</ns0:t>
        </ns0:is>
      </ns0:c>
      <ns0:c r="B799" t="inlineStr">
        <ns0:is>
          <ns0:t>Memphis Grizzlies</ns0:t>
        </ns0:is>
      </ns0:c>
      <ns0:c r="C799">
        <ns0:f>COUNTIFS(Games_Raw!$K$2:$K$1232,"Yes",Games_Raw!$I$2:$I$1232,A799,Games_Raw!$J$2:$J$1232,B799)</ns0:f>
        <ns0:v>0</ns0:v>
      </ns0:c>
      <ns0:c r="D799">
        <ns0:f>COUNTIFS(Games_Raw!$K$2:$K$1232,"Yes",Games_Raw!$I$2:$I$1232,B799,Games_Raw!$J$2:$J$1232,A799)</ns0:f>
        <ns0:v>2</ns0:v>
      </ns0:c>
      <ns0:c r="E799" t="str">
        <ns0:f>C799&amp;"-"&amp;D799</ns0:f>
        <ns0:v>0-2</ns0:v>
      </ns0:c>
      <ns0:c r="F799">
        <ns0:f>COUNTIFS(Games_Raw!$K$2:$K$1232,"Yes",Games_Raw!$I$2:$I$1232,A799)</ns0:f>
        <ns0:v>30</ns0:v>
      </ns0:c>
      <ns0:c r="G799">
        <ns0:f>COUNTIFS(Games_Raw!$K$2:$K$1232,"Yes",Games_Raw!$J$2:$J$1232,A799)</ns0:f>
        <ns0:v>52</ns0:v>
      </ns0:c>
    </ns0:row>
    <ns0:row r="800">
      <ns0:c r="A800" t="inlineStr">
        <ns0:is>
          <ns0:t>Toronto Raptors</ns0:t>
        </ns0:is>
      </ns0:c>
      <ns0:c r="B800" t="inlineStr">
        <ns0:is>
          <ns0:t>Miami Heat</ns0:t>
        </ns0:is>
      </ns0:c>
      <ns0:c r="C800">
        <ns0:f>COUNTIFS(Games_Raw!$K$2:$K$1232,"Yes",Games_Raw!$I$2:$I$1232,A800,Games_Raw!$J$2:$J$1232,B800)</ns0:f>
        <ns0:v>1</ns0:v>
      </ns0:c>
      <ns0:c r="D800">
        <ns0:f>COUNTIFS(Games_Raw!$K$2:$K$1232,"Yes",Games_Raw!$I$2:$I$1232,B800,Games_Raw!$J$2:$J$1232,A800)</ns0:f>
        <ns0:v>3</ns0:v>
      </ns0:c>
      <ns0:c r="E800" t="str">
        <ns0:f>C800&amp;"-"&amp;D800</ns0:f>
        <ns0:v>1-3</ns0:v>
      </ns0:c>
      <ns0:c r="F800">
        <ns0:f>COUNTIFS(Games_Raw!$K$2:$K$1232,"Yes",Games_Raw!$I$2:$I$1232,A800)</ns0:f>
        <ns0:v>30</ns0:v>
      </ns0:c>
      <ns0:c r="G800">
        <ns0:f>COUNTIFS(Games_Raw!$K$2:$K$1232,"Yes",Games_Raw!$J$2:$J$1232,A800)</ns0:f>
        <ns0:v>52</ns0:v>
      </ns0:c>
    </ns0:row>
    <ns0:row r="801">
      <ns0:c r="A801" t="inlineStr">
        <ns0:is>
          <ns0:t>Toronto Raptors</ns0:t>
        </ns0:is>
      </ns0:c>
      <ns0:c r="B801" t="inlineStr">
        <ns0:is>
          <ns0:t>Milwaukee Bucks</ns0:t>
        </ns0:is>
      </ns0:c>
      <ns0:c r="C801">
        <ns0:f>COUNTIFS(Games_Raw!$K$2:$K$1232,"Yes",Games_Raw!$I$2:$I$1232,A801,Games_Raw!$J$2:$J$1232,B801)</ns0:f>
        <ns0:v>0</ns0:v>
      </ns0:c>
      <ns0:c r="D801">
        <ns0:f>COUNTIFS(Games_Raw!$K$2:$K$1232,"Yes",Games_Raw!$I$2:$I$1232,B801,Games_Raw!$J$2:$J$1232,A801)</ns0:f>
        <ns0:v>3</ns0:v>
      </ns0:c>
      <ns0:c r="E801" t="str">
        <ns0:f>C801&amp;"-"&amp;D801</ns0:f>
        <ns0:v>0-3</ns0:v>
      </ns0:c>
      <ns0:c r="F801">
        <ns0:f>COUNTIFS(Games_Raw!$K$2:$K$1232,"Yes",Games_Raw!$I$2:$I$1232,A801)</ns0:f>
        <ns0:v>30</ns0:v>
      </ns0:c>
      <ns0:c r="G801">
        <ns0:f>COUNTIFS(Games_Raw!$K$2:$K$1232,"Yes",Games_Raw!$J$2:$J$1232,A801)</ns0:f>
        <ns0:v>52</ns0:v>
      </ns0:c>
    </ns0:row>
    <ns0:row r="802">
      <ns0:c r="A802" t="inlineStr">
        <ns0:is>
          <ns0:t>Toronto Raptors</ns0:t>
        </ns0:is>
      </ns0:c>
      <ns0:c r="B802" t="inlineStr">
        <ns0:is>
          <ns0:t>Minnesota Timberwolves</ns0:t>
        </ns0:is>
      </ns0:c>
      <ns0:c r="C802">
        <ns0:f>COUNTIFS(Games_Raw!$K$2:$K$1232,"Yes",Games_Raw!$I$2:$I$1232,A802,Games_Raw!$J$2:$J$1232,B802)</ns0:f>
        <ns0:v>1</ns0:v>
      </ns0:c>
      <ns0:c r="D802">
        <ns0:f>COUNTIFS(Games_Raw!$K$2:$K$1232,"Yes",Games_Raw!$I$2:$I$1232,B802,Games_Raw!$J$2:$J$1232,A802)</ns0:f>
        <ns0:v>1</ns0:v>
      </ns0:c>
      <ns0:c r="E802" t="str">
        <ns0:f>C802&amp;"-"&amp;D802</ns0:f>
        <ns0:v>1-1</ns0:v>
      </ns0:c>
      <ns0:c r="F802">
        <ns0:f>COUNTIFS(Games_Raw!$K$2:$K$1232,"Yes",Games_Raw!$I$2:$I$1232,A802)</ns0:f>
        <ns0:v>30</ns0:v>
      </ns0:c>
      <ns0:c r="G802">
        <ns0:f>COUNTIFS(Games_Raw!$K$2:$K$1232,"Yes",Games_Raw!$J$2:$J$1232,A802)</ns0:f>
        <ns0:v>52</ns0:v>
      </ns0:c>
    </ns0:row>
    <ns0:row r="803">
      <ns0:c r="A803" t="inlineStr">
        <ns0:is>
          <ns0:t>Toronto Raptors</ns0:t>
        </ns0:is>
      </ns0:c>
      <ns0:c r="B803" t="inlineStr">
        <ns0:is>
          <ns0:t>New Orleans Pelicans</ns0:t>
        </ns0:is>
      </ns0:c>
      <ns0:c r="C803">
        <ns0:f>COUNTIFS(Games_Raw!$K$2:$K$1232,"Yes",Games_Raw!$I$2:$I$1232,A803,Games_Raw!$J$2:$J$1232,B803)</ns0:f>
        <ns0:v>2</ns0:v>
      </ns0:c>
      <ns0:c r="D803">
        <ns0:f>COUNTIFS(Games_Raw!$K$2:$K$1232,"Yes",Games_Raw!$I$2:$I$1232,B803,Games_Raw!$J$2:$J$1232,A803)</ns0:f>
        <ns0:v>0</ns0:v>
      </ns0:c>
      <ns0:c r="E803" t="str">
        <ns0:f>C803&amp;"-"&amp;D803</ns0:f>
        <ns0:v>2-0</ns0:v>
      </ns0:c>
      <ns0:c r="F803">
        <ns0:f>COUNTIFS(Games_Raw!$K$2:$K$1232,"Yes",Games_Raw!$I$2:$I$1232,A803)</ns0:f>
        <ns0:v>30</ns0:v>
      </ns0:c>
      <ns0:c r="G803">
        <ns0:f>COUNTIFS(Games_Raw!$K$2:$K$1232,"Yes",Games_Raw!$J$2:$J$1232,A803)</ns0:f>
        <ns0:v>52</ns0:v>
      </ns0:c>
    </ns0:row>
    <ns0:row r="804">
      <ns0:c r="A804" t="inlineStr">
        <ns0:is>
          <ns0:t>Toronto Raptors</ns0:t>
        </ns0:is>
      </ns0:c>
      <ns0:c r="B804" t="inlineStr">
        <ns0:is>
          <ns0:t>New York Knicks</ns0:t>
        </ns0:is>
      </ns0:c>
      <ns0:c r="C804">
        <ns0:f>COUNTIFS(Games_Raw!$K$2:$K$1232,"Yes",Games_Raw!$I$2:$I$1232,A804,Games_Raw!$J$2:$J$1232,B804)</ns0:f>
        <ns0:v>0</ns0:v>
      </ns0:c>
      <ns0:c r="D804">
        <ns0:f>COUNTIFS(Games_Raw!$K$2:$K$1232,"Yes",Games_Raw!$I$2:$I$1232,B804,Games_Raw!$J$2:$J$1232,A804)</ns0:f>
        <ns0:v>4</ns0:v>
      </ns0:c>
      <ns0:c r="E804" t="str">
        <ns0:f>C804&amp;"-"&amp;D804</ns0:f>
        <ns0:v>0-4</ns0:v>
      </ns0:c>
      <ns0:c r="F804">
        <ns0:f>COUNTIFS(Games_Raw!$K$2:$K$1232,"Yes",Games_Raw!$I$2:$I$1232,A804)</ns0:f>
        <ns0:v>30</ns0:v>
      </ns0:c>
      <ns0:c r="G804">
        <ns0:f>COUNTIFS(Games_Raw!$K$2:$K$1232,"Yes",Games_Raw!$J$2:$J$1232,A804)</ns0:f>
        <ns0:v>52</ns0:v>
      </ns0:c>
    </ns0:row>
    <ns0:row r="805">
      <ns0:c r="A805" t="inlineStr">
        <ns0:is>
          <ns0:t>Toronto Raptors</ns0:t>
        </ns0:is>
      </ns0:c>
      <ns0:c r="B805" t="inlineStr">
        <ns0:is>
          <ns0:t>Oklahoma City Thunder</ns0:t>
        </ns0:is>
      </ns0:c>
      <ns0:c r="C805">
        <ns0:f>COUNTIFS(Games_Raw!$K$2:$K$1232,"Yes",Games_Raw!$I$2:$I$1232,A805,Games_Raw!$J$2:$J$1232,B805)</ns0:f>
        <ns0:v>0</ns0:v>
      </ns0:c>
      <ns0:c r="D805">
        <ns0:f>COUNTIFS(Games_Raw!$K$2:$K$1232,"Yes",Games_Raw!$I$2:$I$1232,B805,Games_Raw!$J$2:$J$1232,A805)</ns0:f>
        <ns0:v>2</ns0:v>
      </ns0:c>
      <ns0:c r="E805" t="str">
        <ns0:f>C805&amp;"-"&amp;D805</ns0:f>
        <ns0:v>0-2</ns0:v>
      </ns0:c>
      <ns0:c r="F805">
        <ns0:f>COUNTIFS(Games_Raw!$K$2:$K$1232,"Yes",Games_Raw!$I$2:$I$1232,A805)</ns0:f>
        <ns0:v>30</ns0:v>
      </ns0:c>
      <ns0:c r="G805">
        <ns0:f>COUNTIFS(Games_Raw!$K$2:$K$1232,"Yes",Games_Raw!$J$2:$J$1232,A805)</ns0:f>
        <ns0:v>52</ns0:v>
      </ns0:c>
    </ns0:row>
    <ns0:row r="806">
      <ns0:c r="A806" t="inlineStr">
        <ns0:is>
          <ns0:t>Toronto Raptors</ns0:t>
        </ns0:is>
      </ns0:c>
      <ns0:c r="B806" t="inlineStr">
        <ns0:is>
          <ns0:t>Orlando Magic</ns0:t>
        </ns0:is>
      </ns0:c>
      <ns0:c r="C806">
        <ns0:f>COUNTIFS(Games_Raw!$K$2:$K$1232,"Yes",Games_Raw!$I$2:$I$1232,A806,Games_Raw!$J$2:$J$1232,B806)</ns0:f>
        <ns0:v>3</ns0:v>
      </ns0:c>
      <ns0:c r="D806">
        <ns0:f>COUNTIFS(Games_Raw!$K$2:$K$1232,"Yes",Games_Raw!$I$2:$I$1232,B806,Games_Raw!$J$2:$J$1232,A806)</ns0:f>
        <ns0:v>1</ns0:v>
      </ns0:c>
      <ns0:c r="E806" t="str">
        <ns0:f>C806&amp;"-"&amp;D806</ns0:f>
        <ns0:v>3-1</ns0:v>
      </ns0:c>
      <ns0:c r="F806">
        <ns0:f>COUNTIFS(Games_Raw!$K$2:$K$1232,"Yes",Games_Raw!$I$2:$I$1232,A806)</ns0:f>
        <ns0:v>30</ns0:v>
      </ns0:c>
      <ns0:c r="G806">
        <ns0:f>COUNTIFS(Games_Raw!$K$2:$K$1232,"Yes",Games_Raw!$J$2:$J$1232,A806)</ns0:f>
        <ns0:v>52</ns0:v>
      </ns0:c>
    </ns0:row>
    <ns0:row r="807">
      <ns0:c r="A807" t="inlineStr">
        <ns0:is>
          <ns0:t>Toronto Raptors</ns0:t>
        </ns0:is>
      </ns0:c>
      <ns0:c r="B807" t="inlineStr">
        <ns0:is>
          <ns0:t>Philadelphia 76ers</ns0:t>
        </ns0:is>
      </ns0:c>
      <ns0:c r="C807">
        <ns0:f>COUNTIFS(Games_Raw!$K$2:$K$1232,"Yes",Games_Raw!$I$2:$I$1232,A807,Games_Raw!$J$2:$J$1232,B807)</ns0:f>
        <ns0:v>4</ns0:v>
      </ns0:c>
      <ns0:c r="D807">
        <ns0:f>COUNTIFS(Games_Raw!$K$2:$K$1232,"Yes",Games_Raw!$I$2:$I$1232,B807,Games_Raw!$J$2:$J$1232,A807)</ns0:f>
        <ns0:v>0</ns0:v>
      </ns0:c>
      <ns0:c r="E807" t="str">
        <ns0:f>C807&amp;"-"&amp;D807</ns0:f>
        <ns0:v>4-0</ns0:v>
      </ns0:c>
      <ns0:c r="F807">
        <ns0:f>COUNTIFS(Games_Raw!$K$2:$K$1232,"Yes",Games_Raw!$I$2:$I$1232,A807)</ns0:f>
        <ns0:v>30</ns0:v>
      </ns0:c>
      <ns0:c r="G807">
        <ns0:f>COUNTIFS(Games_Raw!$K$2:$K$1232,"Yes",Games_Raw!$J$2:$J$1232,A807)</ns0:f>
        <ns0:v>52</ns0:v>
      </ns0:c>
    </ns0:row>
    <ns0:row r="808">
      <ns0:c r="A808" t="inlineStr">
        <ns0:is>
          <ns0:t>Toronto Raptors</ns0:t>
        </ns0:is>
      </ns0:c>
      <ns0:c r="B808" t="inlineStr">
        <ns0:is>
          <ns0:t>Phoenix Suns</ns0:t>
        </ns0:is>
      </ns0:c>
      <ns0:c r="C808">
        <ns0:f>COUNTIFS(Games_Raw!$K$2:$K$1232,"Yes",Games_Raw!$I$2:$I$1232,A808,Games_Raw!$J$2:$J$1232,B808)</ns0:f>
        <ns0:v>1</ns0:v>
      </ns0:c>
      <ns0:c r="D808">
        <ns0:f>COUNTIFS(Games_Raw!$K$2:$K$1232,"Yes",Games_Raw!$I$2:$I$1232,B808,Games_Raw!$J$2:$J$1232,A808)</ns0:f>
        <ns0:v>1</ns0:v>
      </ns0:c>
      <ns0:c r="E808" t="str">
        <ns0:f>C808&amp;"-"&amp;D808</ns0:f>
        <ns0:v>1-1</ns0:v>
      </ns0:c>
      <ns0:c r="F808">
        <ns0:f>COUNTIFS(Games_Raw!$K$2:$K$1232,"Yes",Games_Raw!$I$2:$I$1232,A808)</ns0:f>
        <ns0:v>30</ns0:v>
      </ns0:c>
      <ns0:c r="G808">
        <ns0:f>COUNTIFS(Games_Raw!$K$2:$K$1232,"Yes",Games_Raw!$J$2:$J$1232,A808)</ns0:f>
        <ns0:v>52</ns0:v>
      </ns0:c>
    </ns0:row>
    <ns0:row r="809">
      <ns0:c r="A809" t="inlineStr">
        <ns0:is>
          <ns0:t>Toronto Raptors</ns0:t>
        </ns0:is>
      </ns0:c>
      <ns0:c r="B809" t="inlineStr">
        <ns0:is>
          <ns0:t>Portland Trail Blazers</ns0:t>
        </ns0:is>
      </ns0:c>
      <ns0:c r="C809">
        <ns0:f>COUNTIFS(Games_Raw!$K$2:$K$1232,"Yes",Games_Raw!$I$2:$I$1232,A809,Games_Raw!$J$2:$J$1232,B809)</ns0:f>
        <ns0:v>0</ns0:v>
      </ns0:c>
      <ns0:c r="D809">
        <ns0:f>COUNTIFS(Games_Raw!$K$2:$K$1232,"Yes",Games_Raw!$I$2:$I$1232,B809,Games_Raw!$J$2:$J$1232,A809)</ns0:f>
        <ns0:v>2</ns0:v>
      </ns0:c>
      <ns0:c r="E809" t="str">
        <ns0:f>C809&amp;"-"&amp;D809</ns0:f>
        <ns0:v>0-2</ns0:v>
      </ns0:c>
      <ns0:c r="F809">
        <ns0:f>COUNTIFS(Games_Raw!$K$2:$K$1232,"Yes",Games_Raw!$I$2:$I$1232,A809)</ns0:f>
        <ns0:v>30</ns0:v>
      </ns0:c>
      <ns0:c r="G809">
        <ns0:f>COUNTIFS(Games_Raw!$K$2:$K$1232,"Yes",Games_Raw!$J$2:$J$1232,A809)</ns0:f>
        <ns0:v>52</ns0:v>
      </ns0:c>
    </ns0:row>
    <ns0:row r="810">
      <ns0:c r="A810" t="inlineStr">
        <ns0:is>
          <ns0:t>Toronto Raptors</ns0:t>
        </ns0:is>
      </ns0:c>
      <ns0:c r="B810" t="inlineStr">
        <ns0:is>
          <ns0:t>Sacramento Kings</ns0:t>
        </ns0:is>
      </ns0:c>
      <ns0:c r="C810">
        <ns0:f>COUNTIFS(Games_Raw!$K$2:$K$1232,"Yes",Games_Raw!$I$2:$I$1232,A810,Games_Raw!$J$2:$J$1232,B810)</ns0:f>
        <ns0:v>1</ns0:v>
      </ns0:c>
      <ns0:c r="D810">
        <ns0:f>COUNTIFS(Games_Raw!$K$2:$K$1232,"Yes",Games_Raw!$I$2:$I$1232,B810,Games_Raw!$J$2:$J$1232,A810)</ns0:f>
        <ns0:v>1</ns0:v>
      </ns0:c>
      <ns0:c r="E810" t="str">
        <ns0:f>C810&amp;"-"&amp;D810</ns0:f>
        <ns0:v>1-1</ns0:v>
      </ns0:c>
      <ns0:c r="F810">
        <ns0:f>COUNTIFS(Games_Raw!$K$2:$K$1232,"Yes",Games_Raw!$I$2:$I$1232,A810)</ns0:f>
        <ns0:v>30</ns0:v>
      </ns0:c>
      <ns0:c r="G810">
        <ns0:f>COUNTIFS(Games_Raw!$K$2:$K$1232,"Yes",Games_Raw!$J$2:$J$1232,A810)</ns0:f>
        <ns0:v>52</ns0:v>
      </ns0:c>
    </ns0:row>
    <ns0:row r="811">
      <ns0:c r="A811" t="inlineStr">
        <ns0:is>
          <ns0:t>Toronto Raptors</ns0:t>
        </ns0:is>
      </ns0:c>
      <ns0:c r="B811" t="inlineStr">
        <ns0:is>
          <ns0:t>San Antonio Spurs</ns0:t>
        </ns0:is>
      </ns0:c>
      <ns0:c r="C811">
        <ns0:f>COUNTIFS(Games_Raw!$K$2:$K$1232,"Yes",Games_Raw!$I$2:$I$1232,A811,Games_Raw!$J$2:$J$1232,B811)</ns0:f>
        <ns0:v>0</ns0:v>
      </ns0:c>
      <ns0:c r="D811">
        <ns0:f>COUNTIFS(Games_Raw!$K$2:$K$1232,"Yes",Games_Raw!$I$2:$I$1232,B811,Games_Raw!$J$2:$J$1232,A811)</ns0:f>
        <ns0:v>2</ns0:v>
      </ns0:c>
      <ns0:c r="E811" t="str">
        <ns0:f>C811&amp;"-"&amp;D811</ns0:f>
        <ns0:v>0-2</ns0:v>
      </ns0:c>
      <ns0:c r="F811">
        <ns0:f>COUNTIFS(Games_Raw!$K$2:$K$1232,"Yes",Games_Raw!$I$2:$I$1232,A811)</ns0:f>
        <ns0:v>30</ns0:v>
      </ns0:c>
      <ns0:c r="G811">
        <ns0:f>COUNTIFS(Games_Raw!$K$2:$K$1232,"Yes",Games_Raw!$J$2:$J$1232,A811)</ns0:f>
        <ns0:v>52</ns0:v>
      </ns0:c>
    </ns0:row>
    <ns0:row r="812">
      <ns0:c r="A812" t="inlineStr">
        <ns0:is>
          <ns0:t>Toronto Raptors</ns0:t>
        </ns0:is>
      </ns0:c>
      <ns0:c r="B812" t="inlineStr">
        <ns0:is>
          <ns0:t>Utah Jazz</ns0:t>
        </ns0:is>
      </ns0:c>
      <ns0:c r="C812">
        <ns0:f>COUNTIFS(Games_Raw!$K$2:$K$1232,"Yes",Games_Raw!$I$2:$I$1232,A812,Games_Raw!$J$2:$J$1232,B812)</ns0:f>
        <ns0:v>2</ns0:v>
      </ns0:c>
      <ns0:c r="D812">
        <ns0:f>COUNTIFS(Games_Raw!$K$2:$K$1232,"Yes",Games_Raw!$I$2:$I$1232,B812,Games_Raw!$J$2:$J$1232,A812)</ns0:f>
        <ns0:v>0</ns0:v>
      </ns0:c>
      <ns0:c r="E812" t="str">
        <ns0:f>C812&amp;"-"&amp;D812</ns0:f>
        <ns0:v>2-0</ns0:v>
      </ns0:c>
      <ns0:c r="F812">
        <ns0:f>COUNTIFS(Games_Raw!$K$2:$K$1232,"Yes",Games_Raw!$I$2:$I$1232,A812)</ns0:f>
        <ns0:v>30</ns0:v>
      </ns0:c>
      <ns0:c r="G812">
        <ns0:f>COUNTIFS(Games_Raw!$K$2:$K$1232,"Yes",Games_Raw!$J$2:$J$1232,A812)</ns0:f>
        <ns0:v>52</ns0:v>
      </ns0:c>
    </ns0:row>
    <ns0:row r="813">
      <ns0:c r="A813" t="inlineStr">
        <ns0:is>
          <ns0:t>Toronto Raptors</ns0:t>
        </ns0:is>
      </ns0:c>
      <ns0:c r="B813" t="inlineStr">
        <ns0:is>
          <ns0:t>Washington Wizards</ns0:t>
        </ns0:is>
      </ns0:c>
      <ns0:c r="C813">
        <ns0:f>COUNTIFS(Games_Raw!$K$2:$K$1232,"Yes",Games_Raw!$I$2:$I$1232,A813,Games_Raw!$J$2:$J$1232,B813)</ns0:f>
        <ns0:v>3</ns0:v>
      </ns0:c>
      <ns0:c r="D813">
        <ns0:f>COUNTIFS(Games_Raw!$K$2:$K$1232,"Yes",Games_Raw!$I$2:$I$1232,B813,Games_Raw!$J$2:$J$1232,A813)</ns0:f>
        <ns0:v>1</ns0:v>
      </ns0:c>
      <ns0:c r="E813" t="str">
        <ns0:f>C813&amp;"-"&amp;D813</ns0:f>
        <ns0:v>3-1</ns0:v>
      </ns0:c>
      <ns0:c r="F813">
        <ns0:f>COUNTIFS(Games_Raw!$K$2:$K$1232,"Yes",Games_Raw!$I$2:$I$1232,A813)</ns0:f>
        <ns0:v>30</ns0:v>
      </ns0:c>
      <ns0:c r="G813">
        <ns0:f>COUNTIFS(Games_Raw!$K$2:$K$1232,"Yes",Games_Raw!$J$2:$J$1232,A813)</ns0:f>
        <ns0:v>52</ns0:v>
      </ns0:c>
    </ns0:row>
    <ns0:row r="814">
      <ns0:c r="A814" t="inlineStr">
        <ns0:is>
          <ns0:t>Utah Jazz</ns0:t>
        </ns0:is>
      </ns0:c>
      <ns0:c r="B814" t="inlineStr">
        <ns0:is>
          <ns0:t>Atlanta Hawks</ns0:t>
        </ns0:is>
      </ns0:c>
      <ns0:c r="C814">
        <ns0:f>COUNTIFS(Games_Raw!$K$2:$K$1232,"Yes",Games_Raw!$I$2:$I$1232,A814,Games_Raw!$J$2:$J$1232,B814)</ns0:f>
        <ns0:v>0</ns0:v>
      </ns0:c>
      <ns0:c r="D814">
        <ns0:f>COUNTIFS(Games_Raw!$K$2:$K$1232,"Yes",Games_Raw!$I$2:$I$1232,B814,Games_Raw!$J$2:$J$1232,A814)</ns0:f>
        <ns0:v>2</ns0:v>
      </ns0:c>
      <ns0:c r="E814" t="str">
        <ns0:f>C814&amp;"-"&amp;D814</ns0:f>
        <ns0:v>0-2</ns0:v>
      </ns0:c>
      <ns0:c r="F814">
        <ns0:f>COUNTIFS(Games_Raw!$K$2:$K$1232,"Yes",Games_Raw!$I$2:$I$1232,A814)</ns0:f>
        <ns0:v>17</ns0:v>
      </ns0:c>
      <ns0:c r="G814">
        <ns0:f>COUNTIFS(Games_Raw!$K$2:$K$1232,"Yes",Games_Raw!$J$2:$J$1232,A814)</ns0:f>
        <ns0:v>65</ns0:v>
      </ns0:c>
    </ns0:row>
    <ns0:row r="815">
      <ns0:c r="A815" t="inlineStr">
        <ns0:is>
          <ns0:t>Utah Jazz</ns0:t>
        </ns0:is>
      </ns0:c>
      <ns0:c r="B815" t="inlineStr">
        <ns0:is>
          <ns0:t>Boston Celtics</ns0:t>
        </ns0:is>
      </ns0:c>
      <ns0:c r="C815">
        <ns0:f>COUNTIFS(Games_Raw!$K$2:$K$1232,"Yes",Games_Raw!$I$2:$I$1232,A815,Games_Raw!$J$2:$J$1232,B815)</ns0:f>
        <ns0:v>0</ns0:v>
      </ns0:c>
      <ns0:c r="D815">
        <ns0:f>COUNTIFS(Games_Raw!$K$2:$K$1232,"Yes",Games_Raw!$I$2:$I$1232,B815,Games_Raw!$J$2:$J$1232,A815)</ns0:f>
        <ns0:v>2</ns0:v>
      </ns0:c>
      <ns0:c r="E815" t="str">
        <ns0:f>C815&amp;"-"&amp;D815</ns0:f>
        <ns0:v>0-2</ns0:v>
      </ns0:c>
      <ns0:c r="F815">
        <ns0:f>COUNTIFS(Games_Raw!$K$2:$K$1232,"Yes",Games_Raw!$I$2:$I$1232,A815)</ns0:f>
        <ns0:v>17</ns0:v>
      </ns0:c>
      <ns0:c r="G815">
        <ns0:f>COUNTIFS(Games_Raw!$K$2:$K$1232,"Yes",Games_Raw!$J$2:$J$1232,A815)</ns0:f>
        <ns0:v>65</ns0:v>
      </ns0:c>
    </ns0:row>
    <ns0:row r="816">
      <ns0:c r="A816" t="inlineStr">
        <ns0:is>
          <ns0:t>Utah Jazz</ns0:t>
        </ns0:is>
      </ns0:c>
      <ns0:c r="B816" t="inlineStr">
        <ns0:is>
          <ns0:t>Brooklyn Nets</ns0:t>
        </ns0:is>
      </ns0:c>
      <ns0:c r="C816">
        <ns0:f>COUNTIFS(Games_Raw!$K$2:$K$1232,"Yes",Games_Raw!$I$2:$I$1232,A816,Games_Raw!$J$2:$J$1232,B816)</ns0:f>
        <ns0:v>2</ns0:v>
      </ns0:c>
      <ns0:c r="D816">
        <ns0:f>COUNTIFS(Games_Raw!$K$2:$K$1232,"Yes",Games_Raw!$I$2:$I$1232,B816,Games_Raw!$J$2:$J$1232,A816)</ns0:f>
        <ns0:v>0</ns0:v>
      </ns0:c>
      <ns0:c r="E816" t="str">
        <ns0:f>C816&amp;"-"&amp;D816</ns0:f>
        <ns0:v>2-0</ns0:v>
      </ns0:c>
      <ns0:c r="F816">
        <ns0:f>COUNTIFS(Games_Raw!$K$2:$K$1232,"Yes",Games_Raw!$I$2:$I$1232,A816)</ns0:f>
        <ns0:v>17</ns0:v>
      </ns0:c>
      <ns0:c r="G816">
        <ns0:f>COUNTIFS(Games_Raw!$K$2:$K$1232,"Yes",Games_Raw!$J$2:$J$1232,A816)</ns0:f>
        <ns0:v>65</ns0:v>
      </ns0:c>
    </ns0:row>
    <ns0:row r="817">
      <ns0:c r="A817" t="inlineStr">
        <ns0:is>
          <ns0:t>Utah Jazz</ns0:t>
        </ns0:is>
      </ns0:c>
      <ns0:c r="B817" t="inlineStr">
        <ns0:is>
          <ns0:t>Charlotte Hornets</ns0:t>
        </ns0:is>
      </ns0:c>
      <ns0:c r="C817">
        <ns0:f>COUNTIFS(Games_Raw!$K$2:$K$1232,"Yes",Games_Raw!$I$2:$I$1232,A817,Games_Raw!$J$2:$J$1232,B817)</ns0:f>
        <ns0:v>0</ns0:v>
      </ns0:c>
      <ns0:c r="D817">
        <ns0:f>COUNTIFS(Games_Raw!$K$2:$K$1232,"Yes",Games_Raw!$I$2:$I$1232,B817,Games_Raw!$J$2:$J$1232,A817)</ns0:f>
        <ns0:v>2</ns0:v>
      </ns0:c>
      <ns0:c r="E817" t="str">
        <ns0:f>C817&amp;"-"&amp;D817</ns0:f>
        <ns0:v>0-2</ns0:v>
      </ns0:c>
      <ns0:c r="F817">
        <ns0:f>COUNTIFS(Games_Raw!$K$2:$K$1232,"Yes",Games_Raw!$I$2:$I$1232,A817)</ns0:f>
        <ns0:v>17</ns0:v>
      </ns0:c>
      <ns0:c r="G817">
        <ns0:f>COUNTIFS(Games_Raw!$K$2:$K$1232,"Yes",Games_Raw!$J$2:$J$1232,A817)</ns0:f>
        <ns0:v>65</ns0:v>
      </ns0:c>
    </ns0:row>
    <ns0:row r="818">
      <ns0:c r="A818" t="inlineStr">
        <ns0:is>
          <ns0:t>Utah Jazz</ns0:t>
        </ns0:is>
      </ns0:c>
      <ns0:c r="B818" t="inlineStr">
        <ns0:is>
          <ns0:t>Chicago Bulls</ns0:t>
        </ns0:is>
      </ns0:c>
      <ns0:c r="C818">
        <ns0:f>COUNTIFS(Games_Raw!$K$2:$K$1232,"Yes",Games_Raw!$I$2:$I$1232,A818,Games_Raw!$J$2:$J$1232,B818)</ns0:f>
        <ns0:v>1</ns0:v>
      </ns0:c>
      <ns0:c r="D818">
        <ns0:f>COUNTIFS(Games_Raw!$K$2:$K$1232,"Yes",Games_Raw!$I$2:$I$1232,B818,Games_Raw!$J$2:$J$1232,A818)</ns0:f>
        <ns0:v>1</ns0:v>
      </ns0:c>
      <ns0:c r="E818" t="str">
        <ns0:f>C818&amp;"-"&amp;D818</ns0:f>
        <ns0:v>1-1</ns0:v>
      </ns0:c>
      <ns0:c r="F818">
        <ns0:f>COUNTIFS(Games_Raw!$K$2:$K$1232,"Yes",Games_Raw!$I$2:$I$1232,A818)</ns0:f>
        <ns0:v>17</ns0:v>
      </ns0:c>
      <ns0:c r="G818">
        <ns0:f>COUNTIFS(Games_Raw!$K$2:$K$1232,"Yes",Games_Raw!$J$2:$J$1232,A818)</ns0:f>
        <ns0:v>65</ns0:v>
      </ns0:c>
    </ns0:row>
    <ns0:row r="819">
      <ns0:c r="A819" t="inlineStr">
        <ns0:is>
          <ns0:t>Utah Jazz</ns0:t>
        </ns0:is>
      </ns0:c>
      <ns0:c r="B819" t="inlineStr">
        <ns0:is>
          <ns0:t>Cleveland Cavaliers</ns0:t>
        </ns0:is>
      </ns0:c>
      <ns0:c r="C819">
        <ns0:f>COUNTIFS(Games_Raw!$K$2:$K$1232,"Yes",Games_Raw!$I$2:$I$1232,A819,Games_Raw!$J$2:$J$1232,B819)</ns0:f>
        <ns0:v>0</ns0:v>
      </ns0:c>
      <ns0:c r="D819">
        <ns0:f>COUNTIFS(Games_Raw!$K$2:$K$1232,"Yes",Games_Raw!$I$2:$I$1232,B819,Games_Raw!$J$2:$J$1232,A819)</ns0:f>
        <ns0:v>2</ns0:v>
      </ns0:c>
      <ns0:c r="E819" t="str">
        <ns0:f>C819&amp;"-"&amp;D819</ns0:f>
        <ns0:v>0-2</ns0:v>
      </ns0:c>
      <ns0:c r="F819">
        <ns0:f>COUNTIFS(Games_Raw!$K$2:$K$1232,"Yes",Games_Raw!$I$2:$I$1232,A819)</ns0:f>
        <ns0:v>17</ns0:v>
      </ns0:c>
      <ns0:c r="G819">
        <ns0:f>COUNTIFS(Games_Raw!$K$2:$K$1232,"Yes",Games_Raw!$J$2:$J$1232,A819)</ns0:f>
        <ns0:v>65</ns0:v>
      </ns0:c>
    </ns0:row>
    <ns0:row r="820">
      <ns0:c r="A820" t="inlineStr">
        <ns0:is>
          <ns0:t>Utah Jazz</ns0:t>
        </ns0:is>
      </ns0:c>
      <ns0:c r="B820" t="inlineStr">
        <ns0:is>
          <ns0:t>Dallas Mavericks</ns0:t>
        </ns0:is>
      </ns0:c>
      <ns0:c r="C820">
        <ns0:f>COUNTIFS(Games_Raw!$K$2:$K$1232,"Yes",Games_Raw!$I$2:$I$1232,A820,Games_Raw!$J$2:$J$1232,B820)</ns0:f>
        <ns0:v>1</ns0:v>
      </ns0:c>
      <ns0:c r="D820">
        <ns0:f>COUNTIFS(Games_Raw!$K$2:$K$1232,"Yes",Games_Raw!$I$2:$I$1232,B820,Games_Raw!$J$2:$J$1232,A820)</ns0:f>
        <ns0:v>2</ns0:v>
      </ns0:c>
      <ns0:c r="E820" t="str">
        <ns0:f>C820&amp;"-"&amp;D820</ns0:f>
        <ns0:v>1-2</ns0:v>
      </ns0:c>
      <ns0:c r="F820">
        <ns0:f>COUNTIFS(Games_Raw!$K$2:$K$1232,"Yes",Games_Raw!$I$2:$I$1232,A820)</ns0:f>
        <ns0:v>17</ns0:v>
      </ns0:c>
      <ns0:c r="G820">
        <ns0:f>COUNTIFS(Games_Raw!$K$2:$K$1232,"Yes",Games_Raw!$J$2:$J$1232,A820)</ns0:f>
        <ns0:v>65</ns0:v>
      </ns0:c>
    </ns0:row>
    <ns0:row r="821">
      <ns0:c r="A821" t="inlineStr">
        <ns0:is>
          <ns0:t>Utah Jazz</ns0:t>
        </ns0:is>
      </ns0:c>
      <ns0:c r="B821" t="inlineStr">
        <ns0:is>
          <ns0:t>Denver Nuggets</ns0:t>
        </ns0:is>
      </ns0:c>
      <ns0:c r="C821">
        <ns0:f>COUNTIFS(Games_Raw!$K$2:$K$1232,"Yes",Games_Raw!$I$2:$I$1232,A821,Games_Raw!$J$2:$J$1232,B821)</ns0:f>
        <ns0:v>0</ns0:v>
      </ns0:c>
      <ns0:c r="D821">
        <ns0:f>COUNTIFS(Games_Raw!$K$2:$K$1232,"Yes",Games_Raw!$I$2:$I$1232,B821,Games_Raw!$J$2:$J$1232,A821)</ns0:f>
        <ns0:v>4</ns0:v>
      </ns0:c>
      <ns0:c r="E821" t="str">
        <ns0:f>C821&amp;"-"&amp;D821</ns0:f>
        <ns0:v>0-4</ns0:v>
      </ns0:c>
      <ns0:c r="F821">
        <ns0:f>COUNTIFS(Games_Raw!$K$2:$K$1232,"Yes",Games_Raw!$I$2:$I$1232,A821)</ns0:f>
        <ns0:v>17</ns0:v>
      </ns0:c>
      <ns0:c r="G821">
        <ns0:f>COUNTIFS(Games_Raw!$K$2:$K$1232,"Yes",Games_Raw!$J$2:$J$1232,A821)</ns0:f>
        <ns0:v>65</ns0:v>
      </ns0:c>
    </ns0:row>
    <ns0:row r="822">
      <ns0:c r="A822" t="inlineStr">
        <ns0:is>
          <ns0:t>Utah Jazz</ns0:t>
        </ns0:is>
      </ns0:c>
      <ns0:c r="B822" t="inlineStr">
        <ns0:is>
          <ns0:t>Detroit Pistons</ns0:t>
        </ns0:is>
      </ns0:c>
      <ns0:c r="C822">
        <ns0:f>COUNTIFS(Games_Raw!$K$2:$K$1232,"Yes",Games_Raw!$I$2:$I$1232,A822,Games_Raw!$J$2:$J$1232,B822)</ns0:f>
        <ns0:v>1</ns0:v>
      </ns0:c>
      <ns0:c r="D822">
        <ns0:f>COUNTIFS(Games_Raw!$K$2:$K$1232,"Yes",Games_Raw!$I$2:$I$1232,B822,Games_Raw!$J$2:$J$1232,A822)</ns0:f>
        <ns0:v>1</ns0:v>
      </ns0:c>
      <ns0:c r="E822" t="str">
        <ns0:f>C822&amp;"-"&amp;D822</ns0:f>
        <ns0:v>1-1</ns0:v>
      </ns0:c>
      <ns0:c r="F822">
        <ns0:f>COUNTIFS(Games_Raw!$K$2:$K$1232,"Yes",Games_Raw!$I$2:$I$1232,A822)</ns0:f>
        <ns0:v>17</ns0:v>
      </ns0:c>
      <ns0:c r="G822">
        <ns0:f>COUNTIFS(Games_Raw!$K$2:$K$1232,"Yes",Games_Raw!$J$2:$J$1232,A822)</ns0:f>
        <ns0:v>65</ns0:v>
      </ns0:c>
    </ns0:row>
    <ns0:row r="823">
      <ns0:c r="A823" t="inlineStr">
        <ns0:is>
          <ns0:t>Utah Jazz</ns0:t>
        </ns0:is>
      </ns0:c>
      <ns0:c r="B823" t="inlineStr">
        <ns0:is>
          <ns0:t>Golden State Warriors</ns0:t>
        </ns0:is>
      </ns0:c>
      <ns0:c r="C823">
        <ns0:f>COUNTIFS(Games_Raw!$K$2:$K$1232,"Yes",Games_Raw!$I$2:$I$1232,A823,Games_Raw!$J$2:$J$1232,B823)</ns0:f>
        <ns0:v>1</ns0:v>
      </ns0:c>
      <ns0:c r="D823">
        <ns0:f>COUNTIFS(Games_Raw!$K$2:$K$1232,"Yes",Games_Raw!$I$2:$I$1232,B823,Games_Raw!$J$2:$J$1232,A823)</ns0:f>
        <ns0:v>2</ns0:v>
      </ns0:c>
      <ns0:c r="E823" t="str">
        <ns0:f>C823&amp;"-"&amp;D823</ns0:f>
        <ns0:v>1-2</ns0:v>
      </ns0:c>
      <ns0:c r="F823">
        <ns0:f>COUNTIFS(Games_Raw!$K$2:$K$1232,"Yes",Games_Raw!$I$2:$I$1232,A823)</ns0:f>
        <ns0:v>17</ns0:v>
      </ns0:c>
      <ns0:c r="G823">
        <ns0:f>COUNTIFS(Games_Raw!$K$2:$K$1232,"Yes",Games_Raw!$J$2:$J$1232,A823)</ns0:f>
        <ns0:v>65</ns0:v>
      </ns0:c>
    </ns0:row>
    <ns0:row r="824">
      <ns0:c r="A824" t="inlineStr">
        <ns0:is>
          <ns0:t>Utah Jazz</ns0:t>
        </ns0:is>
      </ns0:c>
      <ns0:c r="B824" t="inlineStr">
        <ns0:is>
          <ns0:t>Houston Rockets</ns0:t>
        </ns0:is>
      </ns0:c>
      <ns0:c r="C824">
        <ns0:f>COUNTIFS(Games_Raw!$K$2:$K$1232,"Yes",Games_Raw!$I$2:$I$1232,A824,Games_Raw!$J$2:$J$1232,B824)</ns0:f>
        <ns0:v>1</ns0:v>
      </ns0:c>
      <ns0:c r="D824">
        <ns0:f>COUNTIFS(Games_Raw!$K$2:$K$1232,"Yes",Games_Raw!$I$2:$I$1232,B824,Games_Raw!$J$2:$J$1232,A824)</ns0:f>
        <ns0:v>2</ns0:v>
      </ns0:c>
      <ns0:c r="E824" t="str">
        <ns0:f>C824&amp;"-"&amp;D824</ns0:f>
        <ns0:v>1-2</ns0:v>
      </ns0:c>
      <ns0:c r="F824">
        <ns0:f>COUNTIFS(Games_Raw!$K$2:$K$1232,"Yes",Games_Raw!$I$2:$I$1232,A824)</ns0:f>
        <ns0:v>17</ns0:v>
      </ns0:c>
      <ns0:c r="G824">
        <ns0:f>COUNTIFS(Games_Raw!$K$2:$K$1232,"Yes",Games_Raw!$J$2:$J$1232,A824)</ns0:f>
        <ns0:v>65</ns0:v>
      </ns0:c>
    </ns0:row>
    <ns0:row r="825">
      <ns0:c r="A825" t="inlineStr">
        <ns0:is>
          <ns0:t>Utah Jazz</ns0:t>
        </ns0:is>
      </ns0:c>
      <ns0:c r="B825" t="inlineStr">
        <ns0:is>
          <ns0:t>Indiana Pacers</ns0:t>
        </ns0:is>
      </ns0:c>
      <ns0:c r="C825">
        <ns0:f>COUNTIFS(Games_Raw!$K$2:$K$1232,"Yes",Games_Raw!$I$2:$I$1232,A825,Games_Raw!$J$2:$J$1232,B825)</ns0:f>
        <ns0:v>0</ns0:v>
      </ns0:c>
      <ns0:c r="D825">
        <ns0:f>COUNTIFS(Games_Raw!$K$2:$K$1232,"Yes",Games_Raw!$I$2:$I$1232,B825,Games_Raw!$J$2:$J$1232,A825)</ns0:f>
        <ns0:v>2</ns0:v>
      </ns0:c>
      <ns0:c r="E825" t="str">
        <ns0:f>C825&amp;"-"&amp;D825</ns0:f>
        <ns0:v>0-2</ns0:v>
      </ns0:c>
      <ns0:c r="F825">
        <ns0:f>COUNTIFS(Games_Raw!$K$2:$K$1232,"Yes",Games_Raw!$I$2:$I$1232,A825)</ns0:f>
        <ns0:v>17</ns0:v>
      </ns0:c>
      <ns0:c r="G825">
        <ns0:f>COUNTIFS(Games_Raw!$K$2:$K$1232,"Yes",Games_Raw!$J$2:$J$1232,A825)</ns0:f>
        <ns0:v>65</ns0:v>
      </ns0:c>
    </ns0:row>
    <ns0:row r="826">
      <ns0:c r="A826" t="inlineStr">
        <ns0:is>
          <ns0:t>Utah Jazz</ns0:t>
        </ns0:is>
      </ns0:c>
      <ns0:c r="B826" t="inlineStr">
        <ns0:is>
          <ns0:t>LA Clippers</ns0:t>
        </ns0:is>
      </ns0:c>
      <ns0:c r="C826">
        <ns0:f>COUNTIFS(Games_Raw!$K$2:$K$1232,"Yes",Games_Raw!$I$2:$I$1232,A826,Games_Raw!$J$2:$J$1232,B826)</ns0:f>
        <ns0:v>0</ns0:v>
      </ns0:c>
      <ns0:c r="D826">
        <ns0:f>COUNTIFS(Games_Raw!$K$2:$K$1232,"Yes",Games_Raw!$I$2:$I$1232,B826,Games_Raw!$J$2:$J$1232,A826)</ns0:f>
        <ns0:v>4</ns0:v>
      </ns0:c>
      <ns0:c r="E826" t="str">
        <ns0:f>C826&amp;"-"&amp;D826</ns0:f>
        <ns0:v>0-4</ns0:v>
      </ns0:c>
      <ns0:c r="F826">
        <ns0:f>COUNTIFS(Games_Raw!$K$2:$K$1232,"Yes",Games_Raw!$I$2:$I$1232,A826)</ns0:f>
        <ns0:v>17</ns0:v>
      </ns0:c>
      <ns0:c r="G826">
        <ns0:f>COUNTIFS(Games_Raw!$K$2:$K$1232,"Yes",Games_Raw!$J$2:$J$1232,A826)</ns0:f>
        <ns0:v>65</ns0:v>
      </ns0:c>
    </ns0:row>
    <ns0:row r="827">
      <ns0:c r="A827" t="inlineStr">
        <ns0:is>
          <ns0:t>Utah Jazz</ns0:t>
        </ns0:is>
      </ns0:c>
      <ns0:c r="B827" t="inlineStr">
        <ns0:is>
          <ns0:t>Los Angeles Lakers</ns0:t>
        </ns0:is>
      </ns0:c>
      <ns0:c r="C827">
        <ns0:f>COUNTIFS(Games_Raw!$K$2:$K$1232,"Yes",Games_Raw!$I$2:$I$1232,A827,Games_Raw!$J$2:$J$1232,B827)</ns0:f>
        <ns0:v>1</ns0:v>
      </ns0:c>
      <ns0:c r="D827">
        <ns0:f>COUNTIFS(Games_Raw!$K$2:$K$1232,"Yes",Games_Raw!$I$2:$I$1232,B827,Games_Raw!$J$2:$J$1232,A827)</ns0:f>
        <ns0:v>3</ns0:v>
      </ns0:c>
      <ns0:c r="E827" t="str">
        <ns0:f>C827&amp;"-"&amp;D827</ns0:f>
        <ns0:v>1-3</ns0:v>
      </ns0:c>
      <ns0:c r="F827">
        <ns0:f>COUNTIFS(Games_Raw!$K$2:$K$1232,"Yes",Games_Raw!$I$2:$I$1232,A827)</ns0:f>
        <ns0:v>17</ns0:v>
      </ns0:c>
      <ns0:c r="G827">
        <ns0:f>COUNTIFS(Games_Raw!$K$2:$K$1232,"Yes",Games_Raw!$J$2:$J$1232,A827)</ns0:f>
        <ns0:v>65</ns0:v>
      </ns0:c>
    </ns0:row>
    <ns0:row r="828">
      <ns0:c r="A828" t="inlineStr">
        <ns0:is>
          <ns0:t>Utah Jazz</ns0:t>
        </ns0:is>
      </ns0:c>
      <ns0:c r="B828" t="inlineStr">
        <ns0:is>
          <ns0:t>Memphis Grizzlies</ns0:t>
        </ns0:is>
      </ns0:c>
      <ns0:c r="C828">
        <ns0:f>COUNTIFS(Games_Raw!$K$2:$K$1232,"Yes",Games_Raw!$I$2:$I$1232,A828,Games_Raw!$J$2:$J$1232,B828)</ns0:f>
        <ns0:v>0</ns0:v>
      </ns0:c>
      <ns0:c r="D828">
        <ns0:f>COUNTIFS(Games_Raw!$K$2:$K$1232,"Yes",Games_Raw!$I$2:$I$1232,B828,Games_Raw!$J$2:$J$1232,A828)</ns0:f>
        <ns0:v>4</ns0:v>
      </ns0:c>
      <ns0:c r="E828" t="str">
        <ns0:f>C828&amp;"-"&amp;D828</ns0:f>
        <ns0:v>0-4</ns0:v>
      </ns0:c>
      <ns0:c r="F828">
        <ns0:f>COUNTIFS(Games_Raw!$K$2:$K$1232,"Yes",Games_Raw!$I$2:$I$1232,A828)</ns0:f>
        <ns0:v>17</ns0:v>
      </ns0:c>
      <ns0:c r="G828">
        <ns0:f>COUNTIFS(Games_Raw!$K$2:$K$1232,"Yes",Games_Raw!$J$2:$J$1232,A828)</ns0:f>
        <ns0:v>65</ns0:v>
      </ns0:c>
    </ns0:row>
    <ns0:row r="829">
      <ns0:c r="A829" t="inlineStr">
        <ns0:is>
          <ns0:t>Utah Jazz</ns0:t>
        </ns0:is>
      </ns0:c>
      <ns0:c r="B829" t="inlineStr">
        <ns0:is>
          <ns0:t>Miami Heat</ns0:t>
        </ns0:is>
      </ns0:c>
      <ns0:c r="C829">
        <ns0:f>COUNTIFS(Games_Raw!$K$2:$K$1232,"Yes",Games_Raw!$I$2:$I$1232,A829,Games_Raw!$J$2:$J$1232,B829)</ns0:f>
        <ns0:v>1</ns0:v>
      </ns0:c>
      <ns0:c r="D829">
        <ns0:f>COUNTIFS(Games_Raw!$K$2:$K$1232,"Yes",Games_Raw!$I$2:$I$1232,B829,Games_Raw!$J$2:$J$1232,A829)</ns0:f>
        <ns0:v>1</ns0:v>
      </ns0:c>
      <ns0:c r="E829" t="str">
        <ns0:f>C829&amp;"-"&amp;D829</ns0:f>
        <ns0:v>1-1</ns0:v>
      </ns0:c>
      <ns0:c r="F829">
        <ns0:f>COUNTIFS(Games_Raw!$K$2:$K$1232,"Yes",Games_Raw!$I$2:$I$1232,A829)</ns0:f>
        <ns0:v>17</ns0:v>
      </ns0:c>
      <ns0:c r="G829">
        <ns0:f>COUNTIFS(Games_Raw!$K$2:$K$1232,"Yes",Games_Raw!$J$2:$J$1232,A829)</ns0:f>
        <ns0:v>65</ns0:v>
      </ns0:c>
    </ns0:row>
    <ns0:row r="830">
      <ns0:c r="A830" t="inlineStr">
        <ns0:is>
          <ns0:t>Utah Jazz</ns0:t>
        </ns0:is>
      </ns0:c>
      <ns0:c r="B830" t="inlineStr">
        <ns0:is>
          <ns0:t>Milwaukee Bucks</ns0:t>
        </ns0:is>
      </ns0:c>
      <ns0:c r="C830">
        <ns0:f>COUNTIFS(Games_Raw!$K$2:$K$1232,"Yes",Games_Raw!$I$2:$I$1232,A830,Games_Raw!$J$2:$J$1232,B830)</ns0:f>
        <ns0:v>0</ns0:v>
      </ns0:c>
      <ns0:c r="D830">
        <ns0:f>COUNTIFS(Games_Raw!$K$2:$K$1232,"Yes",Games_Raw!$I$2:$I$1232,B830,Games_Raw!$J$2:$J$1232,A830)</ns0:f>
        <ns0:v>2</ns0:v>
      </ns0:c>
      <ns0:c r="E830" t="str">
        <ns0:f>C830&amp;"-"&amp;D830</ns0:f>
        <ns0:v>0-2</ns0:v>
      </ns0:c>
      <ns0:c r="F830">
        <ns0:f>COUNTIFS(Games_Raw!$K$2:$K$1232,"Yes",Games_Raw!$I$2:$I$1232,A830)</ns0:f>
        <ns0:v>17</ns0:v>
      </ns0:c>
      <ns0:c r="G830">
        <ns0:f>COUNTIFS(Games_Raw!$K$2:$K$1232,"Yes",Games_Raw!$J$2:$J$1232,A830)</ns0:f>
        <ns0:v>65</ns0:v>
      </ns0:c>
    </ns0:row>
    <ns0:row r="831">
      <ns0:c r="A831" t="inlineStr">
        <ns0:is>
          <ns0:t>Utah Jazz</ns0:t>
        </ns0:is>
      </ns0:c>
      <ns0:c r="B831" t="inlineStr">
        <ns0:is>
          <ns0:t>Minnesota Timberwolves</ns0:t>
        </ns0:is>
      </ns0:c>
      <ns0:c r="C831">
        <ns0:f>COUNTIFS(Games_Raw!$K$2:$K$1232,"Yes",Games_Raw!$I$2:$I$1232,A831,Games_Raw!$J$2:$J$1232,B831)</ns0:f>
        <ns0:v>1</ns0:v>
      </ns0:c>
      <ns0:c r="D831">
        <ns0:f>COUNTIFS(Games_Raw!$K$2:$K$1232,"Yes",Games_Raw!$I$2:$I$1232,B831,Games_Raw!$J$2:$J$1232,A831)</ns0:f>
        <ns0:v>3</ns0:v>
      </ns0:c>
      <ns0:c r="E831" t="str">
        <ns0:f>C831&amp;"-"&amp;D831</ns0:f>
        <ns0:v>1-3</ns0:v>
      </ns0:c>
      <ns0:c r="F831">
        <ns0:f>COUNTIFS(Games_Raw!$K$2:$K$1232,"Yes",Games_Raw!$I$2:$I$1232,A831)</ns0:f>
        <ns0:v>17</ns0:v>
      </ns0:c>
      <ns0:c r="G831">
        <ns0:f>COUNTIFS(Games_Raw!$K$2:$K$1232,"Yes",Games_Raw!$J$2:$J$1232,A831)</ns0:f>
        <ns0:v>65</ns0:v>
      </ns0:c>
    </ns0:row>
    <ns0:row r="832">
      <ns0:c r="A832" t="inlineStr">
        <ns0:is>
          <ns0:t>Utah Jazz</ns0:t>
        </ns0:is>
      </ns0:c>
      <ns0:c r="B832" t="inlineStr">
        <ns0:is>
          <ns0:t>New Orleans Pelicans</ns0:t>
        </ns0:is>
      </ns0:c>
      <ns0:c r="C832">
        <ns0:f>COUNTIFS(Games_Raw!$K$2:$K$1232,"Yes",Games_Raw!$I$2:$I$1232,A832,Games_Raw!$J$2:$J$1232,B832)</ns0:f>
        <ns0:v>0</ns0:v>
      </ns0:c>
      <ns0:c r="D832">
        <ns0:f>COUNTIFS(Games_Raw!$K$2:$K$1232,"Yes",Games_Raw!$I$2:$I$1232,B832,Games_Raw!$J$2:$J$1232,A832)</ns0:f>
        <ns0:v>3</ns0:v>
      </ns0:c>
      <ns0:c r="E832" t="str">
        <ns0:f>C832&amp;"-"&amp;D832</ns0:f>
        <ns0:v>0-3</ns0:v>
      </ns0:c>
      <ns0:c r="F832">
        <ns0:f>COUNTIFS(Games_Raw!$K$2:$K$1232,"Yes",Games_Raw!$I$2:$I$1232,A832)</ns0:f>
        <ns0:v>17</ns0:v>
      </ns0:c>
      <ns0:c r="G832">
        <ns0:f>COUNTIFS(Games_Raw!$K$2:$K$1232,"Yes",Games_Raw!$J$2:$J$1232,A832)</ns0:f>
        <ns0:v>65</ns0:v>
      </ns0:c>
    </ns0:row>
    <ns0:row r="833">
      <ns0:c r="A833" t="inlineStr">
        <ns0:is>
          <ns0:t>Utah Jazz</ns0:t>
        </ns0:is>
      </ns0:c>
      <ns0:c r="B833" t="inlineStr">
        <ns0:is>
          <ns0:t>New York Knicks</ns0:t>
        </ns0:is>
      </ns0:c>
      <ns0:c r="C833">
        <ns0:f>COUNTIFS(Games_Raw!$K$2:$K$1232,"Yes",Games_Raw!$I$2:$I$1232,A833,Games_Raw!$J$2:$J$1232,B833)</ns0:f>
        <ns0:v>1</ns0:v>
      </ns0:c>
      <ns0:c r="D833">
        <ns0:f>COUNTIFS(Games_Raw!$K$2:$K$1232,"Yes",Games_Raw!$I$2:$I$1232,B833,Games_Raw!$J$2:$J$1232,A833)</ns0:f>
        <ns0:v>1</ns0:v>
      </ns0:c>
      <ns0:c r="E833" t="str">
        <ns0:f>C833&amp;"-"&amp;D833</ns0:f>
        <ns0:v>1-1</ns0:v>
      </ns0:c>
      <ns0:c r="F833">
        <ns0:f>COUNTIFS(Games_Raw!$K$2:$K$1232,"Yes",Games_Raw!$I$2:$I$1232,A833)</ns0:f>
        <ns0:v>17</ns0:v>
      </ns0:c>
      <ns0:c r="G833">
        <ns0:f>COUNTIFS(Games_Raw!$K$2:$K$1232,"Yes",Games_Raw!$J$2:$J$1232,A833)</ns0:f>
        <ns0:v>65</ns0:v>
      </ns0:c>
    </ns0:row>
    <ns0:row r="834">
      <ns0:c r="A834" t="inlineStr">
        <ns0:is>
          <ns0:t>Utah Jazz</ns0:t>
        </ns0:is>
      </ns0:c>
      <ns0:c r="B834" t="inlineStr">
        <ns0:is>
          <ns0:t>Oklahoma City Thunder</ns0:t>
        </ns0:is>
      </ns0:c>
      <ns0:c r="C834">
        <ns0:f>COUNTIFS(Games_Raw!$K$2:$K$1232,"Yes",Games_Raw!$I$2:$I$1232,A834,Games_Raw!$J$2:$J$1232,B834)</ns0:f>
        <ns0:v>0</ns0:v>
      </ns0:c>
      <ns0:c r="D834">
        <ns0:f>COUNTIFS(Games_Raw!$K$2:$K$1232,"Yes",Games_Raw!$I$2:$I$1232,B834,Games_Raw!$J$2:$J$1232,A834)</ns0:f>
        <ns0:v>4</ns0:v>
      </ns0:c>
      <ns0:c r="E834" t="str">
        <ns0:f>C834&amp;"-"&amp;D834</ns0:f>
        <ns0:v>0-4</ns0:v>
      </ns0:c>
      <ns0:c r="F834">
        <ns0:f>COUNTIFS(Games_Raw!$K$2:$K$1232,"Yes",Games_Raw!$I$2:$I$1232,A834)</ns0:f>
        <ns0:v>17</ns0:v>
      </ns0:c>
      <ns0:c r="G834">
        <ns0:f>COUNTIFS(Games_Raw!$K$2:$K$1232,"Yes",Games_Raw!$J$2:$J$1232,A834)</ns0:f>
        <ns0:v>65</ns0:v>
      </ns0:c>
    </ns0:row>
    <ns0:row r="835">
      <ns0:c r="A835" t="inlineStr">
        <ns0:is>
          <ns0:t>Utah Jazz</ns0:t>
        </ns0:is>
      </ns0:c>
      <ns0:c r="B835" t="inlineStr">
        <ns0:is>
          <ns0:t>Orlando Magic</ns0:t>
        </ns0:is>
      </ns0:c>
      <ns0:c r="C835">
        <ns0:f>COUNTIFS(Games_Raw!$K$2:$K$1232,"Yes",Games_Raw!$I$2:$I$1232,A835,Games_Raw!$J$2:$J$1232,B835)</ns0:f>
        <ns0:v>2</ns0:v>
      </ns0:c>
      <ns0:c r="D835">
        <ns0:f>COUNTIFS(Games_Raw!$K$2:$K$1232,"Yes",Games_Raw!$I$2:$I$1232,B835,Games_Raw!$J$2:$J$1232,A835)</ns0:f>
        <ns0:v>0</ns0:v>
      </ns0:c>
      <ns0:c r="E835" t="str">
        <ns0:f>C835&amp;"-"&amp;D835</ns0:f>
        <ns0:v>2-0</ns0:v>
      </ns0:c>
      <ns0:c r="F835">
        <ns0:f>COUNTIFS(Games_Raw!$K$2:$K$1232,"Yes",Games_Raw!$I$2:$I$1232,A835)</ns0:f>
        <ns0:v>17</ns0:v>
      </ns0:c>
      <ns0:c r="G835">
        <ns0:f>COUNTIFS(Games_Raw!$K$2:$K$1232,"Yes",Games_Raw!$J$2:$J$1232,A835)</ns0:f>
        <ns0:v>65</ns0:v>
      </ns0:c>
    </ns0:row>
    <ns0:row r="836">
      <ns0:c r="A836" t="inlineStr">
        <ns0:is>
          <ns0:t>Utah Jazz</ns0:t>
        </ns0:is>
      </ns0:c>
      <ns0:c r="B836" t="inlineStr">
        <ns0:is>
          <ns0:t>Philadelphia 76ers</ns0:t>
        </ns0:is>
      </ns0:c>
      <ns0:c r="C836">
        <ns0:f>COUNTIFS(Games_Raw!$K$2:$K$1232,"Yes",Games_Raw!$I$2:$I$1232,A836,Games_Raw!$J$2:$J$1232,B836)</ns0:f>
        <ns0:v>0</ns0:v>
      </ns0:c>
      <ns0:c r="D836">
        <ns0:f>COUNTIFS(Games_Raw!$K$2:$K$1232,"Yes",Games_Raw!$I$2:$I$1232,B836,Games_Raw!$J$2:$J$1232,A836)</ns0:f>
        <ns0:v>2</ns0:v>
      </ns0:c>
      <ns0:c r="E836" t="str">
        <ns0:f>C836&amp;"-"&amp;D836</ns0:f>
        <ns0:v>0-2</ns0:v>
      </ns0:c>
      <ns0:c r="F836">
        <ns0:f>COUNTIFS(Games_Raw!$K$2:$K$1232,"Yes",Games_Raw!$I$2:$I$1232,A836)</ns0:f>
        <ns0:v>17</ns0:v>
      </ns0:c>
      <ns0:c r="G836">
        <ns0:f>COUNTIFS(Games_Raw!$K$2:$K$1232,"Yes",Games_Raw!$J$2:$J$1232,A836)</ns0:f>
        <ns0:v>65</ns0:v>
      </ns0:c>
    </ns0:row>
    <ns0:row r="837">
      <ns0:c r="A837" t="inlineStr">
        <ns0:is>
          <ns0:t>Utah Jazz</ns0:t>
        </ns0:is>
      </ns0:c>
      <ns0:c r="B837" t="inlineStr">
        <ns0:is>
          <ns0:t>Phoenix Suns</ns0:t>
        </ns0:is>
      </ns0:c>
      <ns0:c r="C837">
        <ns0:f>COUNTIFS(Games_Raw!$K$2:$K$1232,"Yes",Games_Raw!$I$2:$I$1232,A837,Games_Raw!$J$2:$J$1232,B837)</ns0:f>
        <ns0:v>0</ns0:v>
      </ns0:c>
      <ns0:c r="D837">
        <ns0:f>COUNTIFS(Games_Raw!$K$2:$K$1232,"Yes",Games_Raw!$I$2:$I$1232,B837,Games_Raw!$J$2:$J$1232,A837)</ns0:f>
        <ns0:v>4</ns0:v>
      </ns0:c>
      <ns0:c r="E837" t="str">
        <ns0:f>C837&amp;"-"&amp;D837</ns0:f>
        <ns0:v>0-4</ns0:v>
      </ns0:c>
      <ns0:c r="F837">
        <ns0:f>COUNTIFS(Games_Raw!$K$2:$K$1232,"Yes",Games_Raw!$I$2:$I$1232,A837)</ns0:f>
        <ns0:v>17</ns0:v>
      </ns0:c>
      <ns0:c r="G837">
        <ns0:f>COUNTIFS(Games_Raw!$K$2:$K$1232,"Yes",Games_Raw!$J$2:$J$1232,A837)</ns0:f>
        <ns0:v>65</ns0:v>
      </ns0:c>
    </ns0:row>
    <ns0:row r="838">
      <ns0:c r="A838" t="inlineStr">
        <ns0:is>
          <ns0:t>Utah Jazz</ns0:t>
        </ns0:is>
      </ns0:c>
      <ns0:c r="B838" t="inlineStr">
        <ns0:is>
          <ns0:t>Portland Trail Blazers</ns0:t>
        </ns0:is>
      </ns0:c>
      <ns0:c r="C838">
        <ns0:f>COUNTIFS(Games_Raw!$K$2:$K$1232,"Yes",Games_Raw!$I$2:$I$1232,A838,Games_Raw!$J$2:$J$1232,B838)</ns0:f>
        <ns0:v>2</ns0:v>
      </ns0:c>
      <ns0:c r="D838">
        <ns0:f>COUNTIFS(Games_Raw!$K$2:$K$1232,"Yes",Games_Raw!$I$2:$I$1232,B838,Games_Raw!$J$2:$J$1232,A838)</ns0:f>
        <ns0:v>2</ns0:v>
      </ns0:c>
      <ns0:c r="E838" t="str">
        <ns0:f>C838&amp;"-"&amp;D838</ns0:f>
        <ns0:v>2-2</ns0:v>
      </ns0:c>
      <ns0:c r="F838">
        <ns0:f>COUNTIFS(Games_Raw!$K$2:$K$1232,"Yes",Games_Raw!$I$2:$I$1232,A838)</ns0:f>
        <ns0:v>17</ns0:v>
      </ns0:c>
      <ns0:c r="G838">
        <ns0:f>COUNTIFS(Games_Raw!$K$2:$K$1232,"Yes",Games_Raw!$J$2:$J$1232,A838)</ns0:f>
        <ns0:v>65</ns0:v>
      </ns0:c>
    </ns0:row>
    <ns0:row r="839">
      <ns0:c r="A839" t="inlineStr">
        <ns0:is>
          <ns0:t>Utah Jazz</ns0:t>
        </ns0:is>
      </ns0:c>
      <ns0:c r="B839" t="inlineStr">
        <ns0:is>
          <ns0:t>Sacramento Kings</ns0:t>
        </ns0:is>
      </ns0:c>
      <ns0:c r="C839">
        <ns0:f>COUNTIFS(Games_Raw!$K$2:$K$1232,"Yes",Games_Raw!$I$2:$I$1232,A839,Games_Raw!$J$2:$J$1232,B839)</ns0:f>
        <ns0:v>0</ns0:v>
      </ns0:c>
      <ns0:c r="D839">
        <ns0:f>COUNTIFS(Games_Raw!$K$2:$K$1232,"Yes",Games_Raw!$I$2:$I$1232,B839,Games_Raw!$J$2:$J$1232,A839)</ns0:f>
        <ns0:v>4</ns0:v>
      </ns0:c>
      <ns0:c r="E839" t="str">
        <ns0:f>C839&amp;"-"&amp;D839</ns0:f>
        <ns0:v>0-4</ns0:v>
      </ns0:c>
      <ns0:c r="F839">
        <ns0:f>COUNTIFS(Games_Raw!$K$2:$K$1232,"Yes",Games_Raw!$I$2:$I$1232,A839)</ns0:f>
        <ns0:v>17</ns0:v>
      </ns0:c>
      <ns0:c r="G839">
        <ns0:f>COUNTIFS(Games_Raw!$K$2:$K$1232,"Yes",Games_Raw!$J$2:$J$1232,A839)</ns0:f>
        <ns0:v>65</ns0:v>
      </ns0:c>
    </ns0:row>
    <ns0:row r="840">
      <ns0:c r="A840" t="inlineStr">
        <ns0:is>
          <ns0:t>Utah Jazz</ns0:t>
        </ns0:is>
      </ns0:c>
      <ns0:c r="B840" t="inlineStr">
        <ns0:is>
          <ns0:t>San Antonio Spurs</ns0:t>
        </ns0:is>
      </ns0:c>
      <ns0:c r="C840">
        <ns0:f>COUNTIFS(Games_Raw!$K$2:$K$1232,"Yes",Games_Raw!$I$2:$I$1232,A840,Games_Raw!$J$2:$J$1232,B840)</ns0:f>
        <ns0:v>1</ns0:v>
      </ns0:c>
      <ns0:c r="D840">
        <ns0:f>COUNTIFS(Games_Raw!$K$2:$K$1232,"Yes",Games_Raw!$I$2:$I$1232,B840,Games_Raw!$J$2:$J$1232,A840)</ns0:f>
        <ns0:v>3</ns0:v>
      </ns0:c>
      <ns0:c r="E840" t="str">
        <ns0:f>C840&amp;"-"&amp;D840</ns0:f>
        <ns0:v>1-3</ns0:v>
      </ns0:c>
      <ns0:c r="F840">
        <ns0:f>COUNTIFS(Games_Raw!$K$2:$K$1232,"Yes",Games_Raw!$I$2:$I$1232,A840)</ns0:f>
        <ns0:v>17</ns0:v>
      </ns0:c>
      <ns0:c r="G840">
        <ns0:f>COUNTIFS(Games_Raw!$K$2:$K$1232,"Yes",Games_Raw!$J$2:$J$1232,A840)</ns0:f>
        <ns0:v>65</ns0:v>
      </ns0:c>
    </ns0:row>
    <ns0:row r="841">
      <ns0:c r="A841" t="inlineStr">
        <ns0:is>
          <ns0:t>Utah Jazz</ns0:t>
        </ns0:is>
      </ns0:c>
      <ns0:c r="B841" t="inlineStr">
        <ns0:is>
          <ns0:t>Toronto Raptors</ns0:t>
        </ns0:is>
      </ns0:c>
      <ns0:c r="C841">
        <ns0:f>COUNTIFS(Games_Raw!$K$2:$K$1232,"Yes",Games_Raw!$I$2:$I$1232,A841,Games_Raw!$J$2:$J$1232,B841)</ns0:f>
        <ns0:v>0</ns0:v>
      </ns0:c>
      <ns0:c r="D841">
        <ns0:f>COUNTIFS(Games_Raw!$K$2:$K$1232,"Yes",Games_Raw!$I$2:$I$1232,B841,Games_Raw!$J$2:$J$1232,A841)</ns0:f>
        <ns0:v>2</ns0:v>
      </ns0:c>
      <ns0:c r="E841" t="str">
        <ns0:f>C841&amp;"-"&amp;D841</ns0:f>
        <ns0:v>0-2</ns0:v>
      </ns0:c>
      <ns0:c r="F841">
        <ns0:f>COUNTIFS(Games_Raw!$K$2:$K$1232,"Yes",Games_Raw!$I$2:$I$1232,A841)</ns0:f>
        <ns0:v>17</ns0:v>
      </ns0:c>
      <ns0:c r="G841">
        <ns0:f>COUNTIFS(Games_Raw!$K$2:$K$1232,"Yes",Games_Raw!$J$2:$J$1232,A841)</ns0:f>
        <ns0:v>65</ns0:v>
      </ns0:c>
    </ns0:row>
    <ns0:row r="842">
      <ns0:c r="A842" t="inlineStr">
        <ns0:is>
          <ns0:t>Utah Jazz</ns0:t>
        </ns0:is>
      </ns0:c>
      <ns0:c r="B842" t="inlineStr">
        <ns0:is>
          <ns0:t>Washington Wizards</ns0:t>
        </ns0:is>
      </ns0:c>
      <ns0:c r="C842">
        <ns0:f>COUNTIFS(Games_Raw!$K$2:$K$1232,"Yes",Games_Raw!$I$2:$I$1232,A842,Games_Raw!$J$2:$J$1232,B842)</ns0:f>
        <ns0:v>1</ns0:v>
      </ns0:c>
      <ns0:c r="D842">
        <ns0:f>COUNTIFS(Games_Raw!$K$2:$K$1232,"Yes",Games_Raw!$I$2:$I$1232,B842,Games_Raw!$J$2:$J$1232,A842)</ns0:f>
        <ns0:v>1</ns0:v>
      </ns0:c>
      <ns0:c r="E842" t="str">
        <ns0:f>C842&amp;"-"&amp;D842</ns0:f>
        <ns0:v>1-1</ns0:v>
      </ns0:c>
      <ns0:c r="F842">
        <ns0:f>COUNTIFS(Games_Raw!$K$2:$K$1232,"Yes",Games_Raw!$I$2:$I$1232,A842)</ns0:f>
        <ns0:v>17</ns0:v>
      </ns0:c>
      <ns0:c r="G842">
        <ns0:f>COUNTIFS(Games_Raw!$K$2:$K$1232,"Yes",Games_Raw!$J$2:$J$1232,A842)</ns0:f>
        <ns0:v>65</ns0:v>
      </ns0:c>
    </ns0:row>
    <ns0:row r="843">
      <ns0:c r="A843" t="inlineStr">
        <ns0:is>
          <ns0:t>Washington Wizards</ns0:t>
        </ns0:is>
      </ns0:c>
      <ns0:c r="B843" t="inlineStr">
        <ns0:is>
          <ns0:t>Atlanta Hawks</ns0:t>
        </ns0:is>
      </ns0:c>
      <ns0:c r="C843">
        <ns0:f>COUNTIFS(Games_Raw!$K$2:$K$1232,"Yes",Games_Raw!$I$2:$I$1232,A843,Games_Raw!$J$2:$J$1232,B843)</ns0:f>
        <ns0:v>2</ns0:v>
      </ns0:c>
      <ns0:c r="D843">
        <ns0:f>COUNTIFS(Games_Raw!$K$2:$K$1232,"Yes",Games_Raw!$I$2:$I$1232,B843,Games_Raw!$J$2:$J$1232,A843)</ns0:f>
        <ns0:v>2</ns0:v>
      </ns0:c>
      <ns0:c r="E843" t="str">
        <ns0:f>C843&amp;"-"&amp;D843</ns0:f>
        <ns0:v>2-2</ns0:v>
      </ns0:c>
      <ns0:c r="F843">
        <ns0:f>COUNTIFS(Games_Raw!$K$2:$K$1232,"Yes",Games_Raw!$I$2:$I$1232,A843)</ns0:f>
        <ns0:v>18</ns0:v>
      </ns0:c>
      <ns0:c r="G843">
        <ns0:f>COUNTIFS(Games_Raw!$K$2:$K$1232,"Yes",Games_Raw!$J$2:$J$1232,A843)</ns0:f>
        <ns0:v>64</ns0:v>
      </ns0:c>
    </ns0:row>
    <ns0:row r="844">
      <ns0:c r="A844" t="inlineStr">
        <ns0:is>
          <ns0:t>Washington Wizards</ns0:t>
        </ns0:is>
      </ns0:c>
      <ns0:c r="B844" t="inlineStr">
        <ns0:is>
          <ns0:t>Boston Celtics</ns0:t>
        </ns0:is>
      </ns0:c>
      <ns0:c r="C844">
        <ns0:f>COUNTIFS(Games_Raw!$K$2:$K$1232,"Yes",Games_Raw!$I$2:$I$1232,A844,Games_Raw!$J$2:$J$1232,B844)</ns0:f>
        <ns0:v>0</ns0:v>
      </ns0:c>
      <ns0:c r="D844">
        <ns0:f>COUNTIFS(Games_Raw!$K$2:$K$1232,"Yes",Games_Raw!$I$2:$I$1232,B844,Games_Raw!$J$2:$J$1232,A844)</ns0:f>
        <ns0:v>4</ns0:v>
      </ns0:c>
      <ns0:c r="E844" t="str">
        <ns0:f>C844&amp;"-"&amp;D844</ns0:f>
        <ns0:v>0-4</ns0:v>
      </ns0:c>
      <ns0:c r="F844">
        <ns0:f>COUNTIFS(Games_Raw!$K$2:$K$1232,"Yes",Games_Raw!$I$2:$I$1232,A844)</ns0:f>
        <ns0:v>18</ns0:v>
      </ns0:c>
      <ns0:c r="G844">
        <ns0:f>COUNTIFS(Games_Raw!$K$2:$K$1232,"Yes",Games_Raw!$J$2:$J$1232,A844)</ns0:f>
        <ns0:v>64</ns0:v>
      </ns0:c>
    </ns0:row>
    <ns0:row r="845">
      <ns0:c r="A845" t="inlineStr">
        <ns0:is>
          <ns0:t>Washington Wizards</ns0:t>
        </ns0:is>
      </ns0:c>
      <ns0:c r="B845" t="inlineStr">
        <ns0:is>
          <ns0:t>Brooklyn Nets</ns0:t>
        </ns0:is>
      </ns0:c>
      <ns0:c r="C845">
        <ns0:f>COUNTIFS(Games_Raw!$K$2:$K$1232,"Yes",Games_Raw!$I$2:$I$1232,A845,Games_Raw!$J$2:$J$1232,B845)</ns0:f>
        <ns0:v>2</ns0:v>
      </ns0:c>
      <ns0:c r="D845">
        <ns0:f>COUNTIFS(Games_Raw!$K$2:$K$1232,"Yes",Games_Raw!$I$2:$I$1232,B845,Games_Raw!$J$2:$J$1232,A845)</ns0:f>
        <ns0:v>1</ns0:v>
      </ns0:c>
      <ns0:c r="E845" t="str">
        <ns0:f>C845&amp;"-"&amp;D845</ns0:f>
        <ns0:v>2-1</ns0:v>
      </ns0:c>
      <ns0:c r="F845">
        <ns0:f>COUNTIFS(Games_Raw!$K$2:$K$1232,"Yes",Games_Raw!$I$2:$I$1232,A845)</ns0:f>
        <ns0:v>18</ns0:v>
      </ns0:c>
      <ns0:c r="G845">
        <ns0:f>COUNTIFS(Games_Raw!$K$2:$K$1232,"Yes",Games_Raw!$J$2:$J$1232,A845)</ns0:f>
        <ns0:v>64</ns0:v>
      </ns0:c>
    </ns0:row>
    <ns0:row r="846">
      <ns0:c r="A846" t="inlineStr">
        <ns0:is>
          <ns0:t>Washington Wizards</ns0:t>
        </ns0:is>
      </ns0:c>
      <ns0:c r="B846" t="inlineStr">
        <ns0:is>
          <ns0:t>Charlotte Hornets</ns0:t>
        </ns0:is>
      </ns0:c>
      <ns0:c r="C846">
        <ns0:f>COUNTIFS(Games_Raw!$K$2:$K$1232,"Yes",Games_Raw!$I$2:$I$1232,A846,Games_Raw!$J$2:$J$1232,B846)</ns0:f>
        <ns0:v>4</ns0:v>
      </ns0:c>
      <ns0:c r="D846">
        <ns0:f>COUNTIFS(Games_Raw!$K$2:$K$1232,"Yes",Games_Raw!$I$2:$I$1232,B846,Games_Raw!$J$2:$J$1232,A846)</ns0:f>
        <ns0:v>0</ns0:v>
      </ns0:c>
      <ns0:c r="E846" t="str">
        <ns0:f>C846&amp;"-"&amp;D846</ns0:f>
        <ns0:v>4-0</ns0:v>
      </ns0:c>
      <ns0:c r="F846">
        <ns0:f>COUNTIFS(Games_Raw!$K$2:$K$1232,"Yes",Games_Raw!$I$2:$I$1232,A846)</ns0:f>
        <ns0:v>18</ns0:v>
      </ns0:c>
      <ns0:c r="G846">
        <ns0:f>COUNTIFS(Games_Raw!$K$2:$K$1232,"Yes",Games_Raw!$J$2:$J$1232,A846)</ns0:f>
        <ns0:v>64</ns0:v>
      </ns0:c>
    </ns0:row>
    <ns0:row r="847">
      <ns0:c r="A847" t="inlineStr">
        <ns0:is>
          <ns0:t>Washington Wizards</ns0:t>
        </ns0:is>
      </ns0:c>
      <ns0:c r="B847" t="inlineStr">
        <ns0:is>
          <ns0:t>Chicago Bulls</ns0:t>
        </ns0:is>
      </ns0:c>
      <ns0:c r="C847">
        <ns0:f>COUNTIFS(Games_Raw!$K$2:$K$1232,"Yes",Games_Raw!$I$2:$I$1232,A847,Games_Raw!$J$2:$J$1232,B847)</ns0:f>
        <ns0:v>1</ns0:v>
      </ns0:c>
      <ns0:c r="D847">
        <ns0:f>COUNTIFS(Games_Raw!$K$2:$K$1232,"Yes",Games_Raw!$I$2:$I$1232,B847,Games_Raw!$J$2:$J$1232,A847)</ns0:f>
        <ns0:v>3</ns0:v>
      </ns0:c>
      <ns0:c r="E847" t="str">
        <ns0:f>C847&amp;"-"&amp;D847</ns0:f>
        <ns0:v>1-3</ns0:v>
      </ns0:c>
      <ns0:c r="F847">
        <ns0:f>COUNTIFS(Games_Raw!$K$2:$K$1232,"Yes",Games_Raw!$I$2:$I$1232,A847)</ns0:f>
        <ns0:v>18</ns0:v>
      </ns0:c>
      <ns0:c r="G847">
        <ns0:f>COUNTIFS(Games_Raw!$K$2:$K$1232,"Yes",Games_Raw!$J$2:$J$1232,A847)</ns0:f>
        <ns0:v>64</ns0:v>
      </ns0:c>
    </ns0:row>
    <ns0:row r="848">
      <ns0:c r="A848" t="inlineStr">
        <ns0:is>
          <ns0:t>Washington Wizards</ns0:t>
        </ns0:is>
      </ns0:c>
      <ns0:c r="B848" t="inlineStr">
        <ns0:is>
          <ns0:t>Cleveland Cavaliers</ns0:t>
        </ns0:is>
      </ns0:c>
      <ns0:c r="C848">
        <ns0:f>COUNTIFS(Games_Raw!$K$2:$K$1232,"Yes",Games_Raw!$I$2:$I$1232,A848,Games_Raw!$J$2:$J$1232,B848)</ns0:f>
        <ns0:v>0</ns0:v>
      </ns0:c>
      <ns0:c r="D848">
        <ns0:f>COUNTIFS(Games_Raw!$K$2:$K$1232,"Yes",Games_Raw!$I$2:$I$1232,B848,Games_Raw!$J$2:$J$1232,A848)</ns0:f>
        <ns0:v>4</ns0:v>
      </ns0:c>
      <ns0:c r="E848" t="str">
        <ns0:f>C848&amp;"-"&amp;D848</ns0:f>
        <ns0:v>0-4</ns0:v>
      </ns0:c>
      <ns0:c r="F848">
        <ns0:f>COUNTIFS(Games_Raw!$K$2:$K$1232,"Yes",Games_Raw!$I$2:$I$1232,A848)</ns0:f>
        <ns0:v>18</ns0:v>
      </ns0:c>
      <ns0:c r="G848">
        <ns0:f>COUNTIFS(Games_Raw!$K$2:$K$1232,"Yes",Games_Raw!$J$2:$J$1232,A848)</ns0:f>
        <ns0:v>64</ns0:v>
      </ns0:c>
    </ns0:row>
    <ns0:row r="849">
      <ns0:c r="A849" t="inlineStr">
        <ns0:is>
          <ns0:t>Washington Wizards</ns0:t>
        </ns0:is>
      </ns0:c>
      <ns0:c r="B849" t="inlineStr">
        <ns0:is>
          <ns0:t>Dallas Mavericks</ns0:t>
        </ns0:is>
      </ns0:c>
      <ns0:c r="C849">
        <ns0:f>COUNTIFS(Games_Raw!$K$2:$K$1232,"Yes",Games_Raw!$I$2:$I$1232,A849,Games_Raw!$J$2:$J$1232,B849)</ns0:f>
        <ns0:v>0</ns0:v>
      </ns0:c>
      <ns0:c r="D849">
        <ns0:f>COUNTIFS(Games_Raw!$K$2:$K$1232,"Yes",Games_Raw!$I$2:$I$1232,B849,Games_Raw!$J$2:$J$1232,A849)</ns0:f>
        <ns0:v>2</ns0:v>
      </ns0:c>
      <ns0:c r="E849" t="str">
        <ns0:f>C849&amp;"-"&amp;D849</ns0:f>
        <ns0:v>0-2</ns0:v>
      </ns0:c>
      <ns0:c r="F849">
        <ns0:f>COUNTIFS(Games_Raw!$K$2:$K$1232,"Yes",Games_Raw!$I$2:$I$1232,A849)</ns0:f>
        <ns0:v>18</ns0:v>
      </ns0:c>
      <ns0:c r="G849">
        <ns0:f>COUNTIFS(Games_Raw!$K$2:$K$1232,"Yes",Games_Raw!$J$2:$J$1232,A849)</ns0:f>
        <ns0:v>64</ns0:v>
      </ns0:c>
    </ns0:row>
    <ns0:row r="850">
      <ns0:c r="A850" t="inlineStr">
        <ns0:is>
          <ns0:t>Washington Wizards</ns0:t>
        </ns0:is>
      </ns0:c>
      <ns0:c r="B850" t="inlineStr">
        <ns0:is>
          <ns0:t>Denver Nuggets</ns0:t>
        </ns0:is>
      </ns0:c>
      <ns0:c r="C850">
        <ns0:f>COUNTIFS(Games_Raw!$K$2:$K$1232,"Yes",Games_Raw!$I$2:$I$1232,A850,Games_Raw!$J$2:$J$1232,B850)</ns0:f>
        <ns0:v>2</ns0:v>
      </ns0:c>
      <ns0:c r="D850">
        <ns0:f>COUNTIFS(Games_Raw!$K$2:$K$1232,"Yes",Games_Raw!$I$2:$I$1232,B850,Games_Raw!$J$2:$J$1232,A850)</ns0:f>
        <ns0:v>0</ns0:v>
      </ns0:c>
      <ns0:c r="E850" t="str">
        <ns0:f>C850&amp;"-"&amp;D850</ns0:f>
        <ns0:v>2-0</ns0:v>
      </ns0:c>
      <ns0:c r="F850">
        <ns0:f>COUNTIFS(Games_Raw!$K$2:$K$1232,"Yes",Games_Raw!$I$2:$I$1232,A850)</ns0:f>
        <ns0:v>18</ns0:v>
      </ns0:c>
      <ns0:c r="G850">
        <ns0:f>COUNTIFS(Games_Raw!$K$2:$K$1232,"Yes",Games_Raw!$J$2:$J$1232,A850)</ns0:f>
        <ns0:v>64</ns0:v>
      </ns0:c>
    </ns0:row>
    <ns0:row r="851">
      <ns0:c r="A851" t="inlineStr">
        <ns0:is>
          <ns0:t>Washington Wizards</ns0:t>
        </ns0:is>
      </ns0:c>
      <ns0:c r="B851" t="inlineStr">
        <ns0:is>
          <ns0:t>Detroit Pistons</ns0:t>
        </ns0:is>
      </ns0:c>
      <ns0:c r="C851">
        <ns0:f>COUNTIFS(Games_Raw!$K$2:$K$1232,"Yes",Games_Raw!$I$2:$I$1232,A851,Games_Raw!$J$2:$J$1232,B851)</ns0:f>
        <ns0:v>1</ns0:v>
      </ns0:c>
      <ns0:c r="D851">
        <ns0:f>COUNTIFS(Games_Raw!$K$2:$K$1232,"Yes",Games_Raw!$I$2:$I$1232,B851,Games_Raw!$J$2:$J$1232,A851)</ns0:f>
        <ns0:v>2</ns0:v>
      </ns0:c>
      <ns0:c r="E851" t="str">
        <ns0:f>C851&amp;"-"&amp;D851</ns0:f>
        <ns0:v>1-2</ns0:v>
      </ns0:c>
      <ns0:c r="F851">
        <ns0:f>COUNTIFS(Games_Raw!$K$2:$K$1232,"Yes",Games_Raw!$I$2:$I$1232,A851)</ns0:f>
        <ns0:v>18</ns0:v>
      </ns0:c>
      <ns0:c r="G851">
        <ns0:f>COUNTIFS(Games_Raw!$K$2:$K$1232,"Yes",Games_Raw!$J$2:$J$1232,A851)</ns0:f>
        <ns0:v>64</ns0:v>
      </ns0:c>
    </ns0:row>
    <ns0:row r="852">
      <ns0:c r="A852" t="inlineStr">
        <ns0:is>
          <ns0:t>Washington Wizards</ns0:t>
        </ns0:is>
      </ns0:c>
      <ns0:c r="B852" t="inlineStr">
        <ns0:is>
          <ns0:t>Golden State Warriors</ns0:t>
        </ns0:is>
      </ns0:c>
      <ns0:c r="C852">
        <ns0:f>COUNTIFS(Games_Raw!$K$2:$K$1232,"Yes",Games_Raw!$I$2:$I$1232,A852,Games_Raw!$J$2:$J$1232,B852)</ns0:f>
        <ns0:v>0</ns0:v>
      </ns0:c>
      <ns0:c r="D852">
        <ns0:f>COUNTIFS(Games_Raw!$K$2:$K$1232,"Yes",Games_Raw!$I$2:$I$1232,B852,Games_Raw!$J$2:$J$1232,A852)</ns0:f>
        <ns0:v>2</ns0:v>
      </ns0:c>
      <ns0:c r="E852" t="str">
        <ns0:f>C852&amp;"-"&amp;D852</ns0:f>
        <ns0:v>0-2</ns0:v>
      </ns0:c>
      <ns0:c r="F852">
        <ns0:f>COUNTIFS(Games_Raw!$K$2:$K$1232,"Yes",Games_Raw!$I$2:$I$1232,A852)</ns0:f>
        <ns0:v>18</ns0:v>
      </ns0:c>
      <ns0:c r="G852">
        <ns0:f>COUNTIFS(Games_Raw!$K$2:$K$1232,"Yes",Games_Raw!$J$2:$J$1232,A852)</ns0:f>
        <ns0:v>64</ns0:v>
      </ns0:c>
    </ns0:row>
    <ns0:row r="853">
      <ns0:c r="A853" t="inlineStr">
        <ns0:is>
          <ns0:t>Washington Wizards</ns0:t>
        </ns0:is>
      </ns0:c>
      <ns0:c r="B853" t="inlineStr">
        <ns0:is>
          <ns0:t>Houston Rockets</ns0:t>
        </ns0:is>
      </ns0:c>
      <ns0:c r="C853">
        <ns0:f>COUNTIFS(Games_Raw!$K$2:$K$1232,"Yes",Games_Raw!$I$2:$I$1232,A853,Games_Raw!$J$2:$J$1232,B853)</ns0:f>
        <ns0:v>0</ns0:v>
      </ns0:c>
      <ns0:c r="D853">
        <ns0:f>COUNTIFS(Games_Raw!$K$2:$K$1232,"Yes",Games_Raw!$I$2:$I$1232,B853,Games_Raw!$J$2:$J$1232,A853)</ns0:f>
        <ns0:v>2</ns0:v>
      </ns0:c>
      <ns0:c r="E853" t="str">
        <ns0:f>C853&amp;"-"&amp;D853</ns0:f>
        <ns0:v>0-2</ns0:v>
      </ns0:c>
      <ns0:c r="F853">
        <ns0:f>COUNTIFS(Games_Raw!$K$2:$K$1232,"Yes",Games_Raw!$I$2:$I$1232,A853)</ns0:f>
        <ns0:v>18</ns0:v>
      </ns0:c>
      <ns0:c r="G853">
        <ns0:f>COUNTIFS(Games_Raw!$K$2:$K$1232,"Yes",Games_Raw!$J$2:$J$1232,A853)</ns0:f>
        <ns0:v>64</ns0:v>
      </ns0:c>
    </ns0:row>
    <ns0:row r="854">
      <ns0:c r="A854" t="inlineStr">
        <ns0:is>
          <ns0:t>Washington Wizards</ns0:t>
        </ns0:is>
      </ns0:c>
      <ns0:c r="B854" t="inlineStr">
        <ns0:is>
          <ns0:t>Indiana Pacers</ns0:t>
        </ns0:is>
      </ns0:c>
      <ns0:c r="C854">
        <ns0:f>COUNTIFS(Games_Raw!$K$2:$K$1232,"Yes",Games_Raw!$I$2:$I$1232,A854,Games_Raw!$J$2:$J$1232,B854)</ns0:f>
        <ns0:v>0</ns0:v>
      </ns0:c>
      <ns0:c r="D854">
        <ns0:f>COUNTIFS(Games_Raw!$K$2:$K$1232,"Yes",Games_Raw!$I$2:$I$1232,B854,Games_Raw!$J$2:$J$1232,A854)</ns0:f>
        <ns0:v>4</ns0:v>
      </ns0:c>
      <ns0:c r="E854" t="str">
        <ns0:f>C854&amp;"-"&amp;D854</ns0:f>
        <ns0:v>0-4</ns0:v>
      </ns0:c>
      <ns0:c r="F854">
        <ns0:f>COUNTIFS(Games_Raw!$K$2:$K$1232,"Yes",Games_Raw!$I$2:$I$1232,A854)</ns0:f>
        <ns0:v>18</ns0:v>
      </ns0:c>
      <ns0:c r="G854">
        <ns0:f>COUNTIFS(Games_Raw!$K$2:$K$1232,"Yes",Games_Raw!$J$2:$J$1232,A854)</ns0:f>
        <ns0:v>64</ns0:v>
      </ns0:c>
    </ns0:row>
    <ns0:row r="855">
      <ns0:c r="A855" t="inlineStr">
        <ns0:is>
          <ns0:t>Washington Wizards</ns0:t>
        </ns0:is>
      </ns0:c>
      <ns0:c r="B855" t="inlineStr">
        <ns0:is>
          <ns0:t>LA Clippers</ns0:t>
        </ns0:is>
      </ns0:c>
      <ns0:c r="C855">
        <ns0:f>COUNTIFS(Games_Raw!$K$2:$K$1232,"Yes",Games_Raw!$I$2:$I$1232,A855,Games_Raw!$J$2:$J$1232,B855)</ns0:f>
        <ns0:v>0</ns0:v>
      </ns0:c>
      <ns0:c r="D855">
        <ns0:f>COUNTIFS(Games_Raw!$K$2:$K$1232,"Yes",Games_Raw!$I$2:$I$1232,B855,Games_Raw!$J$2:$J$1232,A855)</ns0:f>
        <ns0:v>2</ns0:v>
      </ns0:c>
      <ns0:c r="E855" t="str">
        <ns0:f>C855&amp;"-"&amp;D855</ns0:f>
        <ns0:v>0-2</ns0:v>
      </ns0:c>
      <ns0:c r="F855">
        <ns0:f>COUNTIFS(Games_Raw!$K$2:$K$1232,"Yes",Games_Raw!$I$2:$I$1232,A855)</ns0:f>
        <ns0:v>18</ns0:v>
      </ns0:c>
      <ns0:c r="G855">
        <ns0:f>COUNTIFS(Games_Raw!$K$2:$K$1232,"Yes",Games_Raw!$J$2:$J$1232,A855)</ns0:f>
        <ns0:v>64</ns0:v>
      </ns0:c>
    </ns0:row>
    <ns0:row r="856">
      <ns0:c r="A856" t="inlineStr">
        <ns0:is>
          <ns0:t>Washington Wizards</ns0:t>
        </ns0:is>
      </ns0:c>
      <ns0:c r="B856" t="inlineStr">
        <ns0:is>
          <ns0:t>Los Angeles Lakers</ns0:t>
        </ns0:is>
      </ns0:c>
      <ns0:c r="C856">
        <ns0:f>COUNTIFS(Games_Raw!$K$2:$K$1232,"Yes",Games_Raw!$I$2:$I$1232,A856,Games_Raw!$J$2:$J$1232,B856)</ns0:f>
        <ns0:v>0</ns0:v>
      </ns0:c>
      <ns0:c r="D856">
        <ns0:f>COUNTIFS(Games_Raw!$K$2:$K$1232,"Yes",Games_Raw!$I$2:$I$1232,B856,Games_Raw!$J$2:$J$1232,A856)</ns0:f>
        <ns0:v>2</ns0:v>
      </ns0:c>
      <ns0:c r="E856" t="str">
        <ns0:f>C856&amp;"-"&amp;D856</ns0:f>
        <ns0:v>0-2</ns0:v>
      </ns0:c>
      <ns0:c r="F856">
        <ns0:f>COUNTIFS(Games_Raw!$K$2:$K$1232,"Yes",Games_Raw!$I$2:$I$1232,A856)</ns0:f>
        <ns0:v>18</ns0:v>
      </ns0:c>
      <ns0:c r="G856">
        <ns0:f>COUNTIFS(Games_Raw!$K$2:$K$1232,"Yes",Games_Raw!$J$2:$J$1232,A856)</ns0:f>
        <ns0:v>64</ns0:v>
      </ns0:c>
    </ns0:row>
    <ns0:row r="857">
      <ns0:c r="A857" t="inlineStr">
        <ns0:is>
          <ns0:t>Washington Wizards</ns0:t>
        </ns0:is>
      </ns0:c>
      <ns0:c r="B857" t="inlineStr">
        <ns0:is>
          <ns0:t>Memphis Grizzlies</ns0:t>
        </ns0:is>
      </ns0:c>
      <ns0:c r="C857">
        <ns0:f>COUNTIFS(Games_Raw!$K$2:$K$1232,"Yes",Games_Raw!$I$2:$I$1232,A857,Games_Raw!$J$2:$J$1232,B857)</ns0:f>
        <ns0:v>0</ns0:v>
      </ns0:c>
      <ns0:c r="D857">
        <ns0:f>COUNTIFS(Games_Raw!$K$2:$K$1232,"Yes",Games_Raw!$I$2:$I$1232,B857,Games_Raw!$J$2:$J$1232,A857)</ns0:f>
        <ns0:v>2</ns0:v>
      </ns0:c>
      <ns0:c r="E857" t="str">
        <ns0:f>C857&amp;"-"&amp;D857</ns0:f>
        <ns0:v>0-2</ns0:v>
      </ns0:c>
      <ns0:c r="F857">
        <ns0:f>COUNTIFS(Games_Raw!$K$2:$K$1232,"Yes",Games_Raw!$I$2:$I$1232,A857)</ns0:f>
        <ns0:v>18</ns0:v>
      </ns0:c>
      <ns0:c r="G857">
        <ns0:f>COUNTIFS(Games_Raw!$K$2:$K$1232,"Yes",Games_Raw!$J$2:$J$1232,A857)</ns0:f>
        <ns0:v>64</ns0:v>
      </ns0:c>
    </ns0:row>
    <ns0:row r="858">
      <ns0:c r="A858" t="inlineStr">
        <ns0:is>
          <ns0:t>Washington Wizards</ns0:t>
        </ns0:is>
      </ns0:c>
      <ns0:c r="B858" t="inlineStr">
        <ns0:is>
          <ns0:t>Miami Heat</ns0:t>
        </ns0:is>
      </ns0:c>
      <ns0:c r="C858">
        <ns0:f>COUNTIFS(Games_Raw!$K$2:$K$1232,"Yes",Games_Raw!$I$2:$I$1232,A858,Games_Raw!$J$2:$J$1232,B858)</ns0:f>
        <ns0:v>1</ns0:v>
      </ns0:c>
      <ns0:c r="D858">
        <ns0:f>COUNTIFS(Games_Raw!$K$2:$K$1232,"Yes",Games_Raw!$I$2:$I$1232,B858,Games_Raw!$J$2:$J$1232,A858)</ns0:f>
        <ns0:v>3</ns0:v>
      </ns0:c>
      <ns0:c r="E858" t="str">
        <ns0:f>C858&amp;"-"&amp;D858</ns0:f>
        <ns0:v>1-3</ns0:v>
      </ns0:c>
      <ns0:c r="F858">
        <ns0:f>COUNTIFS(Games_Raw!$K$2:$K$1232,"Yes",Games_Raw!$I$2:$I$1232,A858)</ns0:f>
        <ns0:v>18</ns0:v>
      </ns0:c>
      <ns0:c r="G858">
        <ns0:f>COUNTIFS(Games_Raw!$K$2:$K$1232,"Yes",Games_Raw!$J$2:$J$1232,A858)</ns0:f>
        <ns0:v>64</ns0:v>
      </ns0:c>
    </ns0:row>
    <ns0:row r="859">
      <ns0:c r="A859" t="inlineStr">
        <ns0:is>
          <ns0:t>Washington Wizards</ns0:t>
        </ns0:is>
      </ns0:c>
      <ns0:c r="B859" t="inlineStr">
        <ns0:is>
          <ns0:t>Milwaukee Bucks</ns0:t>
        </ns0:is>
      </ns0:c>
      <ns0:c r="C859">
        <ns0:f>COUNTIFS(Games_Raw!$K$2:$K$1232,"Yes",Games_Raw!$I$2:$I$1232,A859,Games_Raw!$J$2:$J$1232,B859)</ns0:f>
        <ns0:v>0</ns0:v>
      </ns0:c>
      <ns0:c r="D859">
        <ns0:f>COUNTIFS(Games_Raw!$K$2:$K$1232,"Yes",Games_Raw!$I$2:$I$1232,B859,Games_Raw!$J$2:$J$1232,A859)</ns0:f>
        <ns0:v>3</ns0:v>
      </ns0:c>
      <ns0:c r="E859" t="str">
        <ns0:f>C859&amp;"-"&amp;D859</ns0:f>
        <ns0:v>0-3</ns0:v>
      </ns0:c>
      <ns0:c r="F859">
        <ns0:f>COUNTIFS(Games_Raw!$K$2:$K$1232,"Yes",Games_Raw!$I$2:$I$1232,A859)</ns0:f>
        <ns0:v>18</ns0:v>
      </ns0:c>
      <ns0:c r="G859">
        <ns0:f>COUNTIFS(Games_Raw!$K$2:$K$1232,"Yes",Games_Raw!$J$2:$J$1232,A859)</ns0:f>
        <ns0:v>64</ns0:v>
      </ns0:c>
    </ns0:row>
    <ns0:row r="860">
      <ns0:c r="A860" t="inlineStr">
        <ns0:is>
          <ns0:t>Washington Wizards</ns0:t>
        </ns0:is>
      </ns0:c>
      <ns0:c r="B860" t="inlineStr">
        <ns0:is>
          <ns0:t>Minnesota Timberwolves</ns0:t>
        </ns0:is>
      </ns0:c>
      <ns0:c r="C860">
        <ns0:f>COUNTIFS(Games_Raw!$K$2:$K$1232,"Yes",Games_Raw!$I$2:$I$1232,A860,Games_Raw!$J$2:$J$1232,B860)</ns0:f>
        <ns0:v>1</ns0:v>
      </ns0:c>
      <ns0:c r="D860">
        <ns0:f>COUNTIFS(Games_Raw!$K$2:$K$1232,"Yes",Games_Raw!$I$2:$I$1232,B860,Games_Raw!$J$2:$J$1232,A860)</ns0:f>
        <ns0:v>1</ns0:v>
      </ns0:c>
      <ns0:c r="E860" t="str">
        <ns0:f>C860&amp;"-"&amp;D860</ns0:f>
        <ns0:v>1-1</ns0:v>
      </ns0:c>
      <ns0:c r="F860">
        <ns0:f>COUNTIFS(Games_Raw!$K$2:$K$1232,"Yes",Games_Raw!$I$2:$I$1232,A860)</ns0:f>
        <ns0:v>18</ns0:v>
      </ns0:c>
      <ns0:c r="G860">
        <ns0:f>COUNTIFS(Games_Raw!$K$2:$K$1232,"Yes",Games_Raw!$J$2:$J$1232,A860)</ns0:f>
        <ns0:v>64</ns0:v>
      </ns0:c>
    </ns0:row>
    <ns0:row r="861">
      <ns0:c r="A861" t="inlineStr">
        <ns0:is>
          <ns0:t>Washington Wizards</ns0:t>
        </ns0:is>
      </ns0:c>
      <ns0:c r="B861" t="inlineStr">
        <ns0:is>
          <ns0:t>New Orleans Pelicans</ns0:t>
        </ns0:is>
      </ns0:c>
      <ns0:c r="C861">
        <ns0:f>COUNTIFS(Games_Raw!$K$2:$K$1232,"Yes",Games_Raw!$I$2:$I$1232,A861,Games_Raw!$J$2:$J$1232,B861)</ns0:f>
        <ns0:v>0</ns0:v>
      </ns0:c>
      <ns0:c r="D861">
        <ns0:f>COUNTIFS(Games_Raw!$K$2:$K$1232,"Yes",Games_Raw!$I$2:$I$1232,B861,Games_Raw!$J$2:$J$1232,A861)</ns0:f>
        <ns0:v>2</ns0:v>
      </ns0:c>
      <ns0:c r="E861" t="str">
        <ns0:f>C861&amp;"-"&amp;D861</ns0:f>
        <ns0:v>0-2</ns0:v>
      </ns0:c>
      <ns0:c r="F861">
        <ns0:f>COUNTIFS(Games_Raw!$K$2:$K$1232,"Yes",Games_Raw!$I$2:$I$1232,A861)</ns0:f>
        <ns0:v>18</ns0:v>
      </ns0:c>
      <ns0:c r="G861">
        <ns0:f>COUNTIFS(Games_Raw!$K$2:$K$1232,"Yes",Games_Raw!$J$2:$J$1232,A861)</ns0:f>
        <ns0:v>64</ns0:v>
      </ns0:c>
    </ns0:row>
    <ns0:row r="862">
      <ns0:c r="A862" t="inlineStr">
        <ns0:is>
          <ns0:t>Washington Wizards</ns0:t>
        </ns0:is>
      </ns0:c>
      <ns0:c r="B862" t="inlineStr">
        <ns0:is>
          <ns0:t>New York Knicks</ns0:t>
        </ns0:is>
      </ns0:c>
      <ns0:c r="C862">
        <ns0:f>COUNTIFS(Games_Raw!$K$2:$K$1232,"Yes",Games_Raw!$I$2:$I$1232,A862,Games_Raw!$J$2:$J$1232,B862)</ns0:f>
        <ns0:v>0</ns0:v>
      </ns0:c>
      <ns0:c r="D862">
        <ns0:f>COUNTIFS(Games_Raw!$K$2:$K$1232,"Yes",Games_Raw!$I$2:$I$1232,B862,Games_Raw!$J$2:$J$1232,A862)</ns0:f>
        <ns0:v>4</ns0:v>
      </ns0:c>
      <ns0:c r="E862" t="str">
        <ns0:f>C862&amp;"-"&amp;D862</ns0:f>
        <ns0:v>0-4</ns0:v>
      </ns0:c>
      <ns0:c r="F862">
        <ns0:f>COUNTIFS(Games_Raw!$K$2:$K$1232,"Yes",Games_Raw!$I$2:$I$1232,A862)</ns0:f>
        <ns0:v>18</ns0:v>
      </ns0:c>
      <ns0:c r="G862">
        <ns0:f>COUNTIFS(Games_Raw!$K$2:$K$1232,"Yes",Games_Raw!$J$2:$J$1232,A862)</ns0:f>
        <ns0:v>64</ns0:v>
      </ns0:c>
    </ns0:row>
    <ns0:row r="863">
      <ns0:c r="A863" t="inlineStr">
        <ns0:is>
          <ns0:t>Washington Wizards</ns0:t>
        </ns0:is>
      </ns0:c>
      <ns0:c r="B863" t="inlineStr">
        <ns0:is>
          <ns0:t>Oklahoma City Thunder</ns0:t>
        </ns0:is>
      </ns0:c>
      <ns0:c r="C863">
        <ns0:f>COUNTIFS(Games_Raw!$K$2:$K$1232,"Yes",Games_Raw!$I$2:$I$1232,A863,Games_Raw!$J$2:$J$1232,B863)</ns0:f>
        <ns0:v>0</ns0:v>
      </ns0:c>
      <ns0:c r="D863">
        <ns0:f>COUNTIFS(Games_Raw!$K$2:$K$1232,"Yes",Games_Raw!$I$2:$I$1232,B863,Games_Raw!$J$2:$J$1232,A863)</ns0:f>
        <ns0:v>2</ns0:v>
      </ns0:c>
      <ns0:c r="E863" t="str">
        <ns0:f>C863&amp;"-"&amp;D863</ns0:f>
        <ns0:v>0-2</ns0:v>
      </ns0:c>
      <ns0:c r="F863">
        <ns0:f>COUNTIFS(Games_Raw!$K$2:$K$1232,"Yes",Games_Raw!$I$2:$I$1232,A863)</ns0:f>
        <ns0:v>18</ns0:v>
      </ns0:c>
      <ns0:c r="G863">
        <ns0:f>COUNTIFS(Games_Raw!$K$2:$K$1232,"Yes",Games_Raw!$J$2:$J$1232,A863)</ns0:f>
        <ns0:v>64</ns0:v>
      </ns0:c>
    </ns0:row>
    <ns0:row r="864">
      <ns0:c r="A864" t="inlineStr">
        <ns0:is>
          <ns0:t>Washington Wizards</ns0:t>
        </ns0:is>
      </ns0:c>
      <ns0:c r="B864" t="inlineStr">
        <ns0:is>
          <ns0:t>Orlando Magic</ns0:t>
        </ns0:is>
      </ns0:c>
      <ns0:c r="C864">
        <ns0:f>COUNTIFS(Games_Raw!$K$2:$K$1232,"Yes",Games_Raw!$I$2:$I$1232,A864,Games_Raw!$J$2:$J$1232,B864)</ns0:f>
        <ns0:v>0</ns0:v>
      </ns0:c>
      <ns0:c r="D864">
        <ns0:f>COUNTIFS(Games_Raw!$K$2:$K$1232,"Yes",Games_Raw!$I$2:$I$1232,B864,Games_Raw!$J$2:$J$1232,A864)</ns0:f>
        <ns0:v>4</ns0:v>
      </ns0:c>
      <ns0:c r="E864" t="str">
        <ns0:f>C864&amp;"-"&amp;D864</ns0:f>
        <ns0:v>0-4</ns0:v>
      </ns0:c>
      <ns0:c r="F864">
        <ns0:f>COUNTIFS(Games_Raw!$K$2:$K$1232,"Yes",Games_Raw!$I$2:$I$1232,A864)</ns0:f>
        <ns0:v>18</ns0:v>
      </ns0:c>
      <ns0:c r="G864">
        <ns0:f>COUNTIFS(Games_Raw!$K$2:$K$1232,"Yes",Games_Raw!$J$2:$J$1232,A864)</ns0:f>
        <ns0:v>64</ns0:v>
      </ns0:c>
    </ns0:row>
    <ns0:row r="865">
      <ns0:c r="A865" t="inlineStr">
        <ns0:is>
          <ns0:t>Washington Wizards</ns0:t>
        </ns0:is>
      </ns0:c>
      <ns0:c r="B865" t="inlineStr">
        <ns0:is>
          <ns0:t>Philadelphia 76ers</ns0:t>
        </ns0:is>
      </ns0:c>
      <ns0:c r="C865">
        <ns0:f>COUNTIFS(Games_Raw!$K$2:$K$1232,"Yes",Games_Raw!$I$2:$I$1232,A865,Games_Raw!$J$2:$J$1232,B865)</ns0:f>
        <ns0:v>1</ns0:v>
      </ns0:c>
      <ns0:c r="D865">
        <ns0:f>COUNTIFS(Games_Raw!$K$2:$K$1232,"Yes",Games_Raw!$I$2:$I$1232,B865,Games_Raw!$J$2:$J$1232,A865)</ns0:f>
        <ns0:v>2</ns0:v>
      </ns0:c>
      <ns0:c r="E865" t="str">
        <ns0:f>C865&amp;"-"&amp;D865</ns0:f>
        <ns0:v>1-2</ns0:v>
      </ns0:c>
      <ns0:c r="F865">
        <ns0:f>COUNTIFS(Games_Raw!$K$2:$K$1232,"Yes",Games_Raw!$I$2:$I$1232,A865)</ns0:f>
        <ns0:v>18</ns0:v>
      </ns0:c>
      <ns0:c r="G865">
        <ns0:f>COUNTIFS(Games_Raw!$K$2:$K$1232,"Yes",Games_Raw!$J$2:$J$1232,A865)</ns0:f>
        <ns0:v>64</ns0:v>
      </ns0:c>
    </ns0:row>
    <ns0:row r="866">
      <ns0:c r="A866" t="inlineStr">
        <ns0:is>
          <ns0:t>Washington Wizards</ns0:t>
        </ns0:is>
      </ns0:c>
      <ns0:c r="B866" t="inlineStr">
        <ns0:is>
          <ns0:t>Phoenix Suns</ns0:t>
        </ns0:is>
      </ns0:c>
      <ns0:c r="C866">
        <ns0:f>COUNTIFS(Games_Raw!$K$2:$K$1232,"Yes",Games_Raw!$I$2:$I$1232,A866,Games_Raw!$J$2:$J$1232,B866)</ns0:f>
        <ns0:v>0</ns0:v>
      </ns0:c>
      <ns0:c r="D866">
        <ns0:f>COUNTIFS(Games_Raw!$K$2:$K$1232,"Yes",Games_Raw!$I$2:$I$1232,B866,Games_Raw!$J$2:$J$1232,A866)</ns0:f>
        <ns0:v>2</ns0:v>
      </ns0:c>
      <ns0:c r="E866" t="str">
        <ns0:f>C866&amp;"-"&amp;D866</ns0:f>
        <ns0:v>0-2</ns0:v>
      </ns0:c>
      <ns0:c r="F866">
        <ns0:f>COUNTIFS(Games_Raw!$K$2:$K$1232,"Yes",Games_Raw!$I$2:$I$1232,A866)</ns0:f>
        <ns0:v>18</ns0:v>
      </ns0:c>
      <ns0:c r="G866">
        <ns0:f>COUNTIFS(Games_Raw!$K$2:$K$1232,"Yes",Games_Raw!$J$2:$J$1232,A866)</ns0:f>
        <ns0:v>64</ns0:v>
      </ns0:c>
    </ns0:row>
    <ns0:row r="867">
      <ns0:c r="A867" t="inlineStr">
        <ns0:is>
          <ns0:t>Washington Wizards</ns0:t>
        </ns0:is>
      </ns0:c>
      <ns0:c r="B867" t="inlineStr">
        <ns0:is>
          <ns0:t>Portland Trail Blazers</ns0:t>
        </ns0:is>
      </ns0:c>
      <ns0:c r="C867">
        <ns0:f>COUNTIFS(Games_Raw!$K$2:$K$1232,"Yes",Games_Raw!$I$2:$I$1232,A867,Games_Raw!$J$2:$J$1232,B867)</ns0:f>
        <ns0:v>0</ns0:v>
      </ns0:c>
      <ns0:c r="D867">
        <ns0:f>COUNTIFS(Games_Raw!$K$2:$K$1232,"Yes",Games_Raw!$I$2:$I$1232,B867,Games_Raw!$J$2:$J$1232,A867)</ns0:f>
        <ns0:v>2</ns0:v>
      </ns0:c>
      <ns0:c r="E867" t="str">
        <ns0:f>C867&amp;"-"&amp;D867</ns0:f>
        <ns0:v>0-2</ns0:v>
      </ns0:c>
      <ns0:c r="F867">
        <ns0:f>COUNTIFS(Games_Raw!$K$2:$K$1232,"Yes",Games_Raw!$I$2:$I$1232,A867)</ns0:f>
        <ns0:v>18</ns0:v>
      </ns0:c>
      <ns0:c r="G867">
        <ns0:f>COUNTIFS(Games_Raw!$K$2:$K$1232,"Yes",Games_Raw!$J$2:$J$1232,A867)</ns0:f>
        <ns0:v>64</ns0:v>
      </ns0:c>
    </ns0:row>
    <ns0:row r="868">
      <ns0:c r="A868" t="inlineStr">
        <ns0:is>
          <ns0:t>Washington Wizards</ns0:t>
        </ns0:is>
      </ns0:c>
      <ns0:c r="B868" t="inlineStr">
        <ns0:is>
          <ns0:t>Sacramento Kings</ns0:t>
        </ns0:is>
      </ns0:c>
      <ns0:c r="C868">
        <ns0:f>COUNTIFS(Games_Raw!$K$2:$K$1232,"Yes",Games_Raw!$I$2:$I$1232,A868,Games_Raw!$J$2:$J$1232,B868)</ns0:f>
        <ns0:v>1</ns0:v>
      </ns0:c>
      <ns0:c r="D868">
        <ns0:f>COUNTIFS(Games_Raw!$K$2:$K$1232,"Yes",Games_Raw!$I$2:$I$1232,B868,Games_Raw!$J$2:$J$1232,A868)</ns0:f>
        <ns0:v>1</ns0:v>
      </ns0:c>
      <ns0:c r="E868" t="str">
        <ns0:f>C868&amp;"-"&amp;D868</ns0:f>
        <ns0:v>1-1</ns0:v>
      </ns0:c>
      <ns0:c r="F868">
        <ns0:f>COUNTIFS(Games_Raw!$K$2:$K$1232,"Yes",Games_Raw!$I$2:$I$1232,A868)</ns0:f>
        <ns0:v>18</ns0:v>
      </ns0:c>
      <ns0:c r="G868">
        <ns0:f>COUNTIFS(Games_Raw!$K$2:$K$1232,"Yes",Games_Raw!$J$2:$J$1232,A868)</ns0:f>
        <ns0:v>64</ns0:v>
      </ns0:c>
    </ns0:row>
    <ns0:row r="869">
      <ns0:c r="A869" t="inlineStr">
        <ns0:is>
          <ns0:t>Washington Wizards</ns0:t>
        </ns0:is>
      </ns0:c>
      <ns0:c r="B869" t="inlineStr">
        <ns0:is>
          <ns0:t>San Antonio Spurs</ns0:t>
        </ns0:is>
      </ns0:c>
      <ns0:c r="C869">
        <ns0:f>COUNTIFS(Games_Raw!$K$2:$K$1232,"Yes",Games_Raw!$I$2:$I$1232,A869,Games_Raw!$J$2:$J$1232,B869)</ns0:f>
        <ns0:v>0</ns0:v>
      </ns0:c>
      <ns0:c r="D869">
        <ns0:f>COUNTIFS(Games_Raw!$K$2:$K$1232,"Yes",Games_Raw!$I$2:$I$1232,B869,Games_Raw!$J$2:$J$1232,A869)</ns0:f>
        <ns0:v>2</ns0:v>
      </ns0:c>
      <ns0:c r="E869" t="str">
        <ns0:f>C869&amp;"-"&amp;D869</ns0:f>
        <ns0:v>0-2</ns0:v>
      </ns0:c>
      <ns0:c r="F869">
        <ns0:f>COUNTIFS(Games_Raw!$K$2:$K$1232,"Yes",Games_Raw!$I$2:$I$1232,A869)</ns0:f>
        <ns0:v>18</ns0:v>
      </ns0:c>
      <ns0:c r="G869">
        <ns0:f>COUNTIFS(Games_Raw!$K$2:$K$1232,"Yes",Games_Raw!$J$2:$J$1232,A869)</ns0:f>
        <ns0:v>64</ns0:v>
      </ns0:c>
    </ns0:row>
    <ns0:row r="870">
      <ns0:c r="A870" t="inlineStr">
        <ns0:is>
          <ns0:t>Washington Wizards</ns0:t>
        </ns0:is>
      </ns0:c>
      <ns0:c r="B870" t="inlineStr">
        <ns0:is>
          <ns0:t>Toronto Raptors</ns0:t>
        </ns0:is>
      </ns0:c>
      <ns0:c r="C870">
        <ns0:f>COUNTIFS(Games_Raw!$K$2:$K$1232,"Yes",Games_Raw!$I$2:$I$1232,A870,Games_Raw!$J$2:$J$1232,B870)</ns0:f>
        <ns0:v>1</ns0:v>
      </ns0:c>
      <ns0:c r="D870">
        <ns0:f>COUNTIFS(Games_Raw!$K$2:$K$1232,"Yes",Games_Raw!$I$2:$I$1232,B870,Games_Raw!$J$2:$J$1232,A870)</ns0:f>
        <ns0:v>3</ns0:v>
      </ns0:c>
      <ns0:c r="E870" t="str">
        <ns0:f>C870&amp;"-"&amp;D870</ns0:f>
        <ns0:v>1-3</ns0:v>
      </ns0:c>
      <ns0:c r="F870">
        <ns0:f>COUNTIFS(Games_Raw!$K$2:$K$1232,"Yes",Games_Raw!$I$2:$I$1232,A870)</ns0:f>
        <ns0:v>18</ns0:v>
      </ns0:c>
      <ns0:c r="G870">
        <ns0:f>COUNTIFS(Games_Raw!$K$2:$K$1232,"Yes",Games_Raw!$J$2:$J$1232,A870)</ns0:f>
        <ns0:v>64</ns0:v>
      </ns0:c>
    </ns0:row>
    <ns0:row r="871">
      <ns0:c r="A871" t="inlineStr">
        <ns0:is>
          <ns0:t>Washington Wizards</ns0:t>
        </ns0:is>
      </ns0:c>
      <ns0:c r="B871" t="inlineStr">
        <ns0:is>
          <ns0:t>Utah Jazz</ns0:t>
        </ns0:is>
      </ns0:c>
      <ns0:c r="C871">
        <ns0:f>COUNTIFS(Games_Raw!$K$2:$K$1232,"Yes",Games_Raw!$I$2:$I$1232,A871,Games_Raw!$J$2:$J$1232,B871)</ns0:f>
        <ns0:v>1</ns0:v>
      </ns0:c>
      <ns0:c r="D871">
        <ns0:f>COUNTIFS(Games_Raw!$K$2:$K$1232,"Yes",Games_Raw!$I$2:$I$1232,B871,Games_Raw!$J$2:$J$1232,A871)</ns0:f>
        <ns0:v>1</ns0:v>
      </ns0:c>
      <ns0:c r="E871" t="str">
        <ns0:f>C871&amp;"-"&amp;D871</ns0:f>
        <ns0:v>1-1</ns0:v>
      </ns0:c>
      <ns0:c r="F871">
        <ns0:f>COUNTIFS(Games_Raw!$K$2:$K$1232,"Yes",Games_Raw!$I$2:$I$1232,A871)</ns0:f>
        <ns0:v>18</ns0:v>
      </ns0:c>
      <ns0:c r="G871">
        <ns0:f>COUNTIFS(Games_Raw!$K$2:$K$1232,"Yes",Games_Raw!$J$2:$J$1232,A871)</ns0:f>
        <ns0:v>64</ns0:v>
      </ns0:c>
    </ns0:row>
  </ns0:sheetData>
  <ns0:autoFilter ref="A1:G871"/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1:AF33"/>
  <ns0:sheetViews>
    <ns0:sheetView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4" customWidth="1" min="15" max="15"/>
    <ns0:col width="14" customWidth="1" min="16" max="16"/>
    <ns0:col width="14" customWidth="1" min="17" max="17"/>
    <ns0:col width="14" customWidth="1" min="18" max="18"/>
    <ns0:col width="14" customWidth="1" min="19" max="19"/>
    <ns0:col width="14" customWidth="1" min="20" max="20"/>
    <ns0:col width="14" customWidth="1" min="21" max="21"/>
    <ns0:col width="14" customWidth="1" min="22" max="22"/>
    <ns0:col width="14" customWidth="1" min="23" max="23"/>
    <ns0:col width="14" customWidth="1" min="24" max="24"/>
    <ns0:col width="14" customWidth="1" min="25" max="25"/>
    <ns0:col width="14" customWidth="1" min="26" max="26"/>
    <ns0:col width="14" customWidth="1" min="27" max="27"/>
    <ns0:col width="14" customWidth="1" min="28" max="28"/>
    <ns0:col width="14" customWidth="1" min="29" max="29"/>
    <ns0:col width="14" customWidth="1" min="30" max="30"/>
    <ns0:col width="14" customWidth="1" min="31" max="31"/>
    <ns0:col width="12" customWidth="1" min="32" max="32"/>
  </ns0:cols>
  <ns0:sheetData>
    <ns0:row r="1">
      <ns0:c r="A1" s="6" t="inlineStr">
        <ns0:is>
          <ns0:t>Wins vs Opponent</ns0:t>
        </ns0:is>
      </ns0:c>
    </ns0:row>
    <ns0:row r="2">
      <ns0:c r="A2" s="4" t="inlineStr">
        <ns0:is>
          <ns0:t>Team \ Opponent</ns0:t>
        </ns0:is>
      </ns0:c>
      <ns0:c r="B2" s="7" t="inlineStr">
        <ns0:is>
          <ns0:t>Atlanta Hawks</ns0:t>
        </ns0:is>
      </ns0:c>
      <ns0:c r="C2" s="7" t="inlineStr">
        <ns0:is>
          <ns0:t>Boston Celtics</ns0:t>
        </ns0:is>
      </ns0:c>
      <ns0:c r="D2" s="7" t="inlineStr">
        <ns0:is>
          <ns0:t>Brooklyn Nets</ns0:t>
        </ns0:is>
      </ns0:c>
      <ns0:c r="E2" s="7" t="inlineStr">
        <ns0:is>
          <ns0:t>Charlotte Hornets</ns0:t>
        </ns0:is>
      </ns0:c>
      <ns0:c r="F2" s="7" t="inlineStr">
        <ns0:is>
          <ns0:t>Chicago Bulls</ns0:t>
        </ns0:is>
      </ns0:c>
      <ns0:c r="G2" s="7" t="inlineStr">
        <ns0:is>
          <ns0:t>Cleveland Cavaliers</ns0:t>
        </ns0:is>
      </ns0:c>
      <ns0:c r="H2" s="7" t="inlineStr">
        <ns0:is>
          <ns0:t>Dallas Mavericks</ns0:t>
        </ns0:is>
      </ns0:c>
      <ns0:c r="I2" s="7" t="inlineStr">
        <ns0:is>
          <ns0:t>Denver Nuggets</ns0:t>
        </ns0:is>
      </ns0:c>
      <ns0:c r="J2" s="7" t="inlineStr">
        <ns0:is>
          <ns0:t>Detroit Pistons</ns0:t>
        </ns0:is>
      </ns0:c>
      <ns0:c r="K2" s="7" t="inlineStr">
        <ns0:is>
          <ns0:t>Golden State Warriors</ns0:t>
        </ns0:is>
      </ns0:c>
      <ns0:c r="L2" s="7" t="inlineStr">
        <ns0:is>
          <ns0:t>Houston Rockets</ns0:t>
        </ns0:is>
      </ns0:c>
      <ns0:c r="M2" s="7" t="inlineStr">
        <ns0:is>
          <ns0:t>Indiana Pacers</ns0:t>
        </ns0:is>
      </ns0:c>
      <ns0:c r="N2" s="7" t="inlineStr">
        <ns0:is>
          <ns0:t>LA Clippers</ns0:t>
        </ns0:is>
      </ns0:c>
      <ns0:c r="O2" s="7" t="inlineStr">
        <ns0:is>
          <ns0:t>Los Angeles Lakers</ns0:t>
        </ns0:is>
      </ns0:c>
      <ns0:c r="P2" s="7" t="inlineStr">
        <ns0:is>
          <ns0:t>Memphis Grizzlies</ns0:t>
        </ns0:is>
      </ns0:c>
      <ns0:c r="Q2" s="7" t="inlineStr">
        <ns0:is>
          <ns0:t>Miami Heat</ns0:t>
        </ns0:is>
      </ns0:c>
      <ns0:c r="R2" s="7" t="inlineStr">
        <ns0:is>
          <ns0:t>Milwaukee Bucks</ns0:t>
        </ns0:is>
      </ns0:c>
      <ns0:c r="S2" s="7" t="inlineStr">
        <ns0:is>
          <ns0:t>Minnesota Timberwolves</ns0:t>
        </ns0:is>
      </ns0:c>
      <ns0:c r="T2" s="7" t="inlineStr">
        <ns0:is>
          <ns0:t>New Orleans Pelicans</ns0:t>
        </ns0:is>
      </ns0:c>
      <ns0:c r="U2" s="7" t="inlineStr">
        <ns0:is>
          <ns0:t>New York Knicks</ns0:t>
        </ns0:is>
      </ns0:c>
      <ns0:c r="V2" s="7" t="inlineStr">
        <ns0:is>
          <ns0:t>Oklahoma City Thunder</ns0:t>
        </ns0:is>
      </ns0:c>
      <ns0:c r="W2" s="7" t="inlineStr">
        <ns0:is>
          <ns0:t>Orlando Magic</ns0:t>
        </ns0:is>
      </ns0:c>
      <ns0:c r="X2" s="7" t="inlineStr">
        <ns0:is>
          <ns0:t>Philadelphia 76ers</ns0:t>
        </ns0:is>
      </ns0:c>
      <ns0:c r="Y2" s="7" t="inlineStr">
        <ns0:is>
          <ns0:t>Phoenix Suns</ns0:t>
        </ns0:is>
      </ns0:c>
      <ns0:c r="Z2" s="7" t="inlineStr">
        <ns0:is>
          <ns0:t>Portland Trail Blazers</ns0:t>
        </ns0:is>
      </ns0:c>
      <ns0:c r="AA2" s="7" t="inlineStr">
        <ns0:is>
          <ns0:t>Sacramento Kings</ns0:t>
        </ns0:is>
      </ns0:c>
      <ns0:c r="AB2" s="7" t="inlineStr">
        <ns0:is>
          <ns0:t>San Antonio Spurs</ns0:t>
        </ns0:is>
      </ns0:c>
      <ns0:c r="AC2" s="7" t="inlineStr">
        <ns0:is>
          <ns0:t>Toronto Raptors</ns0:t>
        </ns0:is>
      </ns0:c>
      <ns0:c r="AD2" s="7" t="inlineStr">
        <ns0:is>
          <ns0:t>Utah Jazz</ns0:t>
        </ns0:is>
      </ns0:c>
      <ns0:c r="AE2" s="7" t="inlineStr">
        <ns0:is>
          <ns0:t>Washington Wizards</ns0:t>
        </ns0:is>
      </ns0:c>
      <ns0:c r="AF2" s="4" t="inlineStr">
        <ns0:is>
          <ns0:t>Total</ns0:t>
        </ns0:is>
      </ns0:c>
    </ns0:row>
    <ns0:row r="3">
      <ns0:c r="A3" s="8" t="inlineStr">
        <ns0:is>
          <ns0:t>Atlanta Hawks</ns0:t>
        </ns0:is>
      </ns0:c>
      <ns0:c r="B3" s="9" t="inlineStr">
        <ns0:is>
          <ns0:t>-</ns0:t>
        </ns0:is>
      </ns0:c>
      <ns0:c r="C3" s="10">
        <ns0:f>Detail!C2</ns0:f>
        <ns0:v>2</ns0:v>
      </ns0:c>
      <ns0:c r="D3" s="10">
        <ns0:f>Detail!C3</ns0:f>
        <ns0:v>2</ns0:v>
      </ns0:c>
      <ns0:c r="E3" s="10">
        <ns0:f>Detail!C4</ns0:f>
        <ns0:v>4</ns0:v>
      </ns0:c>
      <ns0:c r="F3" s="10">
        <ns0:f>Detail!C5</ns0:f>
        <ns0:v>2</ns0:v>
      </ns0:c>
      <ns0:c r="G3" s="10">
        <ns0:f>Detail!C6</ns0:f>
        <ns0:v>2</ns0:v>
      </ns0:c>
      <ns0:c r="H3" s="10">
        <ns0:f>Detail!C7</ns0:f>
        <ns0:v>0</ns0:v>
      </ns0:c>
      <ns0:c r="I3" s="10">
        <ns0:f>Detail!C8</ns0:f>
        <ns0:v>0</ns0:v>
      </ns0:c>
      <ns0:c r="J3" s="10">
        <ns0:f>Detail!C9</ns0:f>
        <ns0:v>1</ns0:v>
      </ns0:c>
      <ns0:c r="K3" s="10">
        <ns0:f>Detail!C10</ns0:f>
        <ns0:v>1</ns0:v>
      </ns0:c>
      <ns0:c r="L3" s="10">
        <ns0:f>Detail!C11</ns0:f>
        <ns0:v>0</ns0:v>
      </ns0:c>
      <ns0:c r="M3" s="10">
        <ns0:f>Detail!C12</ns0:f>
        <ns0:v>2</ns0:v>
      </ns0:c>
      <ns0:c r="N3" s="10">
        <ns0:f>Detail!C13</ns0:f>
        <ns0:v>0</ns0:v>
      </ns0:c>
      <ns0:c r="O3" s="10">
        <ns0:f>Detail!C14</ns0:f>
        <ns0:v>1</ns0:v>
      </ns0:c>
      <ns0:c r="P3" s="10">
        <ns0:f>Detail!C15</ns0:f>
        <ns0:v>1</ns0:v>
      </ns0:c>
      <ns0:c r="Q3" s="10">
        <ns0:f>Detail!C16</ns0:f>
        <ns0:v>2</ns0:v>
      </ns0:c>
      <ns0:c r="R3" s="10">
        <ns0:f>Detail!C17</ns0:f>
        <ns0:v>3</ns0:v>
      </ns0:c>
      <ns0:c r="S3" s="10">
        <ns0:f>Detail!C18</ns0:f>
        <ns0:v>1</ns0:v>
      </ns0:c>
      <ns0:c r="T3" s="10">
        <ns0:f>Detail!C19</ns0:f>
        <ns0:v>2</ns0:v>
      </ns0:c>
      <ns0:c r="U3" s="10">
        <ns0:f>Detail!C20</ns0:f>
        <ns0:v>2</ns0:v>
      </ns0:c>
      <ns0:c r="V3" s="10">
        <ns0:f>Detail!C21</ns0:f>
        <ns0:v>0</ns0:v>
      </ns0:c>
      <ns0:c r="W3" s="10">
        <ns0:f>Detail!C22</ns0:f>
        <ns0:v>2</ns0:v>
      </ns0:c>
      <ns0:c r="X3" s="10">
        <ns0:f>Detail!C23</ns0:f>
        <ns0:v>3</ns0:v>
      </ns0:c>
      <ns0:c r="Y3" s="10">
        <ns0:f>Detail!C24</ns0:f>
        <ns0:v>1</ns0:v>
      </ns0:c>
      <ns0:c r="Z3" s="10">
        <ns0:f>Detail!C25</ns0:f>
        <ns0:v>0</ns0:v>
      </ns0:c>
      <ns0:c r="AA3" s="10">
        <ns0:f>Detail!C26</ns0:f>
        <ns0:v>1</ns0:v>
      </ns0:c>
      <ns0:c r="AB3" s="10">
        <ns0:f>Detail!C27</ns0:f>
        <ns0:v>0</ns0:v>
      </ns0:c>
      <ns0:c r="AC3" s="10">
        <ns0:f>Detail!C28</ns0:f>
        <ns0:v>1</ns0:v>
      </ns0:c>
      <ns0:c r="AD3" s="10">
        <ns0:f>Detail!C29</ns0:f>
        <ns0:v>2</ns0:v>
      </ns0:c>
      <ns0:c r="AE3" s="10">
        <ns0:f>Detail!C30</ns0:f>
        <ns0:v>2</ns0:v>
      </ns0:c>
      <ns0:c r="AF3" s="11">
        <ns0:f>SUM(B3:AE3)</ns0:f>
        <ns0:v>40</ns0:v>
      </ns0:c>
    </ns0:row>
    <ns0:row r="4">
      <ns0:c r="A4" s="8" t="inlineStr">
        <ns0:is>
          <ns0:t>Boston Celtics</ns0:t>
        </ns0:is>
      </ns0:c>
      <ns0:c r="B4" s="10">
        <ns0:f>Detail!C31</ns0:f>
        <ns0:v>1</ns0:v>
      </ns0:c>
      <ns0:c r="C4" s="9" t="inlineStr">
        <ns0:is>
          <ns0:t>-</ns0:t>
        </ns0:is>
      </ns0:c>
      <ns0:c r="D4" s="10">
        <ns0:f>Detail!C32</ns0:f>
        <ns0:v>4</ns0:v>
      </ns0:c>
      <ns0:c r="E4" s="10">
        <ns0:f>Detail!C33</ns0:f>
        <ns0:v>4</ns0:v>
      </ns0:c>
      <ns0:c r="F4" s="10">
        <ns0:f>Detail!C34</ns0:f>
        <ns0:v>3</ns0:v>
      </ns0:c>
      <ns0:c r="G4" s="10">
        <ns0:f>Detail!C35</ns0:f>
        <ns0:v>2</ns0:v>
      </ns0:c>
      <ns0:c r="H4" s="10">
        <ns0:f>Detail!C36</ns0:f>
        <ns0:v>1</ns0:v>
      </ns0:c>
      <ns0:c r="I4" s="10">
        <ns0:f>Detail!C37</ns0:f>
        <ns0:v>2</ns0:v>
      </ns0:c>
      <ns0:c r="J4" s="10">
        <ns0:f>Detail!C38</ns0:f>
        <ns0:v>3</ns0:v>
      </ns0:c>
      <ns0:c r="K4" s="10">
        <ns0:f>Detail!C39</ns0:f>
        <ns0:v>1</ns0:v>
      </ns0:c>
      <ns0:c r="L4" s="10">
        <ns0:f>Detail!C40</ns0:f>
        <ns0:v>1</ns0:v>
      </ns0:c>
      <ns0:c r="M4" s="10">
        <ns0:f>Detail!C41</ns0:f>
        <ns0:v>1</ns0:v>
      </ns0:c>
      <ns0:c r="N4" s="10">
        <ns0:f>Detail!C42</ns0:f>
        <ns0:v>2</ns0:v>
      </ns0:c>
      <ns0:c r="O4" s="10">
        <ns0:f>Detail!C43</ns0:f>
        <ns0:v>1</ns0:v>
      </ns0:c>
      <ns0:c r="P4" s="10">
        <ns0:f>Detail!C44</ns0:f>
        <ns0:v>1</ns0:v>
      </ns0:c>
      <ns0:c r="Q4" s="10">
        <ns0:f>Detail!C45</ns0:f>
        <ns0:v>3</ns0:v>
      </ns0:c>
      <ns0:c r="R4" s="10">
        <ns0:f>Detail!C46</ns0:f>
        <ns0:v>3</ns0:v>
      </ns0:c>
      <ns0:c r="S4" s="10">
        <ns0:f>Detail!C47</ns0:f>
        <ns0:v>2</ns0:v>
      </ns0:c>
      <ns0:c r="T4" s="10">
        <ns0:f>Detail!C48</ns0:f>
        <ns0:v>2</ns0:v>
      </ns0:c>
      <ns0:c r="U4" s="10">
        <ns0:f>Detail!C49</ns0:f>
        <ns0:v>4</ns0:v>
      </ns0:c>
      <ns0:c r="V4" s="10">
        <ns0:f>Detail!C50</ns0:f>
        <ns0:v>0</ns0:v>
      </ns0:c>
      <ns0:c r="W4" s="10">
        <ns0:f>Detail!C51</ns0:f>
        <ns0:v>1</ns0:v>
      </ns0:c>
      <ns0:c r="X4" s="10">
        <ns0:f>Detail!C52</ns0:f>
        <ns0:v>3</ns0:v>
      </ns0:c>
      <ns0:c r="Y4" s="10">
        <ns0:f>Detail!C53</ns0:f>
        <ns0:v>2</ns0:v>
      </ns0:c>
      <ns0:c r="Z4" s="10">
        <ns0:f>Detail!C54</ns0:f>
        <ns0:v>2</ns0:v>
      </ns0:c>
      <ns0:c r="AA4" s="10">
        <ns0:f>Detail!C55</ns0:f>
        <ns0:v>1</ns0:v>
      </ns0:c>
      <ns0:c r="AB4" s="10">
        <ns0:f>Detail!C56</ns0:f>
        <ns0:v>2</ns0:v>
      </ns0:c>
      <ns0:c r="AC4" s="10">
        <ns0:f>Detail!C57</ns0:f>
        <ns0:v>3</ns0:v>
      </ns0:c>
      <ns0:c r="AD4" s="10">
        <ns0:f>Detail!C58</ns0:f>
        <ns0:v>2</ns0:v>
      </ns0:c>
      <ns0:c r="AE4" s="10">
        <ns0:f>Detail!C59</ns0:f>
        <ns0:v>4</ns0:v>
      </ns0:c>
      <ns0:c r="AF4" s="11">
        <ns0:f>SUM(B4:AE4)</ns0:f>
        <ns0:v>61</ns0:v>
      </ns0:c>
    </ns0:row>
    <ns0:row r="5">
      <ns0:c r="A5" s="8" t="inlineStr">
        <ns0:is>
          <ns0:t>Brooklyn Nets</ns0:t>
        </ns0:is>
      </ns0:c>
      <ns0:c r="B5" s="10">
        <ns0:f>Detail!C60</ns0:f>
        <ns0:v>1</ns0:v>
      </ns0:c>
      <ns0:c r="C5" s="10">
        <ns0:f>Detail!C61</ns0:f>
        <ns0:v>0</ns0:v>
      </ns0:c>
      <ns0:c r="D5" s="9" t="inlineStr">
        <ns0:is>
          <ns0:t>-</ns0:t>
        </ns0:is>
      </ns0:c>
      <ns0:c r="E5" s="10">
        <ns0:f>Detail!C62</ns0:f>
        <ns0:v>3</ns0:v>
      </ns0:c>
      <ns0:c r="F5" s="10">
        <ns0:f>Detail!C63</ns0:f>
        <ns0:v>1</ns0:v>
      </ns0:c>
      <ns0:c r="G5" s="10">
        <ns0:f>Detail!C64</ns0:f>
        <ns0:v>0</ns0:v>
      </ns0:c>
      <ns0:c r="H5" s="10">
        <ns0:f>Detail!C65</ns0:f>
        <ns0:v>1</ns0:v>
      </ns0:c>
      <ns0:c r="I5" s="10">
        <ns0:f>Detail!C66</ns0:f>
        <ns0:v>0</ns0:v>
      </ns0:c>
      <ns0:c r="J5" s="10">
        <ns0:f>Detail!C67</ns0:f>
        <ns0:v>0</ns0:v>
      </ns0:c>
      <ns0:c r="K5" s="10">
        <ns0:f>Detail!C68</ns0:f>
        <ns0:v>1</ns0:v>
      </ns0:c>
      <ns0:c r="L5" s="10">
        <ns0:f>Detail!C69</ns0:f>
        <ns0:v>2</ns0:v>
      </ns0:c>
      <ns0:c r="M5" s="10">
        <ns0:f>Detail!C70</ns0:f>
        <ns0:v>1</ns0:v>
      </ns0:c>
      <ns0:c r="N5" s="10">
        <ns0:f>Detail!C71</ns0:f>
        <ns0:v>0</ns0:v>
      </ns0:c>
      <ns0:c r="O5" s="10">
        <ns0:f>Detail!C72</ns0:f>
        <ns0:v>1</ns0:v>
      </ns0:c>
      <ns0:c r="P5" s="10">
        <ns0:f>Detail!C73</ns0:f>
        <ns0:v>2</ns0:v>
      </ns0:c>
      <ns0:c r="Q5" s="10">
        <ns0:f>Detail!C74</ns0:f>
        <ns0:v>1</ns0:v>
      </ns0:c>
      <ns0:c r="R5" s="10">
        <ns0:f>Detail!C75</ns0:f>
        <ns0:v>3</ns0:v>
      </ns0:c>
      <ns0:c r="S5" s="10">
        <ns0:f>Detail!C76</ns0:f>
        <ns0:v>0</ns0:v>
      </ns0:c>
      <ns0:c r="T5" s="10">
        <ns0:f>Detail!C77</ns0:f>
        <ns0:v>2</ns0:v>
      </ns0:c>
      <ns0:c r="U5" s="10">
        <ns0:f>Detail!C78</ns0:f>
        <ns0:v>0</ns0:v>
      </ns0:c>
      <ns0:c r="V5" s="10">
        <ns0:f>Detail!C79</ns0:f>
        <ns0:v>0</ns0:v>
      </ns0:c>
      <ns0:c r="W5" s="10">
        <ns0:f>Detail!C80</ns0:f>
        <ns0:v>0</ns0:v>
      </ns0:c>
      <ns0:c r="X5" s="10">
        <ns0:f>Detail!C81</ns0:f>
        <ns0:v>2</ns0:v>
      </ns0:c>
      <ns0:c r="Y5" s="10">
        <ns0:f>Detail!C82</ns0:f>
        <ns0:v>1</ns0:v>
      </ns0:c>
      <ns0:c r="Z5" s="10">
        <ns0:f>Detail!C83</ns0:f>
        <ns0:v>1</ns0:v>
      </ns0:c>
      <ns0:c r="AA5" s="10">
        <ns0:f>Detail!C84</ns0:f>
        <ns0:v>1</ns0:v>
      </ns0:c>
      <ns0:c r="AB5" s="10">
        <ns0:f>Detail!C85</ns0:f>
        <ns0:v>0</ns0:v>
      </ns0:c>
      <ns0:c r="AC5" s="10">
        <ns0:f>Detail!C86</ns0:f>
        <ns0:v>1</ns0:v>
      </ns0:c>
      <ns0:c r="AD5" s="10">
        <ns0:f>Detail!C87</ns0:f>
        <ns0:v>0</ns0:v>
      </ns0:c>
      <ns0:c r="AE5" s="10">
        <ns0:f>Detail!C88</ns0:f>
        <ns0:v>1</ns0:v>
      </ns0:c>
      <ns0:c r="AF5" s="11">
        <ns0:f>SUM(B5:AE5)</ns0:f>
        <ns0:v>26</ns0:v>
      </ns0:c>
    </ns0:row>
    <ns0:row r="6">
      <ns0:c r="A6" s="8" t="inlineStr">
        <ns0:is>
          <ns0:t>Charlotte Hornets</ns0:t>
        </ns0:is>
      </ns0:c>
      <ns0:c r="B6" s="10">
        <ns0:f>Detail!C89</ns0:f>
        <ns0:v>0</ns0:v>
      </ns0:c>
      <ns0:c r="C6" s="10">
        <ns0:f>Detail!C90</ns0:f>
        <ns0:v>0</ns0:v>
      </ns0:c>
      <ns0:c r="D6" s="10">
        <ns0:f>Detail!C91</ns0:f>
        <ns0:v>1</ns0:v>
      </ns0:c>
      <ns0:c r="E6" s="9" t="inlineStr">
        <ns0:is>
          <ns0:t>-</ns0:t>
        </ns0:is>
      </ns0:c>
      <ns0:c r="F6" s="10">
        <ns0:f>Detail!C92</ns0:f>
        <ns0:v>1</ns0:v>
      </ns0:c>
      <ns0:c r="G6" s="10">
        <ns0:f>Detail!C93</ns0:f>
        <ns0:v>0</ns0:v>
      </ns0:c>
      <ns0:c r="H6" s="10">
        <ns0:f>Detail!C94</ns0:f>
        <ns0:v>1</ns0:v>
      </ns0:c>
      <ns0:c r="I6" s="10">
        <ns0:f>Detail!C95</ns0:f>
        <ns0:v>0</ns0:v>
      </ns0:c>
      <ns0:c r="J6" s="10">
        <ns0:f>Detail!C96</ns0:f>
        <ns0:v>2</ns0:v>
      </ns0:c>
      <ns0:c r="K6" s="10">
        <ns0:f>Detail!C97</ns0:f>
        <ns0:v>0</ns0:v>
      </ns0:c>
      <ns0:c r="L6" s="10">
        <ns0:f>Detail!C98</ns0:f>
        <ns0:v>1</ns0:v>
      </ns0:c>
      <ns0:c r="M6" s="10">
        <ns0:f>Detail!C99</ns0:f>
        <ns0:v>2</ns0:v>
      </ns0:c>
      <ns0:c r="N6" s="10">
        <ns0:f>Detail!C100</ns0:f>
        <ns0:v>0</ns0:v>
      </ns0:c>
      <ns0:c r="O6" s="10">
        <ns0:f>Detail!C101</ns0:f>
        <ns0:v>1</ns0:v>
      </ns0:c>
      <ns0:c r="P6" s="10">
        <ns0:f>Detail!C102</ns0:f>
        <ns0:v>0</ns0:v>
      </ns0:c>
      <ns0:c r="Q6" s="10">
        <ns0:f>Detail!C103</ns0:f>
        <ns0:v>1</ns0:v>
      </ns0:c>
      <ns0:c r="R6" s="10">
        <ns0:f>Detail!C104</ns0:f>
        <ns0:v>1</ns0:v>
      </ns0:c>
      <ns0:c r="S6" s="10">
        <ns0:f>Detail!C105</ns0:f>
        <ns0:v>0</ns0:v>
      </ns0:c>
      <ns0:c r="T6" s="10">
        <ns0:f>Detail!C106</ns0:f>
        <ns0:v>1</ns0:v>
      </ns0:c>
      <ns0:c r="U6" s="10">
        <ns0:f>Detail!C107</ns0:f>
        <ns0:v>1</ns0:v>
      </ns0:c>
      <ns0:c r="V6" s="10">
        <ns0:f>Detail!C108</ns0:f>
        <ns0:v>0</ns0:v>
      </ns0:c>
      <ns0:c r="W6" s="10">
        <ns0:f>Detail!C109</ns0:f>
        <ns0:v>0</ns0:v>
      </ns0:c>
      <ns0:c r="X6" s="10">
        <ns0:f>Detail!C110</ns0:f>
        <ns0:v>0</ns0:v>
      </ns0:c>
      <ns0:c r="Y6" s="10">
        <ns0:f>Detail!C111</ns0:f>
        <ns0:v>1</ns0:v>
      </ns0:c>
      <ns0:c r="Z6" s="10">
        <ns0:f>Detail!C112</ns0:f>
        <ns0:v>0</ns0:v>
      </ns0:c>
      <ns0:c r="AA6" s="10">
        <ns0:f>Detail!C113</ns0:f>
        <ns0:v>0</ns0:v>
      </ns0:c>
      <ns0:c r="AB6" s="10">
        <ns0:f>Detail!C114</ns0:f>
        <ns0:v>2</ns0:v>
      </ns0:c>
      <ns0:c r="AC6" s="10">
        <ns0:f>Detail!C115</ns0:f>
        <ns0:v>1</ns0:v>
      </ns0:c>
      <ns0:c r="AD6" s="10">
        <ns0:f>Detail!C116</ns0:f>
        <ns0:v>2</ns0:v>
      </ns0:c>
      <ns0:c r="AE6" s="10">
        <ns0:f>Detail!C117</ns0:f>
        <ns0:v>0</ns0:v>
      </ns0:c>
      <ns0:c r="AF6" s="11">
        <ns0:f>SUM(B6:AE6)</ns0:f>
        <ns0:v>19</ns0:v>
      </ns0:c>
    </ns0:row>
    <ns0:row r="7">
      <ns0:c r="A7" s="8" t="inlineStr">
        <ns0:is>
          <ns0:t>Chicago Bulls</ns0:t>
        </ns0:is>
      </ns0:c>
      <ns0:c r="B7" s="10">
        <ns0:f>Detail!C118</ns0:f>
        <ns0:v>2</ns0:v>
      </ns0:c>
      <ns0:c r="C7" s="10">
        <ns0:f>Detail!C119</ns0:f>
        <ns0:v>1</ns0:v>
      </ns0:c>
      <ns0:c r="D7" s="10">
        <ns0:f>Detail!C120</ns0:f>
        <ns0:v>2</ns0:v>
      </ns0:c>
      <ns0:c r="E7" s="10">
        <ns0:f>Detail!C121</ns0:f>
        <ns0:v>3</ns0:v>
      </ns0:c>
      <ns0:c r="F7" s="9" t="inlineStr">
        <ns0:is>
          <ns0:t>-</ns0:t>
        </ns0:is>
      </ns0:c>
      <ns0:c r="G7" s="10">
        <ns0:f>Detail!C122</ns0:f>
        <ns0:v>0</ns0:v>
      </ns0:c>
      <ns0:c r="H7" s="10">
        <ns0:f>Detail!C123</ns0:f>
        <ns0:v>0</ns0:v>
      </ns0:c>
      <ns0:c r="I7" s="10">
        <ns0:f>Detail!C124</ns0:f>
        <ns0:v>2</ns0:v>
      </ns0:c>
      <ns0:c r="J7" s="10">
        <ns0:f>Detail!C125</ns0:f>
        <ns0:v>1</ns0:v>
      </ns0:c>
      <ns0:c r="K7" s="10">
        <ns0:f>Detail!C126</ns0:f>
        <ns0:v>0</ns0:v>
      </ns0:c>
      <ns0:c r="L7" s="10">
        <ns0:f>Detail!C127</ns0:f>
        <ns0:v>0</ns0:v>
      </ns0:c>
      <ns0:c r="M7" s="10">
        <ns0:f>Detail!C128</ns0:f>
        <ns0:v>1</ns0:v>
      </ns0:c>
      <ns0:c r="N7" s="10">
        <ns0:f>Detail!C129</ns0:f>
        <ns0:v>1</ns0:v>
      </ns0:c>
      <ns0:c r="O7" s="10">
        <ns0:f>Detail!C130</ns0:f>
        <ns0:v>2</ns0:v>
      </ns0:c>
      <ns0:c r="P7" s="10">
        <ns0:f>Detail!C131</ns0:f>
        <ns0:v>1</ns0:v>
      </ns0:c>
      <ns0:c r="Q7" s="10">
        <ns0:f>Detail!C132</ns0:f>
        <ns0:v>3</ns0:v>
      </ns0:c>
      <ns0:c r="R7" s="10">
        <ns0:f>Detail!C133</ns0:f>
        <ns0:v>2</ns0:v>
      </ns0:c>
      <ns0:c r="S7" s="10">
        <ns0:f>Detail!C134</ns0:f>
        <ns0:v>0</ns0:v>
      </ns0:c>
      <ns0:c r="T7" s="10">
        <ns0:f>Detail!C135</ns0:f>
        <ns0:v>0</ns0:v>
      </ns0:c>
      <ns0:c r="U7" s="10">
        <ns0:f>Detail!C136</ns0:f>
        <ns0:v>2</ns0:v>
      </ns0:c>
      <ns0:c r="V7" s="10">
        <ns0:f>Detail!C137</ns0:f>
        <ns0:v>0</ns0:v>
      </ns0:c>
      <ns0:c r="W7" s="10">
        <ns0:f>Detail!C138</ns0:f>
        <ns0:v>2</ns0:v>
      </ns0:c>
      <ns0:c r="X7" s="10">
        <ns0:f>Detail!C139</ns0:f>
        <ns0:v>2</ns0:v>
      </ns0:c>
      <ns0:c r="Y7" s="10">
        <ns0:f>Detail!C140</ns0:f>
        <ns0:v>0</ns0:v>
      </ns0:c>
      <ns0:c r="Z7" s="10">
        <ns0:f>Detail!C141</ns0:f>
        <ns0:v>1</ns0:v>
      </ns0:c>
      <ns0:c r="AA7" s="10">
        <ns0:f>Detail!C142</ns0:f>
        <ns0:v>1</ns0:v>
      </ns0:c>
      <ns0:c r="AB7" s="10">
        <ns0:f>Detail!C143</ns0:f>
        <ns0:v>2</ns0:v>
      </ns0:c>
      <ns0:c r="AC7" s="10">
        <ns0:f>Detail!C144</ns0:f>
        <ns0:v>4</ns0:v>
      </ns0:c>
      <ns0:c r="AD7" s="10">
        <ns0:f>Detail!C145</ns0:f>
        <ns0:v>1</ns0:v>
      </ns0:c>
      <ns0:c r="AE7" s="10">
        <ns0:f>Detail!C146</ns0:f>
        <ns0:v>3</ns0:v>
      </ns0:c>
      <ns0:c r="AF7" s="11">
        <ns0:f>SUM(B7:AE7)</ns0:f>
        <ns0:v>39</ns0:v>
      </ns0:c>
    </ns0:row>
    <ns0:row r="8">
      <ns0:c r="A8" s="8" t="inlineStr">
        <ns0:is>
          <ns0:t>Cleveland Cavaliers</ns0:t>
        </ns0:is>
      </ns0:c>
      <ns0:c r="B8" s="10">
        <ns0:f>Detail!C147</ns0:f>
        <ns0:v>1</ns0:v>
      </ns0:c>
      <ns0:c r="C8" s="10">
        <ns0:f>Detail!C148</ns0:f>
        <ns0:v>2</ns0:v>
      </ns0:c>
      <ns0:c r="D8" s="10">
        <ns0:f>Detail!C149</ns0:f>
        <ns0:v>4</ns0:v>
      </ns0:c>
      <ns0:c r="E8" s="10">
        <ns0:f>Detail!C150</ns0:f>
        <ns0:v>4</ns0:v>
      </ns0:c>
      <ns0:c r="F8" s="10">
        <ns0:f>Detail!C151</ns0:f>
        <ns0:v>4</ns0:v>
      </ns0:c>
      <ns0:c r="G8" s="9" t="inlineStr">
        <ns0:is>
          <ns0:t>-</ns0:t>
        </ns0:is>
      </ns0:c>
      <ns0:c r="H8" s="10">
        <ns0:f>Detail!C152</ns0:f>
        <ns0:v>2</ns0:v>
      </ns0:c>
      <ns0:c r="I8" s="10">
        <ns0:f>Detail!C153</ns0:f>
        <ns0:v>2</ns0:v>
      </ns0:c>
      <ns0:c r="J8" s="10">
        <ns0:f>Detail!C154</ns0:f>
        <ns0:v>3</ns0:v>
      </ns0:c>
      <ns0:c r="K8" s="10">
        <ns0:f>Detail!C155</ns0:f>
        <ns0:v>2</ns0:v>
      </ns0:c>
      <ns0:c r="L8" s="10">
        <ns0:f>Detail!C156</ns0:f>
        <ns0:v>0</ns0:v>
      </ns0:c>
      <ns0:c r="M8" s="10">
        <ns0:f>Detail!C157</ns0:f>
        <ns0:v>1</ns0:v>
      </ns0:c>
      <ns0:c r="N8" s="10">
        <ns0:f>Detail!C158</ns0:f>
        <ns0:v>1</ns0:v>
      </ns0:c>
      <ns0:c r="O8" s="10">
        <ns0:f>Detail!C159</ns0:f>
        <ns0:v>2</ns0:v>
      </ns0:c>
      <ns0:c r="P8" s="10">
        <ns0:f>Detail!C160</ns0:f>
        <ns0:v>2</ns0:v>
      </ns0:c>
      <ns0:c r="Q8" s="10">
        <ns0:f>Detail!C161</ns0:f>
        <ns0:v>2</ns0:v>
      </ns0:c>
      <ns0:c r="R8" s="10">
        <ns0:f>Detail!C162</ns0:f>
        <ns0:v>4</ns0:v>
      </ns0:c>
      <ns0:c r="S8" s="10">
        <ns0:f>Detail!C163</ns0:f>
        <ns0:v>2</ns0:v>
      </ns0:c>
      <ns0:c r="T8" s="10">
        <ns0:f>Detail!C164</ns0:f>
        <ns0:v>2</ns0:v>
      </ns0:c>
      <ns0:c r="U8" s="10">
        <ns0:f>Detail!C165</ns0:f>
        <ns0:v>4</ns0:v>
      </ns0:c>
      <ns0:c r="V8" s="10">
        <ns0:f>Detail!C166</ns0:f>
        <ns0:v>1</ns0:v>
      </ns0:c>
      <ns0:c r="W8" s="10">
        <ns0:f>Detail!C167</ns0:f>
        <ns0:v>2</ns0:v>
      </ns0:c>
      <ns0:c r="X8" s="10">
        <ns0:f>Detail!C168</ns0:f>
        <ns0:v>2</ns0:v>
      </ns0:c>
      <ns0:c r="Y8" s="10">
        <ns0:f>Detail!C169</ns0:f>
        <ns0:v>1</ns0:v>
      </ns0:c>
      <ns0:c r="Z8" s="10">
        <ns0:f>Detail!C170</ns0:f>
        <ns0:v>2</ns0:v>
      </ns0:c>
      <ns0:c r="AA8" s="10">
        <ns0:f>Detail!C171</ns0:f>
        <ns0:v>0</ns0:v>
      </ns0:c>
      <ns0:c r="AB8" s="10">
        <ns0:f>Detail!C172</ns0:f>
        <ns0:v>2</ns0:v>
      </ns0:c>
      <ns0:c r="AC8" s="10">
        <ns0:f>Detail!C173</ns0:f>
        <ns0:v>4</ns0:v>
      </ns0:c>
      <ns0:c r="AD8" s="10">
        <ns0:f>Detail!C174</ns0:f>
        <ns0:v>2</ns0:v>
      </ns0:c>
      <ns0:c r="AE8" s="10">
        <ns0:f>Detail!C175</ns0:f>
        <ns0:v>4</ns0:v>
      </ns0:c>
      <ns0:c r="AF8" s="11">
        <ns0:f>SUM(B8:AE8)</ns0:f>
        <ns0:v>64</ns0:v>
      </ns0:c>
    </ns0:row>
    <ns0:row r="9">
      <ns0:c r="A9" s="8" t="inlineStr">
        <ns0:is>
          <ns0:t>Dallas Mavericks</ns0:t>
        </ns0:is>
      </ns0:c>
      <ns0:c r="B9" s="10">
        <ns0:f>Detail!C176</ns0:f>
        <ns0:v>2</ns0:v>
      </ns0:c>
      <ns0:c r="C9" s="10">
        <ns0:f>Detail!C177</ns0:f>
        <ns0:v>1</ns0:v>
      </ns0:c>
      <ns0:c r="D9" s="10">
        <ns0:f>Detail!C178</ns0:f>
        <ns0:v>1</ns0:v>
      </ns0:c>
      <ns0:c r="E9" s="10">
        <ns0:f>Detail!C179</ns0:f>
        <ns0:v>1</ns0:v>
      </ns0:c>
      <ns0:c r="F9" s="10">
        <ns0:f>Detail!C180</ns0:f>
        <ns0:v>2</ns0:v>
      </ns0:c>
      <ns0:c r="G9" s="10">
        <ns0:f>Detail!C181</ns0:f>
        <ns0:v>0</ns0:v>
      </ns0:c>
      <ns0:c r="H9" s="9" t="inlineStr">
        <ns0:is>
          <ns0:t>-</ns0:t>
        </ns0:is>
      </ns0:c>
      <ns0:c r="I9" s="10">
        <ns0:f>Detail!C182</ns0:f>
        <ns0:v>1</ns0:v>
      </ns0:c>
      <ns0:c r="J9" s="10">
        <ns0:f>Detail!C183</ns0:f>
        <ns0:v>1</ns0:v>
      </ns0:c>
      <ns0:c r="K9" s="10">
        <ns0:f>Detail!C184</ns0:f>
        <ns0:v>2</ns0:v>
      </ns0:c>
      <ns0:c r="L9" s="10">
        <ns0:f>Detail!C185</ns0:f>
        <ns0:v>1</ns0:v>
      </ns0:c>
      <ns0:c r="M9" s="10">
        <ns0:f>Detail!C186</ns0:f>
        <ns0:v>0</ns0:v>
      </ns0:c>
      <ns0:c r="N9" s="10">
        <ns0:f>Detail!C187</ns0:f>
        <ns0:v>1</ns0:v>
      </ns0:c>
      <ns0:c r="O9" s="10">
        <ns0:f>Detail!C188</ns0:f>
        <ns0:v>1</ns0:v>
      </ns0:c>
      <ns0:c r="P9" s="10">
        <ns0:f>Detail!C189</ns0:f>
        <ns0:v>1</ns0:v>
      </ns0:c>
      <ns0:c r="Q9" s="10">
        <ns0:f>Detail!C190</ns0:f>
        <ns0:v>1</ns0:v>
      </ns0:c>
      <ns0:c r="R9" s="10">
        <ns0:f>Detail!C191</ns0:f>
        <ns0:v>0</ns0:v>
      </ns0:c>
      <ns0:c r="S9" s="10">
        <ns0:f>Detail!C192</ns0:f>
        <ns0:v>1</ns0:v>
      </ns0:c>
      <ns0:c r="T9" s="10">
        <ns0:f>Detail!C193</ns0:f>
        <ns0:v>3</ns0:v>
      </ns0:c>
      <ns0:c r="U9" s="10">
        <ns0:f>Detail!C194</ns0:f>
        <ns0:v>1</ns0:v>
      </ns0:c>
      <ns0:c r="V9" s="10">
        <ns0:f>Detail!C195</ns0:f>
        <ns0:v>3</ns0:v>
      </ns0:c>
      <ns0:c r="W9" s="10">
        <ns0:f>Detail!C196</ns0:f>
        <ns0:v>2</ns0:v>
      </ns0:c>
      <ns0:c r="X9" s="10">
        <ns0:f>Detail!C197</ns0:f>
        <ns0:v>0</ns0:v>
      </ns0:c>
      <ns0:c r="Y9" s="10">
        <ns0:f>Detail!C198</ns0:f>
        <ns0:v>1</ns0:v>
      </ns0:c>
      <ns0:c r="Z9" s="10">
        <ns0:f>Detail!C199</ns0:f>
        <ns0:v>3</ns0:v>
      </ns0:c>
      <ns0:c r="AA9" s="10">
        <ns0:f>Detail!C200</ns0:f>
        <ns0:v>0</ns0:v>
      </ns0:c>
      <ns0:c r="AB9" s="10">
        <ns0:f>Detail!C201</ns0:f>
        <ns0:v>3</ns0:v>
      </ns0:c>
      <ns0:c r="AC9" s="10">
        <ns0:f>Detail!C202</ns0:f>
        <ns0:v>2</ns0:v>
      </ns0:c>
      <ns0:c r="AD9" s="10">
        <ns0:f>Detail!C203</ns0:f>
        <ns0:v>2</ns0:v>
      </ns0:c>
      <ns0:c r="AE9" s="10">
        <ns0:f>Detail!C204</ns0:f>
        <ns0:v>2</ns0:v>
      </ns0:c>
      <ns0:c r="AF9" s="11">
        <ns0:f>SUM(B9:AE9)</ns0:f>
        <ns0:v>39</ns0:v>
      </ns0:c>
    </ns0:row>
    <ns0:row r="10">
      <ns0:c r="A10" s="8" t="inlineStr">
        <ns0:is>
          <ns0:t>Denver Nuggets</ns0:t>
        </ns0:is>
      </ns0:c>
      <ns0:c r="B10" s="10">
        <ns0:f>Detail!C205</ns0:f>
        <ns0:v>2</ns0:v>
      </ns0:c>
      <ns0:c r="C10" s="10">
        <ns0:f>Detail!C206</ns0:f>
        <ns0:v>0</ns0:v>
      </ns0:c>
      <ns0:c r="D10" s="10">
        <ns0:f>Detail!C207</ns0:f>
        <ns0:v>2</ns0:v>
      </ns0:c>
      <ns0:c r="E10" s="10">
        <ns0:f>Detail!C208</ns0:f>
        <ns0:v>2</ns0:v>
      </ns0:c>
      <ns0:c r="F10" s="10">
        <ns0:f>Detail!C209</ns0:f>
        <ns0:v>0</ns0:v>
      </ns0:c>
      <ns0:c r="G10" s="10">
        <ns0:f>Detail!C210</ns0:f>
        <ns0:v>0</ns0:v>
      </ns0:c>
      <ns0:c r="H10" s="10">
        <ns0:f>Detail!C211</ns0:f>
        <ns0:v>3</ns0:v>
      </ns0:c>
      <ns0:c r="I10" s="9" t="inlineStr">
        <ns0:is>
          <ns0:t>-</ns0:t>
        </ns0:is>
      </ns0:c>
      <ns0:c r="J10" s="10">
        <ns0:f>Detail!C212</ns0:f>
        <ns0:v>2</ns0:v>
      </ns0:c>
      <ns0:c r="K10" s="10">
        <ns0:f>Detail!C213</ns0:f>
        <ns0:v>2</ns0:v>
      </ns0:c>
      <ns0:c r="L10" s="10">
        <ns0:f>Detail!C214</ns0:f>
        <ns0:v>2</ns0:v>
      </ns0:c>
      <ns0:c r="M10" s="10">
        <ns0:f>Detail!C215</ns0:f>
        <ns0:v>1</ns0:v>
      </ns0:c>
      <ns0:c r="N10" s="10">
        <ns0:f>Detail!C216</ns0:f>
        <ns0:v>2</ns0:v>
      </ns0:c>
      <ns0:c r="O10" s="10">
        <ns0:f>Detail!C217</ns0:f>
        <ns0:v>2</ns0:v>
      </ns0:c>
      <ns0:c r="P10" s="10">
        <ns0:f>Detail!C218</ns0:f>
        <ns0:v>2</ns0:v>
      </ns0:c>
      <ns0:c r="Q10" s="10">
        <ns0:f>Detail!C219</ns0:f>
        <ns0:v>2</ns0:v>
      </ns0:c>
      <ns0:c r="R10" s="10">
        <ns0:f>Detail!C220</ns0:f>
        <ns0:v>1</ns0:v>
      </ns0:c>
      <ns0:c r="S10" s="10">
        <ns0:f>Detail!C221</ns0:f>
        <ns0:v>0</ns0:v>
      </ns0:c>
      <ns0:c r="T10" s="10">
        <ns0:f>Detail!C222</ns0:f>
        <ns0:v>3</ns0:v>
      </ns0:c>
      <ns0:c r="U10" s="10">
        <ns0:f>Detail!C223</ns0:f>
        <ns0:v>0</ns0:v>
      </ns0:c>
      <ns0:c r="V10" s="10">
        <ns0:f>Detail!C224</ns0:f>
        <ns0:v>2</ns0:v>
      </ns0:c>
      <ns0:c r="W10" s="10">
        <ns0:f>Detail!C225</ns0:f>
        <ns0:v>2</ns0:v>
      </ns0:c>
      <ns0:c r="X10" s="10">
        <ns0:f>Detail!C226</ns0:f>
        <ns0:v>2</ns0:v>
      </ns0:c>
      <ns0:c r="Y10" s="10">
        <ns0:f>Detail!C227</ns0:f>
        <ns0:v>3</ns0:v>
      </ns0:c>
      <ns0:c r="Z10" s="10">
        <ns0:f>Detail!C228</ns0:f>
        <ns0:v>2</ns0:v>
      </ns0:c>
      <ns0:c r="AA10" s="10">
        <ns0:f>Detail!C229</ns0:f>
        <ns0:v>4</ns0:v>
      </ns0:c>
      <ns0:c r="AB10" s="10">
        <ns0:f>Detail!C230</ns0:f>
        <ns0:v>1</ns0:v>
      </ns0:c>
      <ns0:c r="AC10" s="10">
        <ns0:f>Detail!C231</ns0:f>
        <ns0:v>2</ns0:v>
      </ns0:c>
      <ns0:c r="AD10" s="10">
        <ns0:f>Detail!C232</ns0:f>
        <ns0:v>4</ns0:v>
      </ns0:c>
      <ns0:c r="AE10" s="10">
        <ns0:f>Detail!C233</ns0:f>
        <ns0:v>0</ns0:v>
      </ns0:c>
      <ns0:c r="AF10" s="11">
        <ns0:f>SUM(B10:AE10)</ns0:f>
        <ns0:v>50</ns0:v>
      </ns0:c>
    </ns0:row>
    <ns0:row r="11">
      <ns0:c r="A11" s="8" t="inlineStr">
        <ns0:is>
          <ns0:t>Detroit Pistons</ns0:t>
        </ns0:is>
      </ns0:c>
      <ns0:c r="B11" s="10">
        <ns0:f>Detail!C234</ns0:f>
        <ns0:v>3</ns0:v>
      </ns0:c>
      <ns0:c r="C11" s="10">
        <ns0:f>Detail!C235</ns0:f>
        <ns0:v>1</ns0:v>
      </ns0:c>
      <ns0:c r="D11" s="10">
        <ns0:f>Detail!C236</ns0:f>
        <ns0:v>3</ns0:v>
      </ns0:c>
      <ns0:c r="E11" s="10">
        <ns0:f>Detail!C237</ns0:f>
        <ns0:v>2</ns0:v>
      </ns0:c>
      <ns0:c r="F11" s="10">
        <ns0:f>Detail!C238</ns0:f>
        <ns0:v>3</ns0:v>
      </ns0:c>
      <ns0:c r="G11" s="10">
        <ns0:f>Detail!C239</ns0:f>
        <ns0:v>1</ns0:v>
      </ns0:c>
      <ns0:c r="H11" s="10">
        <ns0:f>Detail!C240</ns0:f>
        <ns0:v>1</ns0:v>
      </ns0:c>
      <ns0:c r="I11" s="10">
        <ns0:f>Detail!C241</ns0:f>
        <ns0:v>0</ns0:v>
      </ns0:c>
      <ns0:c r="J11" s="9" t="inlineStr">
        <ns0:is>
          <ns0:t>-</ns0:t>
        </ns0:is>
      </ns0:c>
      <ns0:c r="K11" s="10">
        <ns0:f>Detail!C242</ns0:f>
        <ns0:v>0</ns0:v>
      </ns0:c>
      <ns0:c r="L11" s="10">
        <ns0:f>Detail!C243</ns0:f>
        <ns0:v>1</ns0:v>
      </ns0:c>
      <ns0:c r="M11" s="10">
        <ns0:f>Detail!C244</ns0:f>
        <ns0:v>1</ns0:v>
      </ns0:c>
      <ns0:c r="N11" s="10">
        <ns0:f>Detail!C245</ns0:f>
        <ns0:v>1</ns0:v>
      </ns0:c>
      <ns0:c r="O11" s="10">
        <ns0:f>Detail!C246</ns0:f>
        <ns0:v>2</ns0:v>
      </ns0:c>
      <ns0:c r="P11" s="10">
        <ns0:f>Detail!C247</ns0:f>
        <ns0:v>0</ns0:v>
      </ns0:c>
      <ns0:c r="Q11" s="10">
        <ns0:f>Detail!C248</ns0:f>
        <ns0:v>3</ns0:v>
      </ns0:c>
      <ns0:c r="R11" s="10">
        <ns0:f>Detail!C249</ns0:f>
        <ns0:v>0</ns0:v>
      </ns0:c>
      <ns0:c r="S11" s="10">
        <ns0:f>Detail!C250</ns0:f>
        <ns0:v>1</ns0:v>
      </ns0:c>
      <ns0:c r="T11" s="10">
        <ns0:f>Detail!C251</ns0:f>
        <ns0:v>2</ns0:v>
      </ns0:c>
      <ns0:c r="U11" s="10">
        <ns0:f>Detail!C252</ns0:f>
        <ns0:v>3</ns0:v>
      </ns0:c>
      <ns0:c r="V11" s="10">
        <ns0:f>Detail!C253</ns0:f>
        <ns0:v>0</ns0:v>
      </ns0:c>
      <ns0:c r="W11" s="10">
        <ns0:f>Detail!C254</ns0:f>
        <ns0:v>1</ns0:v>
      </ns0:c>
      <ns0:c r="X11" s="10">
        <ns0:f>Detail!C255</ns0:f>
        <ns0:v>2</ns0:v>
      </ns0:c>
      <ns0:c r="Y11" s="10">
        <ns0:f>Detail!C256</ns0:f>
        <ns0:v>1</ns0:v>
      </ns0:c>
      <ns0:c r="Z11" s="10">
        <ns0:f>Detail!C257</ns0:f>
        <ns0:v>2</ns0:v>
      </ns0:c>
      <ns0:c r="AA11" s="10">
        <ns0:f>Detail!C258</ns0:f>
        <ns0:v>1</ns0:v>
      </ns0:c>
      <ns0:c r="AB11" s="10">
        <ns0:f>Detail!C259</ns0:f>
        <ns0:v>2</ns0:v>
      </ns0:c>
      <ns0:c r="AC11" s="10">
        <ns0:f>Detail!C260</ns0:f>
        <ns0:v>4</ns0:v>
      </ns0:c>
      <ns0:c r="AD11" s="10">
        <ns0:f>Detail!C261</ns0:f>
        <ns0:v>1</ns0:v>
      </ns0:c>
      <ns0:c r="AE11" s="10">
        <ns0:f>Detail!C262</ns0:f>
        <ns0:v>2</ns0:v>
      </ns0:c>
      <ns0:c r="AF11" s="11">
        <ns0:f>SUM(B11:AE11)</ns0:f>
        <ns0:v>44</ns0:v>
      </ns0:c>
    </ns0:row>
    <ns0:row r="12">
      <ns0:c r="A12" s="8" t="inlineStr">
        <ns0:is>
          <ns0:t>Golden State Warriors</ns0:t>
        </ns0:is>
      </ns0:c>
      <ns0:c r="B12" s="10">
        <ns0:f>Detail!C263</ns0:f>
        <ns0:v>1</ns0:v>
      </ns0:c>
      <ns0:c r="C12" s="10">
        <ns0:f>Detail!C264</ns0:f>
        <ns0:v>1</ns0:v>
      </ns0:c>
      <ns0:c r="D12" s="10">
        <ns0:f>Detail!C265</ns0:f>
        <ns0:v>1</ns0:v>
      </ns0:c>
      <ns0:c r="E12" s="10">
        <ns0:f>Detail!C266</ns0:f>
        <ns0:v>2</ns0:v>
      </ns0:c>
      <ns0:c r="F12" s="10">
        <ns0:f>Detail!C267</ns0:f>
        <ns0:v>2</ns0:v>
      </ns0:c>
      <ns0:c r="G12" s="10">
        <ns0:f>Detail!C268</ns0:f>
        <ns0:v>0</ns0:v>
      </ns0:c>
      <ns0:c r="H12" s="10">
        <ns0:f>Detail!C269</ns0:f>
        <ns0:v>2</ns0:v>
      </ns0:c>
      <ns0:c r="I12" s="10">
        <ns0:f>Detail!C270</ns0:f>
        <ns0:v>1</ns0:v>
      </ns0:c>
      <ns0:c r="J12" s="10">
        <ns0:f>Detail!C271</ns0:f>
        <ns0:v>2</ns0:v>
      </ns0:c>
      <ns0:c r="K12" s="9" t="inlineStr">
        <ns0:is>
          <ns0:t>-</ns0:t>
        </ns0:is>
      </ns0:c>
      <ns0:c r="L12" s="10">
        <ns0:f>Detail!C272</ns0:f>
        <ns0:v>3</ns0:v>
      </ns0:c>
      <ns0:c r="M12" s="10">
        <ns0:f>Detail!C273</ns0:f>
        <ns0:v>0</ns0:v>
      </ns0:c>
      <ns0:c r="N12" s="10">
        <ns0:f>Detail!C274</ns0:f>
        <ns0:v>0</ns0:v>
      </ns0:c>
      <ns0:c r="O12" s="10">
        <ns0:f>Detail!C275</ns0:f>
        <ns0:v>1</ns0:v>
      </ns0:c>
      <ns0:c r="P12" s="10">
        <ns0:f>Detail!C276</ns0:f>
        <ns0:v>3</ns0:v>
      </ns0:c>
      <ns0:c r="Q12" s="10">
        <ns0:f>Detail!C277</ns0:f>
        <ns0:v>0</ns0:v>
      </ns0:c>
      <ns0:c r="R12" s="10">
        <ns0:f>Detail!C278</ns0:f>
        <ns0:v>2</ns0:v>
      </ns0:c>
      <ns0:c r="S12" s="10">
        <ns0:f>Detail!C279</ns0:f>
        <ns0:v>3</ns0:v>
      </ns0:c>
      <ns0:c r="T12" s="10">
        <ns0:f>Detail!C280</ns0:f>
        <ns0:v>4</ns0:v>
      </ns0:c>
      <ns0:c r="U12" s="10">
        <ns0:f>Detail!C281</ns0:f>
        <ns0:v>2</ns0:v>
      </ns0:c>
      <ns0:c r="V12" s="10">
        <ns0:f>Detail!C282</ns0:f>
        <ns0:v>2</ns0:v>
      </ns0:c>
      <ns0:c r="W12" s="10">
        <ns0:f>Detail!C283</ns0:f>
        <ns0:v>2</ns0:v>
      </ns0:c>
      <ns0:c r="X12" s="10">
        <ns0:f>Detail!C284</ns0:f>
        <ns0:v>1</ns0:v>
      </ns0:c>
      <ns0:c r="Y12" s="10">
        <ns0:f>Detail!C285</ns0:f>
        <ns0:v>2</ns0:v>
      </ns0:c>
      <ns0:c r="Z12" s="10">
        <ns0:f>Detail!C286</ns0:f>
        <ns0:v>3</ns0:v>
      </ns0:c>
      <ns0:c r="AA12" s="10">
        <ns0:f>Detail!C287</ns0:f>
        <ns0:v>2</ns0:v>
      </ns0:c>
      <ns0:c r="AB12" s="10">
        <ns0:f>Detail!C288</ns0:f>
        <ns0:v>1</ns0:v>
      </ns0:c>
      <ns0:c r="AC12" s="10">
        <ns0:f>Detail!C289</ns0:f>
        <ns0:v>1</ns0:v>
      </ns0:c>
      <ns0:c r="AD12" s="10">
        <ns0:f>Detail!C290</ns0:f>
        <ns0:v>2</ns0:v>
      </ns0:c>
      <ns0:c r="AE12" s="10">
        <ns0:f>Detail!C291</ns0:f>
        <ns0:v>2</ns0:v>
      </ns0:c>
      <ns0:c r="AF12" s="11">
        <ns0:f>SUM(B12:AE12)</ns0:f>
        <ns0:v>48</ns0:v>
      </ns0:c>
    </ns0:row>
    <ns0:row r="13">
      <ns0:c r="A13" s="8" t="inlineStr">
        <ns0:is>
          <ns0:t>Houston Rockets</ns0:t>
        </ns0:is>
      </ns0:c>
      <ns0:c r="B13" s="10">
        <ns0:f>Detail!C292</ns0:f>
        <ns0:v>2</ns0:v>
      </ns0:c>
      <ns0:c r="C13" s="10">
        <ns0:f>Detail!C293</ns0:f>
        <ns0:v>1</ns0:v>
      </ns0:c>
      <ns0:c r="D13" s="10">
        <ns0:f>Detail!C294</ns0:f>
        <ns0:v>0</ns0:v>
      </ns0:c>
      <ns0:c r="E13" s="10">
        <ns0:f>Detail!C295</ns0:f>
        <ns0:v>1</ns0:v>
      </ns0:c>
      <ns0:c r="F13" s="10">
        <ns0:f>Detail!C296</ns0:f>
        <ns0:v>2</ns0:v>
      </ns0:c>
      <ns0:c r="G13" s="10">
        <ns0:f>Detail!C297</ns0:f>
        <ns0:v>2</ns0:v>
      </ns0:c>
      <ns0:c r="H13" s="10">
        <ns0:f>Detail!C298</ns0:f>
        <ns0:v>3</ns0:v>
      </ns0:c>
      <ns0:c r="I13" s="10">
        <ns0:f>Detail!C299</ns0:f>
        <ns0:v>1</ns0:v>
      </ns0:c>
      <ns0:c r="J13" s="10">
        <ns0:f>Detail!C300</ns0:f>
        <ns0:v>1</ns0:v>
      </ns0:c>
      <ns0:c r="K13" s="10">
        <ns0:f>Detail!C301</ns0:f>
        <ns0:v>2</ns0:v>
      </ns0:c>
      <ns0:c r="L13" s="9" t="inlineStr">
        <ns0:is>
          <ns0:t>-</ns0:t>
        </ns0:is>
      </ns0:c>
      <ns0:c r="M13" s="10">
        <ns0:f>Detail!C302</ns0:f>
        <ns0:v>1</ns0:v>
      </ns0:c>
      <ns0:c r="N13" s="10">
        <ns0:f>Detail!C303</ns0:f>
        <ns0:v>3</ns0:v>
      </ns0:c>
      <ns0:c r="O13" s="10">
        <ns0:f>Detail!C304</ns0:f>
        <ns0:v>1</ns0:v>
      </ns0:c>
      <ns0:c r="P13" s="10">
        <ns0:f>Detail!C305</ns0:f>
        <ns0:v>3</ns0:v>
      </ns0:c>
      <ns0:c r="Q13" s="10">
        <ns0:f>Detail!C306</ns0:f>
        <ns0:v>1</ns0:v>
      </ns0:c>
      <ns0:c r="R13" s="10">
        <ns0:f>Detail!C307</ns0:f>
        <ns0:v>1</ns0:v>
      </ns0:c>
      <ns0:c r="S13" s="10">
        <ns0:f>Detail!C308</ns0:f>
        <ns0:v>2</ns0:v>
      </ns0:c>
      <ns0:c r="T13" s="10">
        <ns0:f>Detail!C309</ns0:f>
        <ns0:v>4</ns0:v>
      </ns0:c>
      <ns0:c r="U13" s="10">
        <ns0:f>Detail!C310</ns0:f>
        <ns0:v>1</ns0:v>
      </ns0:c>
      <ns0:c r="V13" s="10">
        <ns0:f>Detail!C311</ns0:f>
        <ns0:v>2</ns0:v>
      </ns0:c>
      <ns0:c r="W13" s="10">
        <ns0:f>Detail!C312</ns0:f>
        <ns0:v>2</ns0:v>
      </ns0:c>
      <ns0:c r="X13" s="10">
        <ns0:f>Detail!C313</ns0:f>
        <ns0:v>2</ns0:v>
      </ns0:c>
      <ns0:c r="Y13" s="10">
        <ns0:f>Detail!C314</ns0:f>
        <ns0:v>3</ns0:v>
      </ns0:c>
      <ns0:c r="Z13" s="10">
        <ns0:f>Detail!C315</ns0:f>
        <ns0:v>2</ns0:v>
      </ns0:c>
      <ns0:c r="AA13" s="10">
        <ns0:f>Detail!C316</ns0:f>
        <ns0:v>0</ns0:v>
      </ns0:c>
      <ns0:c r="AB13" s="10">
        <ns0:f>Detail!C317</ns0:f>
        <ns0:v>3</ns0:v>
      </ns0:c>
      <ns0:c r="AC13" s="10">
        <ns0:f>Detail!C318</ns0:f>
        <ns0:v>2</ns0:v>
      </ns0:c>
      <ns0:c r="AD13" s="10">
        <ns0:f>Detail!C319</ns0:f>
        <ns0:v>2</ns0:v>
      </ns0:c>
      <ns0:c r="AE13" s="10">
        <ns0:f>Detail!C320</ns0:f>
        <ns0:v>2</ns0:v>
      </ns0:c>
      <ns0:c r="AF13" s="11">
        <ns0:f>SUM(B13:AE13)</ns0:f>
        <ns0:v>52</ns0:v>
      </ns0:c>
    </ns0:row>
    <ns0:row r="14">
      <ns0:c r="A14" s="8" t="inlineStr">
        <ns0:is>
          <ns0:t>Indiana Pacers</ns0:t>
        </ns0:is>
      </ns0:c>
      <ns0:c r="B14" s="10">
        <ns0:f>Detail!C321</ns0:f>
        <ns0:v>1</ns0:v>
      </ns0:c>
      <ns0:c r="C14" s="10">
        <ns0:f>Detail!C322</ns0:f>
        <ns0:v>2</ns0:v>
      </ns0:c>
      <ns0:c r="D14" s="10">
        <ns0:f>Detail!C323</ns0:f>
        <ns0:v>3</ns0:v>
      </ns0:c>
      <ns0:c r="E14" s="10">
        <ns0:f>Detail!C324</ns0:f>
        <ns0:v>1</ns0:v>
      </ns0:c>
      <ns0:c r="F14" s="10">
        <ns0:f>Detail!C325</ns0:f>
        <ns0:v>3</ns0:v>
      </ns0:c>
      <ns0:c r="G14" s="10">
        <ns0:f>Detail!C326</ns0:f>
        <ns0:v>3</ns0:v>
      </ns0:c>
      <ns0:c r="H14" s="10">
        <ns0:f>Detail!C327</ns0:f>
        <ns0:v>2</ns0:v>
      </ns0:c>
      <ns0:c r="I14" s="10">
        <ns0:f>Detail!C328</ns0:f>
        <ns0:v>1</ns0:v>
      </ns0:c>
      <ns0:c r="J14" s="10">
        <ns0:f>Detail!C329</ns0:f>
        <ns0:v>3</ns0:v>
      </ns0:c>
      <ns0:c r="K14" s="10">
        <ns0:f>Detail!C330</ns0:f>
        <ns0:v>2</ns0:v>
      </ns0:c>
      <ns0:c r="L14" s="10">
        <ns0:f>Detail!C331</ns0:f>
        <ns0:v>1</ns0:v>
      </ns0:c>
      <ns0:c r="M14" s="9" t="inlineStr">
        <ns0:is>
          <ns0:t>-</ns0:t>
        </ns0:is>
      </ns0:c>
      <ns0:c r="N14" s="10">
        <ns0:f>Detail!C332</ns0:f>
        <ns0:v>2</ns0:v>
      </ns0:c>
      <ns0:c r="O14" s="10">
        <ns0:f>Detail!C333</ns0:f>
        <ns0:v>0</ns0:v>
      </ns0:c>
      <ns0:c r="P14" s="10">
        <ns0:f>Detail!C334</ns0:f>
        <ns0:v>1</ns0:v>
      </ns0:c>
      <ns0:c r="Q14" s="10">
        <ns0:f>Detail!C335</ns0:f>
        <ns0:v>2</ns0:v>
      </ns0:c>
      <ns0:c r="R14" s="10">
        <ns0:f>Detail!C336</ns0:f>
        <ns0:v>1</ns0:v>
      </ns0:c>
      <ns0:c r="S14" s="10">
        <ns0:f>Detail!C337</ns0:f>
        <ns0:v>2</ns0:v>
      </ns0:c>
      <ns0:c r="T14" s="10">
        <ns0:f>Detail!C338</ns0:f>
        <ns0:v>2</ns0:v>
      </ns0:c>
      <ns0:c r="U14" s="10">
        <ns0:f>Detail!C339</ns0:f>
        <ns0:v>1</ns0:v>
      </ns0:c>
      <ns0:c r="V14" s="10">
        <ns0:f>Detail!C340</ns0:f>
        <ns0:v>0</ns0:v>
      </ns0:c>
      <ns0:c r="W14" s="10">
        <ns0:f>Detail!C341</ns0:f>
        <ns0:v>1</ns0:v>
      </ns0:c>
      <ns0:c r="X14" s="10">
        <ns0:f>Detail!C342</ns0:f>
        <ns0:v>3</ns0:v>
      </ns0:c>
      <ns0:c r="Y14" s="10">
        <ns0:f>Detail!C343</ns0:f>
        <ns0:v>2</ns0:v>
      </ns0:c>
      <ns0:c r="Z14" s="10">
        <ns0:f>Detail!C344</ns0:f>
        <ns0:v>1</ns0:v>
      </ns0:c>
      <ns0:c r="AA14" s="10">
        <ns0:f>Detail!C345</ns0:f>
        <ns0:v>2</ns0:v>
      </ns0:c>
      <ns0:c r="AB14" s="10">
        <ns0:f>Detail!C346</ns0:f>
        <ns0:v>1</ns0:v>
      </ns0:c>
      <ns0:c r="AC14" s="10">
        <ns0:f>Detail!C347</ns0:f>
        <ns0:v>1</ns0:v>
      </ns0:c>
      <ns0:c r="AD14" s="10">
        <ns0:f>Detail!C348</ns0:f>
        <ns0:v>2</ns0:v>
      </ns0:c>
      <ns0:c r="AE14" s="10">
        <ns0:f>Detail!C349</ns0:f>
        <ns0:v>4</ns0:v>
      </ns0:c>
      <ns0:c r="AF14" s="11">
        <ns0:f>SUM(B14:AE14)</ns0:f>
        <ns0:v>50</ns0:v>
      </ns0:c>
    </ns0:row>
    <ns0:row r="15">
      <ns0:c r="A15" s="8" t="inlineStr">
        <ns0:is>
          <ns0:t>LA Clippers</ns0:t>
        </ns0:is>
      </ns0:c>
      <ns0:c r="B15" s="10">
        <ns0:f>Detail!C350</ns0:f>
        <ns0:v>2</ns0:v>
      </ns0:c>
      <ns0:c r="C15" s="10">
        <ns0:f>Detail!C351</ns0:f>
        <ns0:v>0</ns0:v>
      </ns0:c>
      <ns0:c r="D15" s="10">
        <ns0:f>Detail!C352</ns0:f>
        <ns0:v>2</ns0:v>
      </ns0:c>
      <ns0:c r="E15" s="10">
        <ns0:f>Detail!C353</ns0:f>
        <ns0:v>2</ns0:v>
      </ns0:c>
      <ns0:c r="F15" s="10">
        <ns0:f>Detail!C354</ns0:f>
        <ns0:v>1</ns0:v>
      </ns0:c>
      <ns0:c r="G15" s="10">
        <ns0:f>Detail!C355</ns0:f>
        <ns0:v>1</ns0:v>
      </ns0:c>
      <ns0:c r="H15" s="10">
        <ns0:f>Detail!C356</ns0:f>
        <ns0:v>3</ns0:v>
      </ns0:c>
      <ns0:c r="I15" s="10">
        <ns0:f>Detail!C357</ns0:f>
        <ns0:v>2</ns0:v>
      </ns0:c>
      <ns0:c r="J15" s="10">
        <ns0:f>Detail!C358</ns0:f>
        <ns0:v>1</ns0:v>
      </ns0:c>
      <ns0:c r="K15" s="10">
        <ns0:f>Detail!C359</ns0:f>
        <ns0:v>4</ns0:v>
      </ns0:c>
      <ns0:c r="L15" s="10">
        <ns0:f>Detail!C360</ns0:f>
        <ns0:v>1</ns0:v>
      </ns0:c>
      <ns0:c r="M15" s="10">
        <ns0:f>Detail!C361</ns0:f>
        <ns0:v>0</ns0:v>
      </ns0:c>
      <ns0:c r="N15" s="9" t="inlineStr">
        <ns0:is>
          <ns0:t>-</ns0:t>
        </ns0:is>
      </ns0:c>
      <ns0:c r="O15" s="10">
        <ns0:f>Detail!C362</ns0:f>
        <ns0:v>1</ns0:v>
      </ns0:c>
      <ns0:c r="P15" s="10">
        <ns0:f>Detail!C363</ns0:f>
        <ns0:v>3</ns0:v>
      </ns0:c>
      <ns0:c r="Q15" s="10">
        <ns0:f>Detail!C364</ns0:f>
        <ns0:v>2</ns0:v>
      </ns0:c>
      <ns0:c r="R15" s="10">
        <ns0:f>Detail!C365</ns0:f>
        <ns0:v>1</ns0:v>
      </ns0:c>
      <ns0:c r="S15" s="10">
        <ns0:f>Detail!C366</ns0:f>
        <ns0:v>0</ns0:v>
      </ns0:c>
      <ns0:c r="T15" s="10">
        <ns0:f>Detail!C367</ns0:f>
        <ns0:v>2</ns0:v>
      </ns0:c>
      <ns0:c r="U15" s="10">
        <ns0:f>Detail!C368</ns0:f>
        <ns0:v>2</ns0:v>
      </ns0:c>
      <ns0:c r="V15" s="10">
        <ns0:f>Detail!C369</ns0:f>
        <ns0:v>0</ns0:v>
      </ns0:c>
      <ns0:c r="W15" s="10">
        <ns0:f>Detail!C370</ns0:f>
        <ns0:v>2</ns0:v>
      </ns0:c>
      <ns0:c r="X15" s="10">
        <ns0:f>Detail!C371</ns0:f>
        <ns0:v>2</ns0:v>
      </ns0:c>
      <ns0:c r="Y15" s="10">
        <ns0:f>Detail!C372</ns0:f>
        <ns0:v>0</ns0:v>
      </ns0:c>
      <ns0:c r="Z15" s="10">
        <ns0:f>Detail!C373</ns0:f>
        <ns0:v>2</ns0:v>
      </ns0:c>
      <ns0:c r="AA15" s="10">
        <ns0:f>Detail!C374</ns0:f>
        <ns0:v>4</ns0:v>
      </ns0:c>
      <ns0:c r="AB15" s="10">
        <ns0:f>Detail!C375</ns0:f>
        <ns0:v>3</ns0:v>
      </ns0:c>
      <ns0:c r="AC15" s="10">
        <ns0:f>Detail!C376</ns0:f>
        <ns0:v>1</ns0:v>
      </ns0:c>
      <ns0:c r="AD15" s="10">
        <ns0:f>Detail!C377</ns0:f>
        <ns0:v>4</ns0:v>
      </ns0:c>
      <ns0:c r="AE15" s="10">
        <ns0:f>Detail!C378</ns0:f>
        <ns0:v>2</ns0:v>
      </ns0:c>
      <ns0:c r="AF15" s="11">
        <ns0:f>SUM(B15:AE15)</ns0:f>
        <ns0:v>50</ns0:v>
      </ns0:c>
    </ns0:row>
    <ns0:row r="16">
      <ns0:c r="A16" s="8" t="inlineStr">
        <ns0:is>
          <ns0:t>Los Angeles Lakers</ns0:t>
        </ns0:is>
      </ns0:c>
      <ns0:c r="B16" s="10">
        <ns0:f>Detail!C379</ns0:f>
        <ns0:v>1</ns0:v>
      </ns0:c>
      <ns0:c r="C16" s="10">
        <ns0:f>Detail!C380</ns0:f>
        <ns0:v>1</ns0:v>
      </ns0:c>
      <ns0:c r="D16" s="10">
        <ns0:f>Detail!C381</ns0:f>
        <ns0:v>1</ns0:v>
      </ns0:c>
      <ns0:c r="E16" s="10">
        <ns0:f>Detail!C382</ns0:f>
        <ns0:v>1</ns0:v>
      </ns0:c>
      <ns0:c r="F16" s="10">
        <ns0:f>Detail!C383</ns0:f>
        <ns0:v>0</ns0:v>
      </ns0:c>
      <ns0:c r="G16" s="10">
        <ns0:f>Detail!C384</ns0:f>
        <ns0:v>0</ns0:v>
      </ns0:c>
      <ns0:c r="H16" s="10">
        <ns0:f>Detail!C385</ns0:f>
        <ns0:v>2</ns0:v>
      </ns0:c>
      <ns0:c r="I16" s="10">
        <ns0:f>Detail!C386</ns0:f>
        <ns0:v>2</ns0:v>
      </ns0:c>
      <ns0:c r="J16" s="10">
        <ns0:f>Detail!C387</ns0:f>
        <ns0:v>0</ns0:v>
      </ns0:c>
      <ns0:c r="K16" s="10">
        <ns0:f>Detail!C388</ns0:f>
        <ns0:v>3</ns0:v>
      </ns0:c>
      <ns0:c r="L16" s="10">
        <ns0:f>Detail!C389</ns0:f>
        <ns0:v>2</ns0:v>
      </ns0:c>
      <ns0:c r="M16" s="10">
        <ns0:f>Detail!C390</ns0:f>
        <ns0:v>2</ns0:v>
      </ns0:c>
      <ns0:c r="N16" s="10">
        <ns0:f>Detail!C391</ns0:f>
        <ns0:v>3</ns0:v>
      </ns0:c>
      <ns0:c r="O16" s="9" t="inlineStr">
        <ns0:is>
          <ns0:t>-</ns0:t>
        </ns0:is>
      </ns0:c>
      <ns0:c r="P16" s="10">
        <ns0:f>Detail!C392</ns0:f>
        <ns0:v>3</ns0:v>
      </ns0:c>
      <ns0:c r="Q16" s="10">
        <ns0:f>Detail!C393</ns0:f>
        <ns0:v>1</ns0:v>
      </ns0:c>
      <ns0:c r="R16" s="10">
        <ns0:f>Detail!C394</ns0:f>
        <ns0:v>0</ns0:v>
      </ns0:c>
      <ns0:c r="S16" s="10">
        <ns0:f>Detail!C395</ns0:f>
        <ns0:v>2</ns0:v>
      </ns0:c>
      <ns0:c r="T16" s="10">
        <ns0:f>Detail!C396</ns0:f>
        <ns0:v>3</ns0:v>
      </ns0:c>
      <ns0:c r="U16" s="10">
        <ns0:f>Detail!C397</ns0:f>
        <ns0:v>2</ns0:v>
      </ns0:c>
      <ns0:c r="V16" s="10">
        <ns0:f>Detail!C398</ns0:f>
        <ns0:v>1</ns0:v>
      </ns0:c>
      <ns0:c r="W16" s="10">
        <ns0:f>Detail!C399</ns0:f>
        <ns0:v>0</ns0:v>
      </ns0:c>
      <ns0:c r="X16" s="10">
        <ns0:f>Detail!C400</ns0:f>
        <ns0:v>1</ns0:v>
      </ns0:c>
      <ns0:c r="Y16" s="10">
        <ns0:f>Detail!C401</ns0:f>
        <ns0:v>2</ns0:v>
      </ns0:c>
      <ns0:c r="Z16" s="10">
        <ns0:f>Detail!C402</ns0:f>
        <ns0:v>3</ns0:v>
      </ns0:c>
      <ns0:c r="AA16" s="10">
        <ns0:f>Detail!C403</ns0:f>
        <ns0:v>4</ns0:v>
      </ns0:c>
      <ns0:c r="AB16" s="10">
        <ns0:f>Detail!C404</ns0:f>
        <ns0:v>3</ns0:v>
      </ns0:c>
      <ns0:c r="AC16" s="10">
        <ns0:f>Detail!C405</ns0:f>
        <ns0:v>2</ns0:v>
      </ns0:c>
      <ns0:c r="AD16" s="10">
        <ns0:f>Detail!C406</ns0:f>
        <ns0:v>3</ns0:v>
      </ns0:c>
      <ns0:c r="AE16" s="10">
        <ns0:f>Detail!C407</ns0:f>
        <ns0:v>2</ns0:v>
      </ns0:c>
      <ns0:c r="AF16" s="11">
        <ns0:f>SUM(B16:AE16)</ns0:f>
        <ns0:v>50</ns0:v>
      </ns0:c>
    </ns0:row>
    <ns0:row r="17">
      <ns0:c r="A17" s="8" t="inlineStr">
        <ns0:is>
          <ns0:t>Memphis Grizzlies</ns0:t>
        </ns0:is>
      </ns0:c>
      <ns0:c r="B17" s="10">
        <ns0:f>Detail!C408</ns0:f>
        <ns0:v>1</ns0:v>
      </ns0:c>
      <ns0:c r="C17" s="10">
        <ns0:f>Detail!C409</ns0:f>
        <ns0:v>1</ns0:v>
      </ns0:c>
      <ns0:c r="D17" s="10">
        <ns0:f>Detail!C410</ns0:f>
        <ns0:v>1</ns0:v>
      </ns0:c>
      <ns0:c r="E17" s="10">
        <ns0:f>Detail!C411</ns0:f>
        <ns0:v>2</ns0:v>
      </ns0:c>
      <ns0:c r="F17" s="10">
        <ns0:f>Detail!C412</ns0:f>
        <ns0:v>1</ns0:v>
      </ns0:c>
      <ns0:c r="G17" s="10">
        <ns0:f>Detail!C413</ns0:f>
        <ns0:v>0</ns0:v>
      </ns0:c>
      <ns0:c r="H17" s="10">
        <ns0:f>Detail!C414</ns0:f>
        <ns0:v>3</ns0:v>
      </ns0:c>
      <ns0:c r="I17" s="10">
        <ns0:f>Detail!C415</ns0:f>
        <ns0:v>1</ns0:v>
      </ns0:c>
      <ns0:c r="J17" s="10">
        <ns0:f>Detail!C416</ns0:f>
        <ns0:v>2</ns0:v>
      </ns0:c>
      <ns0:c r="K17" s="10">
        <ns0:f>Detail!C417</ns0:f>
        <ns0:v>1</ns0:v>
      </ns0:c>
      <ns0:c r="L17" s="10">
        <ns0:f>Detail!C418</ns0:f>
        <ns0:v>1</ns0:v>
      </ns0:c>
      <ns0:c r="M17" s="10">
        <ns0:f>Detail!C419</ns0:f>
        <ns0:v>1</ns0:v>
      </ns0:c>
      <ns0:c r="N17" s="10">
        <ns0:f>Detail!C420</ns0:f>
        <ns0:v>0</ns0:v>
      </ns0:c>
      <ns0:c r="O17" s="10">
        <ns0:f>Detail!C421</ns0:f>
        <ns0:v>1</ns0:v>
      </ns0:c>
      <ns0:c r="P17" s="9" t="inlineStr">
        <ns0:is>
          <ns0:t>-</ns0:t>
        </ns0:is>
      </ns0:c>
      <ns0:c r="Q17" s="10">
        <ns0:f>Detail!C422</ns0:f>
        <ns0:v>2</ns0:v>
      </ns0:c>
      <ns0:c r="R17" s="10">
        <ns0:f>Detail!C423</ns0:f>
        <ns0:v>2</ns0:v>
      </ns0:c>
      <ns0:c r="S17" s="10">
        <ns0:f>Detail!C424</ns0:f>
        <ns0:v>2</ns0:v>
      </ns0:c>
      <ns0:c r="T17" s="10">
        <ns0:f>Detail!C425</ns0:f>
        <ns0:v>4</ns0:v>
      </ns0:c>
      <ns0:c r="U17" s="10">
        <ns0:f>Detail!C426</ns0:f>
        <ns0:v>0</ns0:v>
      </ns0:c>
      <ns0:c r="V17" s="10">
        <ns0:f>Detail!C427</ns0:f>
        <ns0:v>0</ns0:v>
      </ns0:c>
      <ns0:c r="W17" s="10">
        <ns0:f>Detail!C428</ns0:f>
        <ns0:v>2</ns0:v>
      </ns0:c>
      <ns0:c r="X17" s="10">
        <ns0:f>Detail!C429</ns0:f>
        <ns0:v>2</ns0:v>
      </ns0:c>
      <ns0:c r="Y17" s="10">
        <ns0:f>Detail!C430</ns0:f>
        <ns0:v>4</ns0:v>
      </ns0:c>
      <ns0:c r="Z17" s="10">
        <ns0:f>Detail!C431</ns0:f>
        <ns0:v>2</ns0:v>
      </ns0:c>
      <ns0:c r="AA17" s="10">
        <ns0:f>Detail!C432</ns0:f>
        <ns0:v>1</ns0:v>
      </ns0:c>
      <ns0:c r="AB17" s="10">
        <ns0:f>Detail!C433</ns0:f>
        <ns0:v>3</ns0:v>
      </ns0:c>
      <ns0:c r="AC17" s="10">
        <ns0:f>Detail!C434</ns0:f>
        <ns0:v>2</ns0:v>
      </ns0:c>
      <ns0:c r="AD17" s="10">
        <ns0:f>Detail!C435</ns0:f>
        <ns0:v>4</ns0:v>
      </ns0:c>
      <ns0:c r="AE17" s="10">
        <ns0:f>Detail!C436</ns0:f>
        <ns0:v>2</ns0:v>
      </ns0:c>
      <ns0:c r="AF17" s="11">
        <ns0:f>SUM(B17:AE17)</ns0:f>
        <ns0:v>48</ns0:v>
      </ns0:c>
    </ns0:row>
    <ns0:row r="18">
      <ns0:c r="A18" s="8" t="inlineStr">
        <ns0:is>
          <ns0:t>Miami Heat</ns0:t>
        </ns0:is>
      </ns0:c>
      <ns0:c r="B18" s="10">
        <ns0:f>Detail!C437</ns0:f>
        <ns0:v>2</ns0:v>
      </ns0:c>
      <ns0:c r="C18" s="10">
        <ns0:f>Detail!C438</ns0:f>
        <ns0:v>1</ns0:v>
      </ns0:c>
      <ns0:c r="D18" s="10">
        <ns0:f>Detail!C439</ns0:f>
        <ns0:v>2</ns0:v>
      </ns0:c>
      <ns0:c r="E18" s="10">
        <ns0:f>Detail!C440</ns0:f>
        <ns0:v>3</ns0:v>
      </ns0:c>
      <ns0:c r="F18" s="10">
        <ns0:f>Detail!C441</ns0:f>
        <ns0:v>0</ns0:v>
      </ns0:c>
      <ns0:c r="G18" s="10">
        <ns0:f>Detail!C442</ns0:f>
        <ns0:v>1</ns0:v>
      </ns0:c>
      <ns0:c r="H18" s="10">
        <ns0:f>Detail!C443</ns0:f>
        <ns0:v>1</ns0:v>
      </ns0:c>
      <ns0:c r="I18" s="10">
        <ns0:f>Detail!C444</ns0:f>
        <ns0:v>0</ns0:v>
      </ns0:c>
      <ns0:c r="J18" s="10">
        <ns0:f>Detail!C445</ns0:f>
        <ns0:v>1</ns0:v>
      </ns0:c>
      <ns0:c r="K18" s="10">
        <ns0:f>Detail!C446</ns0:f>
        <ns0:v>2</ns0:v>
      </ns0:c>
      <ns0:c r="L18" s="10">
        <ns0:f>Detail!C447</ns0:f>
        <ns0:v>1</ns0:v>
      </ns0:c>
      <ns0:c r="M18" s="10">
        <ns0:f>Detail!C448</ns0:f>
        <ns0:v>2</ns0:v>
      </ns0:c>
      <ns0:c r="N18" s="10">
        <ns0:f>Detail!C449</ns0:f>
        <ns0:v>0</ns0:v>
      </ns0:c>
      <ns0:c r="O18" s="10">
        <ns0:f>Detail!C450</ns0:f>
        <ns0:v>1</ns0:v>
      </ns0:c>
      <ns0:c r="P18" s="10">
        <ns0:f>Detail!C451</ns0:f>
        <ns0:v>0</ns0:v>
      </ns0:c>
      <ns0:c r="Q18" s="9" t="inlineStr">
        <ns0:is>
          <ns0:t>-</ns0:t>
        </ns0:is>
      </ns0:c>
      <ns0:c r="R18" s="10">
        <ns0:f>Detail!C452</ns0:f>
        <ns0:v>0</ns0:v>
      </ns0:c>
      <ns0:c r="S18" s="10">
        <ns0:f>Detail!C453</ns0:f>
        <ns0:v>1</ns0:v>
      </ns0:c>
      <ns0:c r="T18" s="10">
        <ns0:f>Detail!C454</ns0:f>
        <ns0:v>2</ns0:v>
      </ns0:c>
      <ns0:c r="U18" s="10">
        <ns0:f>Detail!C455</ns0:f>
        <ns0:v>0</ns0:v>
      </ns0:c>
      <ns0:c r="V18" s="10">
        <ns0:f>Detail!C456</ns0:f>
        <ns0:v>0</ns0:v>
      </ns0:c>
      <ns0:c r="W18" s="10">
        <ns0:f>Detail!C457</ns0:f>
        <ns0:v>2</ns0:v>
      </ns0:c>
      <ns0:c r="X18" s="10">
        <ns0:f>Detail!C458</ns0:f>
        <ns0:v>4</ns0:v>
      </ns0:c>
      <ns0:c r="Y18" s="10">
        <ns0:f>Detail!C459</ns0:f>
        <ns0:v>1</ns0:v>
      </ns0:c>
      <ns0:c r="Z18" s="10">
        <ns0:f>Detail!C460</ns0:f>
        <ns0:v>1</ns0:v>
      </ns0:c>
      <ns0:c r="AA18" s="10">
        <ns0:f>Detail!C461</ns0:f>
        <ns0:v>0</ns0:v>
      </ns0:c>
      <ns0:c r="AB18" s="10">
        <ns0:f>Detail!C462</ns0:f>
        <ns0:v>2</ns0:v>
      </ns0:c>
      <ns0:c r="AC18" s="10">
        <ns0:f>Detail!C463</ns0:f>
        <ns0:v>3</ns0:v>
      </ns0:c>
      <ns0:c r="AD18" s="10">
        <ns0:f>Detail!C464</ns0:f>
        <ns0:v>1</ns0:v>
      </ns0:c>
      <ns0:c r="AE18" s="10">
        <ns0:f>Detail!C465</ns0:f>
        <ns0:v>3</ns0:v>
      </ns0:c>
      <ns0:c r="AF18" s="11">
        <ns0:f>SUM(B18:AE18)</ns0:f>
        <ns0:v>37</ns0:v>
      </ns0:c>
    </ns0:row>
    <ns0:row r="19">
      <ns0:c r="A19" s="8" t="inlineStr">
        <ns0:is>
          <ns0:t>Milwaukee Bucks</ns0:t>
        </ns0:is>
      </ns0:c>
      <ns0:c r="B19" s="10">
        <ns0:f>Detail!C466</ns0:f>
        <ns0:v>2</ns0:v>
      </ns0:c>
      <ns0:c r="C19" s="10">
        <ns0:f>Detail!C467</ns0:f>
        <ns0:v>0</ns0:v>
      </ns0:c>
      <ns0:c r="D19" s="10">
        <ns0:f>Detail!C468</ns0:f>
        <ns0:v>1</ns0:v>
      </ns0:c>
      <ns0:c r="E19" s="10">
        <ns0:f>Detail!C469</ns0:f>
        <ns0:v>2</ns0:v>
      </ns0:c>
      <ns0:c r="F19" s="10">
        <ns0:f>Detail!C470</ns0:f>
        <ns0:v>2</ns0:v>
      </ns0:c>
      <ns0:c r="G19" s="10">
        <ns0:f>Detail!C471</ns0:f>
        <ns0:v>0</ns0:v>
      </ns0:c>
      <ns0:c r="H19" s="10">
        <ns0:f>Detail!C472</ns0:f>
        <ns0:v>2</ns0:v>
      </ns0:c>
      <ns0:c r="I19" s="10">
        <ns0:f>Detail!C473</ns0:f>
        <ns0:v>1</ns0:v>
      </ns0:c>
      <ns0:c r="J19" s="10">
        <ns0:f>Detail!C474</ns0:f>
        <ns0:v>4</ns0:v>
      </ns0:c>
      <ns0:c r="K19" s="10">
        <ns0:f>Detail!C475</ns0:f>
        <ns0:v>0</ns0:v>
      </ns0:c>
      <ns0:c r="L19" s="10">
        <ns0:f>Detail!C476</ns0:f>
        <ns0:v>1</ns0:v>
      </ns0:c>
      <ns0:c r="M19" s="10">
        <ns0:f>Detail!C477</ns0:f>
        <ns0:v>3</ns0:v>
      </ns0:c>
      <ns0:c r="N19" s="10">
        <ns0:f>Detail!C478</ns0:f>
        <ns0:v>1</ns0:v>
      </ns0:c>
      <ns0:c r="O19" s="10">
        <ns0:f>Detail!C479</ns0:f>
        <ns0:v>2</ns0:v>
      </ns0:c>
      <ns0:c r="P19" s="10">
        <ns0:f>Detail!C480</ns0:f>
        <ns0:v>0</ns0:v>
      </ns0:c>
      <ns0:c r="Q19" s="10">
        <ns0:f>Detail!C481</ns0:f>
        <ns0:v>4</ns0:v>
      </ns0:c>
      <ns0:c r="R19" s="9" t="inlineStr">
        <ns0:is>
          <ns0:t>-</ns0:t>
        </ns0:is>
      </ns0:c>
      <ns0:c r="S19" s="10">
        <ns0:f>Detail!C482</ns0:f>
        <ns0:v>2</ns0:v>
      </ns0:c>
      <ns0:c r="T19" s="10">
        <ns0:f>Detail!C483</ns0:f>
        <ns0:v>2</ns0:v>
      </ns0:c>
      <ns0:c r="U19" s="10">
        <ns0:f>Detail!C484</ns0:f>
        <ns0:v>0</ns0:v>
      </ns0:c>
      <ns0:c r="V19" s="10">
        <ns0:f>Detail!C485</ns0:f>
        <ns0:v>0</ns0:v>
      </ns0:c>
      <ns0:c r="W19" s="10">
        <ns0:f>Detail!C486</ns0:f>
        <ns0:v>3</ns0:v>
      </ns0:c>
      <ns0:c r="X19" s="10">
        <ns0:f>Detail!C487</ns0:f>
        <ns0:v>4</ns0:v>
      </ns0:c>
      <ns0:c r="Y19" s="10">
        <ns0:f>Detail!C488</ns0:f>
        <ns0:v>1</ns0:v>
      </ns0:c>
      <ns0:c r="Z19" s="10">
        <ns0:f>Detail!C489</ns0:f>
        <ns0:v>0</ns0:v>
      </ns0:c>
      <ns0:c r="AA19" s="10">
        <ns0:f>Detail!C490</ns0:f>
        <ns0:v>2</ns0:v>
      </ns0:c>
      <ns0:c r="AB19" s="10">
        <ns0:f>Detail!C491</ns0:f>
        <ns0:v>1</ns0:v>
      </ns0:c>
      <ns0:c r="AC19" s="10">
        <ns0:f>Detail!C492</ns0:f>
        <ns0:v>3</ns0:v>
      </ns0:c>
      <ns0:c r="AD19" s="10">
        <ns0:f>Detail!C493</ns0:f>
        <ns0:v>2</ns0:v>
      </ns0:c>
      <ns0:c r="AE19" s="10">
        <ns0:f>Detail!C494</ns0:f>
        <ns0:v>3</ns0:v>
      </ns0:c>
      <ns0:c r="AF19" s="11">
        <ns0:f>SUM(B19:AE19)</ns0:f>
        <ns0:v>48</ns0:v>
      </ns0:c>
    </ns0:row>
    <ns0:row r="20">
      <ns0:c r="A20" s="8" t="inlineStr">
        <ns0:is>
          <ns0:t>Minnesota Timberwolves</ns0:t>
        </ns0:is>
      </ns0:c>
      <ns0:c r="B20" s="10">
        <ns0:f>Detail!C495</ns0:f>
        <ns0:v>1</ns0:v>
      </ns0:c>
      <ns0:c r="C20" s="10">
        <ns0:f>Detail!C496</ns0:f>
        <ns0:v>0</ns0:v>
      </ns0:c>
      <ns0:c r="D20" s="10">
        <ns0:f>Detail!C497</ns0:f>
        <ns0:v>2</ns0:v>
      </ns0:c>
      <ns0:c r="E20" s="10">
        <ns0:f>Detail!C498</ns0:f>
        <ns0:v>2</ns0:v>
      </ns0:c>
      <ns0:c r="F20" s="10">
        <ns0:f>Detail!C499</ns0:f>
        <ns0:v>2</ns0:v>
      </ns0:c>
      <ns0:c r="G20" s="10">
        <ns0:f>Detail!C500</ns0:f>
        <ns0:v>0</ns0:v>
      </ns0:c>
      <ns0:c r="H20" s="10">
        <ns0:f>Detail!C501</ns0:f>
        <ns0:v>2</ns0:v>
      </ns0:c>
      <ns0:c r="I20" s="10">
        <ns0:f>Detail!C502</ns0:f>
        <ns0:v>4</ns0:v>
      </ns0:c>
      <ns0:c r="J20" s="10">
        <ns0:f>Detail!C503</ns0:f>
        <ns0:v>1</ns0:v>
      </ns0:c>
      <ns0:c r="K20" s="10">
        <ns0:f>Detail!C504</ns0:f>
        <ns0:v>1</ns0:v>
      </ns0:c>
      <ns0:c r="L20" s="10">
        <ns0:f>Detail!C505</ns0:f>
        <ns0:v>2</ns0:v>
      </ns0:c>
      <ns0:c r="M20" s="10">
        <ns0:f>Detail!C506</ns0:f>
        <ns0:v>0</ns0:v>
      </ns0:c>
      <ns0:c r="N20" s="10">
        <ns0:f>Detail!C507</ns0:f>
        <ns0:v>3</ns0:v>
      </ns0:c>
      <ns0:c r="O20" s="10">
        <ns0:f>Detail!C508</ns0:f>
        <ns0:v>2</ns0:v>
      </ns0:c>
      <ns0:c r="P20" s="10">
        <ns0:f>Detail!C509</ns0:f>
        <ns0:v>1</ns0:v>
      </ns0:c>
      <ns0:c r="Q20" s="10">
        <ns0:f>Detail!C510</ns0:f>
        <ns0:v>1</ns0:v>
      </ns0:c>
      <ns0:c r="R20" s="10">
        <ns0:f>Detail!C511</ns0:f>
        <ns0:v>0</ns0:v>
      </ns0:c>
      <ns0:c r="S20" s="9" t="inlineStr">
        <ns0:is>
          <ns0:t>-</ns0:t>
        </ns0:is>
      </ns0:c>
      <ns0:c r="T20" s="10">
        <ns0:f>Detail!C512</ns0:f>
        <ns0:v>2</ns0:v>
      </ns0:c>
      <ns0:c r="U20" s="10">
        <ns0:f>Detail!C513</ns0:f>
        <ns0:v>1</ns0:v>
      </ns0:c>
      <ns0:c r="V20" s="10">
        <ns0:f>Detail!C514</ns0:f>
        <ns0:v>2</ns0:v>
      </ns0:c>
      <ns0:c r="W20" s="10">
        <ns0:f>Detail!C515</ns0:f>
        <ns0:v>2</ns0:v>
      </ns0:c>
      <ns0:c r="X20" s="10">
        <ns0:f>Detail!C516</ns0:f>
        <ns0:v>2</ns0:v>
      </ns0:c>
      <ns0:c r="Y20" s="10">
        <ns0:f>Detail!C517</ns0:f>
        <ns0:v>4</ns0:v>
      </ns0:c>
      <ns0:c r="Z20" s="10">
        <ns0:f>Detail!C518</ns0:f>
        <ns0:v>2</ns0:v>
      </ns0:c>
      <ns0:c r="AA20" s="10">
        <ns0:f>Detail!C519</ns0:f>
        <ns0:v>2</ns0:v>
      </ns0:c>
      <ns0:c r="AB20" s="10">
        <ns0:f>Detail!C520</ns0:f>
        <ns0:v>3</ns0:v>
      </ns0:c>
      <ns0:c r="AC20" s="10">
        <ns0:f>Detail!C521</ns0:f>
        <ns0:v>1</ns0:v>
      </ns0:c>
      <ns0:c r="AD20" s="10">
        <ns0:f>Detail!C522</ns0:f>
        <ns0:v>3</ns0:v>
      </ns0:c>
      <ns0:c r="AE20" s="10">
        <ns0:f>Detail!C523</ns0:f>
        <ns0:v>1</ns0:v>
      </ns0:c>
      <ns0:c r="AF20" s="11">
        <ns0:f>SUM(B20:AE20)</ns0:f>
        <ns0:v>49</ns0:v>
      </ns0:c>
    </ns0:row>
    <ns0:row r="21">
      <ns0:c r="A21" s="8" t="inlineStr">
        <ns0:is>
          <ns0:t>New Orleans Pelicans</ns0:t>
        </ns0:is>
      </ns0:c>
      <ns0:c r="B21" s="10">
        <ns0:f>Detail!C524</ns0:f>
        <ns0:v>0</ns0:v>
      </ns0:c>
      <ns0:c r="C21" s="10">
        <ns0:f>Detail!C525</ns0:f>
        <ns0:v>0</ns0:v>
      </ns0:c>
      <ns0:c r="D21" s="10">
        <ns0:f>Detail!C526</ns0:f>
        <ns0:v>0</ns0:v>
      </ns0:c>
      <ns0:c r="E21" s="10">
        <ns0:f>Detail!C527</ns0:f>
        <ns0:v>1</ns0:v>
      </ns0:c>
      <ns0:c r="F21" s="10">
        <ns0:f>Detail!C528</ns0:f>
        <ns0:v>2</ns0:v>
      </ns0:c>
      <ns0:c r="G21" s="10">
        <ns0:f>Detail!C529</ns0:f>
        <ns0:v>0</ns0:v>
      </ns0:c>
      <ns0:c r="H21" s="10">
        <ns0:f>Detail!C530</ns0:f>
        <ns0:v>1</ns0:v>
      </ns0:c>
      <ns0:c r="I21" s="10">
        <ns0:f>Detail!C531</ns0:f>
        <ns0:v>1</ns0:v>
      </ns0:c>
      <ns0:c r="J21" s="10">
        <ns0:f>Detail!C532</ns0:f>
        <ns0:v>0</ns0:v>
      </ns0:c>
      <ns0:c r="K21" s="10">
        <ns0:f>Detail!C533</ns0:f>
        <ns0:v>0</ns0:v>
      </ns0:c>
      <ns0:c r="L21" s="10">
        <ns0:f>Detail!C534</ns0:f>
        <ns0:v>0</ns0:v>
      </ns0:c>
      <ns0:c r="M21" s="10">
        <ns0:f>Detail!C535</ns0:f>
        <ns0:v>1</ns0:v>
      </ns0:c>
      <ns0:c r="N21" s="10">
        <ns0:f>Detail!C536</ns0:f>
        <ns0:v>1</ns0:v>
      </ns0:c>
      <ns0:c r="O21" s="10">
        <ns0:f>Detail!C537</ns0:f>
        <ns0:v>0</ns0:v>
      </ns0:c>
      <ns0:c r="P21" s="10">
        <ns0:f>Detail!C538</ns0:f>
        <ns0:v>0</ns0:v>
      </ns0:c>
      <ns0:c r="Q21" s="10">
        <ns0:f>Detail!C539</ns0:f>
        <ns0:v>0</ns0:v>
      </ns0:c>
      <ns0:c r="R21" s="10">
        <ns0:f>Detail!C540</ns0:f>
        <ns0:v>0</ns0:v>
      </ns0:c>
      <ns0:c r="S21" s="10">
        <ns0:f>Detail!C541</ns0:f>
        <ns0:v>1</ns0:v>
      </ns0:c>
      <ns0:c r="T21" s="9" t="inlineStr">
        <ns0:is>
          <ns0:t>-</ns0:t>
        </ns0:is>
      </ns0:c>
      <ns0:c r="U21" s="10">
        <ns0:f>Detail!C542</ns0:f>
        <ns0:v>0</ns0:v>
      </ns0:c>
      <ns0:c r="V21" s="10">
        <ns0:f>Detail!C543</ns0:f>
        <ns0:v>0</ns0:v>
      </ns0:c>
      <ns0:c r="W21" s="10">
        <ns0:f>Detail!C544</ns0:f>
        <ns0:v>0</ns0:v>
      </ns0:c>
      <ns0:c r="X21" s="10">
        <ns0:f>Detail!C545</ns0:f>
        <ns0:v>2</ns0:v>
      </ns0:c>
      <ns0:c r="Y21" s="10">
        <ns0:f>Detail!C546</ns0:f>
        <ns0:v>2</ns0:v>
      </ns0:c>
      <ns0:c r="Z21" s="10">
        <ns0:f>Detail!C547</ns0:f>
        <ns0:v>1</ns0:v>
      </ns0:c>
      <ns0:c r="AA21" s="10">
        <ns0:f>Detail!C548</ns0:f>
        <ns0:v>1</ns0:v>
      </ns0:c>
      <ns0:c r="AB21" s="10">
        <ns0:f>Detail!C549</ns0:f>
        <ns0:v>2</ns0:v>
      </ns0:c>
      <ns0:c r="AC21" s="10">
        <ns0:f>Detail!C550</ns0:f>
        <ns0:v>0</ns0:v>
      </ns0:c>
      <ns0:c r="AD21" s="10">
        <ns0:f>Detail!C551</ns0:f>
        <ns0:v>3</ns0:v>
      </ns0:c>
      <ns0:c r="AE21" s="10">
        <ns0:f>Detail!C552</ns0:f>
        <ns0:v>2</ns0:v>
      </ns0:c>
      <ns0:c r="AF21" s="11">
        <ns0:f>SUM(B21:AE21)</ns0:f>
        <ns0:v>21</ns0:v>
      </ns0:c>
    </ns0:row>
    <ns0:row r="22">
      <ns0:c r="A22" s="8" t="inlineStr">
        <ns0:is>
          <ns0:t>New York Knicks</ns0:t>
        </ns0:is>
      </ns0:c>
      <ns0:c r="B22" s="10">
        <ns0:f>Detail!C553</ns0:f>
        <ns0:v>3</ns0:v>
      </ns0:c>
      <ns0:c r="C22" s="10">
        <ns0:f>Detail!C554</ns0:f>
        <ns0:v>0</ns0:v>
      </ns0:c>
      <ns0:c r="D22" s="10">
        <ns0:f>Detail!C555</ns0:f>
        <ns0:v>4</ns0:v>
      </ns0:c>
      <ns0:c r="E22" s="10">
        <ns0:f>Detail!C556</ns0:f>
        <ns0:v>2</ns0:v>
      </ns0:c>
      <ns0:c r="F22" s="10">
        <ns0:f>Detail!C557</ns0:f>
        <ns0:v>1</ns0:v>
      </ns0:c>
      <ns0:c r="G22" s="10">
        <ns0:f>Detail!C558</ns0:f>
        <ns0:v>0</ns0:v>
      </ns0:c>
      <ns0:c r="H22" s="10">
        <ns0:f>Detail!C559</ns0:f>
        <ns0:v>1</ns0:v>
      </ns0:c>
      <ns0:c r="I22" s="10">
        <ns0:f>Detail!C560</ns0:f>
        <ns0:v>2</ns0:v>
      </ns0:c>
      <ns0:c r="J22" s="10">
        <ns0:f>Detail!C561</ns0:f>
        <ns0:v>1</ns0:v>
      </ns0:c>
      <ns0:c r="K22" s="10">
        <ns0:f>Detail!C562</ns0:f>
        <ns0:v>0</ns0:v>
      </ns0:c>
      <ns0:c r="L22" s="10">
        <ns0:f>Detail!C563</ns0:f>
        <ns0:v>1</ns0:v>
      </ns0:c>
      <ns0:c r="M22" s="10">
        <ns0:f>Detail!C564</ns0:f>
        <ns0:v>2</ns0:v>
      </ns0:c>
      <ns0:c r="N22" s="10">
        <ns0:f>Detail!C565</ns0:f>
        <ns0:v>0</ns0:v>
      </ns0:c>
      <ns0:c r="O22" s="10">
        <ns0:f>Detail!C566</ns0:f>
        <ns0:v>0</ns0:v>
      </ns0:c>
      <ns0:c r="P22" s="10">
        <ns0:f>Detail!C567</ns0:f>
        <ns0:v>2</ns0:v>
      </ns0:c>
      <ns0:c r="Q22" s="10">
        <ns0:f>Detail!C568</ns0:f>
        <ns0:v>3</ns0:v>
      </ns0:c>
      <ns0:c r="R22" s="10">
        <ns0:f>Detail!C569</ns0:f>
        <ns0:v>3</ns0:v>
      </ns0:c>
      <ns0:c r="S22" s="10">
        <ns0:f>Detail!C570</ns0:f>
        <ns0:v>1</ns0:v>
      </ns0:c>
      <ns0:c r="T22" s="10">
        <ns0:f>Detail!C571</ns0:f>
        <ns0:v>2</ns0:v>
      </ns0:c>
      <ns0:c r="U22" s="9" t="inlineStr">
        <ns0:is>
          <ns0:t>-</ns0:t>
        </ns0:is>
      </ns0:c>
      <ns0:c r="V22" s="10">
        <ns0:f>Detail!C572</ns0:f>
        <ns0:v>0</ns0:v>
      </ns0:c>
      <ns0:c r="W22" s="10">
        <ns0:f>Detail!C573</ns0:f>
        <ns0:v>3</ns0:v>
      </ns0:c>
      <ns0:c r="X22" s="10">
        <ns0:f>Detail!C574</ns0:f>
        <ns0:v>4</ns0:v>
      </ns0:c>
      <ns0:c r="Y22" s="10">
        <ns0:f>Detail!C575</ns0:f>
        <ns0:v>2</ns0:v>
      </ns0:c>
      <ns0:c r="Z22" s="10">
        <ns0:f>Detail!C576</ns0:f>
        <ns0:v>2</ns0:v>
      </ns0:c>
      <ns0:c r="AA22" s="10">
        <ns0:f>Detail!C577</ns0:f>
        <ns0:v>2</ns0:v>
      </ns0:c>
      <ns0:c r="AB22" s="10">
        <ns0:f>Detail!C578</ns0:f>
        <ns0:v>1</ns0:v>
      </ns0:c>
      <ns0:c r="AC22" s="10">
        <ns0:f>Detail!C579</ns0:f>
        <ns0:v>4</ns0:v>
      </ns0:c>
      <ns0:c r="AD22" s="10">
        <ns0:f>Detail!C580</ns0:f>
        <ns0:v>1</ns0:v>
      </ns0:c>
      <ns0:c r="AE22" s="10">
        <ns0:f>Detail!C581</ns0:f>
        <ns0:v>4</ns0:v>
      </ns0:c>
      <ns0:c r="AF22" s="11">
        <ns0:f>SUM(B22:AE22)</ns0:f>
        <ns0:v>51</ns0:v>
      </ns0:c>
    </ns0:row>
    <ns0:row r="23">
      <ns0:c r="A23" s="8" t="inlineStr">
        <ns0:is>
          <ns0:t>Oklahoma City Thunder</ns0:t>
        </ns0:is>
      </ns0:c>
      <ns0:c r="B23" s="10">
        <ns0:f>Detail!C582</ns0:f>
        <ns0:v>2</ns0:v>
      </ns0:c>
      <ns0:c r="C23" s="10">
        <ns0:f>Detail!C583</ns0:f>
        <ns0:v>2</ns0:v>
      </ns0:c>
      <ns0:c r="D23" s="10">
        <ns0:f>Detail!C584</ns0:f>
        <ns0:v>2</ns0:v>
      </ns0:c>
      <ns0:c r="E23" s="10">
        <ns0:f>Detail!C585</ns0:f>
        <ns0:v>2</ns0:v>
      </ns0:c>
      <ns0:c r="F23" s="10">
        <ns0:f>Detail!C586</ns0:f>
        <ns0:v>2</ns0:v>
      </ns0:c>
      <ns0:c r="G23" s="10">
        <ns0:f>Detail!C587</ns0:f>
        <ns0:v>1</ns0:v>
      </ns0:c>
      <ns0:c r="H23" s="10">
        <ns0:f>Detail!C588</ns0:f>
        <ns0:v>1</ns0:v>
      </ns0:c>
      <ns0:c r="I23" s="10">
        <ns0:f>Detail!C589</ns0:f>
        <ns0:v>2</ns0:v>
      </ns0:c>
      <ns0:c r="J23" s="10">
        <ns0:f>Detail!C590</ns0:f>
        <ns0:v>2</ns0:v>
      </ns0:c>
      <ns0:c r="K23" s="10">
        <ns0:f>Detail!C591</ns0:f>
        <ns0:v>1</ns0:v>
      </ns0:c>
      <ns0:c r="L23" s="10">
        <ns0:f>Detail!C592</ns0:f>
        <ns0:v>3</ns0:v>
      </ns0:c>
      <ns0:c r="M23" s="10">
        <ns0:f>Detail!C593</ns0:f>
        <ns0:v>2</ns0:v>
      </ns0:c>
      <ns0:c r="N23" s="10">
        <ns0:f>Detail!C594</ns0:f>
        <ns0:v>4</ns0:v>
      </ns0:c>
      <ns0:c r="O23" s="10">
        <ns0:f>Detail!C595</ns0:f>
        <ns0:v>2</ns0:v>
      </ns0:c>
      <ns0:c r="P23" s="10">
        <ns0:f>Detail!C596</ns0:f>
        <ns0:v>4</ns0:v>
      </ns0:c>
      <ns0:c r="Q23" s="10">
        <ns0:f>Detail!C597</ns0:f>
        <ns0:v>2</ns0:v>
      </ns0:c>
      <ns0:c r="R23" s="10">
        <ns0:f>Detail!C598</ns0:f>
        <ns0:v>2</ns0:v>
      </ns0:c>
      <ns0:c r="S23" s="10">
        <ns0:f>Detail!C599</ns0:f>
        <ns0:v>2</ns0:v>
      </ns0:c>
      <ns0:c r="T23" s="10">
        <ns0:f>Detail!C600</ns0:f>
        <ns0:v>4</ns0:v>
      </ns0:c>
      <ns0:c r="U23" s="10">
        <ns0:f>Detail!C601</ns0:f>
        <ns0:v>2</ns0:v>
      </ns0:c>
      <ns0:c r="V23" s="9" t="inlineStr">
        <ns0:is>
          <ns0:t>-</ns0:t>
        </ns0:is>
      </ns0:c>
      <ns0:c r="W23" s="10">
        <ns0:f>Detail!C602</ns0:f>
        <ns0:v>2</ns0:v>
      </ns0:c>
      <ns0:c r="X23" s="10">
        <ns0:f>Detail!C603</ns0:f>
        <ns0:v>2</ns0:v>
      </ns0:c>
      <ns0:c r="Y23" s="10">
        <ns0:f>Detail!C604</ns0:f>
        <ns0:v>3</ns0:v>
      </ns0:c>
      <ns0:c r="Z23" s="10">
        <ns0:f>Detail!C605</ns0:f>
        <ns0:v>4</ns0:v>
      </ns0:c>
      <ns0:c r="AA23" s="10">
        <ns0:f>Detail!C606</ns0:f>
        <ns0:v>3</ns0:v>
      </ns0:c>
      <ns0:c r="AB23" s="10">
        <ns0:f>Detail!C607</ns0:f>
        <ns0:v>2</ns0:v>
      </ns0:c>
      <ns0:c r="AC23" s="10">
        <ns0:f>Detail!C608</ns0:f>
        <ns0:v>2</ns0:v>
      </ns0:c>
      <ns0:c r="AD23" s="10">
        <ns0:f>Detail!C609</ns0:f>
        <ns0:v>4</ns0:v>
      </ns0:c>
      <ns0:c r="AE23" s="10">
        <ns0:f>Detail!C610</ns0:f>
        <ns0:v>2</ns0:v>
      </ns0:c>
      <ns0:c r="AF23" s="11">
        <ns0:f>SUM(B23:AE23)</ns0:f>
        <ns0:v>68</ns0:v>
      </ns0:c>
    </ns0:row>
    <ns0:row r="24">
      <ns0:c r="A24" s="8" t="inlineStr">
        <ns0:is>
          <ns0:t>Orlando Magic</ns0:t>
        </ns0:is>
      </ns0:c>
      <ns0:c r="B24" s="10">
        <ns0:f>Detail!C611</ns0:f>
        <ns0:v>2</ns0:v>
      </ns0:c>
      <ns0:c r="C24" s="10">
        <ns0:f>Detail!C612</ns0:f>
        <ns0:v>2</ns0:v>
      </ns0:c>
      <ns0:c r="D24" s="10">
        <ns0:f>Detail!C613</ns0:f>
        <ns0:v>4</ns0:v>
      </ns0:c>
      <ns0:c r="E24" s="10">
        <ns0:f>Detail!C614</ns0:f>
        <ns0:v>4</ns0:v>
      </ns0:c>
      <ns0:c r="F24" s="10">
        <ns0:f>Detail!C615</ns0:f>
        <ns0:v>1</ns0:v>
      </ns0:c>
      <ns0:c r="G24" s="10">
        <ns0:f>Detail!C616</ns0:f>
        <ns0:v>1</ns0:v>
      </ns0:c>
      <ns0:c r="H24" s="10">
        <ns0:f>Detail!C617</ns0:f>
        <ns0:v>0</ns0:v>
      </ns0:c>
      <ns0:c r="I24" s="10">
        <ns0:f>Detail!C618</ns0:f>
        <ns0:v>0</ns0:v>
      </ns0:c>
      <ns0:c r="J24" s="10">
        <ns0:f>Detail!C619</ns0:f>
        <ns0:v>2</ns0:v>
      </ns0:c>
      <ns0:c r="K24" s="10">
        <ns0:f>Detail!C620</ns0:f>
        <ns0:v>0</ns0:v>
      </ns0:c>
      <ns0:c r="L24" s="10">
        <ns0:f>Detail!C621</ns0:f>
        <ns0:v>0</ns0:v>
      </ns0:c>
      <ns0:c r="M24" s="10">
        <ns0:f>Detail!C622</ns0:f>
        <ns0:v>3</ns0:v>
      </ns0:c>
      <ns0:c r="N24" s="10">
        <ns0:f>Detail!C623</ns0:f>
        <ns0:v>0</ns0:v>
      </ns0:c>
      <ns0:c r="O24" s="10">
        <ns0:f>Detail!C624</ns0:f>
        <ns0:v>2</ns0:v>
      </ns0:c>
      <ns0:c r="P24" s="10">
        <ns0:f>Detail!C625</ns0:f>
        <ns0:v>0</ns0:v>
      </ns0:c>
      <ns0:c r="Q24" s="10">
        <ns0:f>Detail!C626</ns0:f>
        <ns0:v>2</ns0:v>
      </ns0:c>
      <ns0:c r="R24" s="10">
        <ns0:f>Detail!C627</ns0:f>
        <ns0:v>1</ns0:v>
      </ns0:c>
      <ns0:c r="S24" s="10">
        <ns0:f>Detail!C628</ns0:f>
        <ns0:v>0</ns0:v>
      </ns0:c>
      <ns0:c r="T24" s="10">
        <ns0:f>Detail!C629</ns0:f>
        <ns0:v>2</ns0:v>
      </ns0:c>
      <ns0:c r="U24" s="10">
        <ns0:f>Detail!C630</ns0:f>
        <ns0:v>1</ns0:v>
      </ns0:c>
      <ns0:c r="V24" s="10">
        <ns0:f>Detail!C631</ns0:f>
        <ns0:v>0</ns0:v>
      </ns0:c>
      <ns0:c r="W24" s="9" t="inlineStr">
        <ns0:is>
          <ns0:t>-</ns0:t>
        </ns0:is>
      </ns0:c>
      <ns0:c r="X24" s="10">
        <ns0:f>Detail!C632</ns0:f>
        <ns0:v>3</ns0:v>
      </ns0:c>
      <ns0:c r="Y24" s="10">
        <ns0:f>Detail!C633</ns0:f>
        <ns0:v>2</ns0:v>
      </ns0:c>
      <ns0:c r="Z24" s="10">
        <ns0:f>Detail!C634</ns0:f>
        <ns0:v>0</ns0:v>
      </ns0:c>
      <ns0:c r="AA24" s="10">
        <ns0:f>Detail!C635</ns0:f>
        <ns0:v>2</ns0:v>
      </ns0:c>
      <ns0:c r="AB24" s="10">
        <ns0:f>Detail!C636</ns0:f>
        <ns0:v>2</ns0:v>
      </ns0:c>
      <ns0:c r="AC24" s="10">
        <ns0:f>Detail!C637</ns0:f>
        <ns0:v>1</ns0:v>
      </ns0:c>
      <ns0:c r="AD24" s="10">
        <ns0:f>Detail!C638</ns0:f>
        <ns0:v>0</ns0:v>
      </ns0:c>
      <ns0:c r="AE24" s="10">
        <ns0:f>Detail!C639</ns0:f>
        <ns0:v>4</ns0:v>
      </ns0:c>
      <ns0:c r="AF24" s="11">
        <ns0:f>SUM(B24:AE24)</ns0:f>
        <ns0:v>41</ns0:v>
      </ns0:c>
    </ns0:row>
    <ns0:row r="25">
      <ns0:c r="A25" s="8" t="inlineStr">
        <ns0:is>
          <ns0:t>Philadelphia 76ers</ns0:t>
        </ns0:is>
      </ns0:c>
      <ns0:c r="B25" s="10">
        <ns0:f>Detail!C640</ns0:f>
        <ns0:v>0</ns0:v>
      </ns0:c>
      <ns0:c r="C25" s="10">
        <ns0:f>Detail!C641</ns0:f>
        <ns0:v>1</ns0:v>
      </ns0:c>
      <ns0:c r="D25" s="10">
        <ns0:f>Detail!C642</ns0:f>
        <ns0:v>2</ns0:v>
      </ns0:c>
      <ns0:c r="E25" s="10">
        <ns0:f>Detail!C643</ns0:f>
        <ns0:v>4</ns0:v>
      </ns0:c>
      <ns0:c r="F25" s="10">
        <ns0:f>Detail!C644</ns0:f>
        <ns0:v>2</ns0:v>
      </ns0:c>
      <ns0:c r="G25" s="10">
        <ns0:f>Detail!C645</ns0:f>
        <ns0:v>1</ns0:v>
      </ns0:c>
      <ns0:c r="H25" s="10">
        <ns0:f>Detail!C646</ns0:f>
        <ns0:v>2</ns0:v>
      </ns0:c>
      <ns0:c r="I25" s="10">
        <ns0:f>Detail!C647</ns0:f>
        <ns0:v>0</ns0:v>
      </ns0:c>
      <ns0:c r="J25" s="10">
        <ns0:f>Detail!C648</ns0:f>
        <ns0:v>1</ns0:v>
      </ns0:c>
      <ns0:c r="K25" s="10">
        <ns0:f>Detail!C649</ns0:f>
        <ns0:v>1</ns0:v>
      </ns0:c>
      <ns0:c r="L25" s="10">
        <ns0:f>Detail!C650</ns0:f>
        <ns0:v>0</ns0:v>
      </ns0:c>
      <ns0:c r="M25" s="10">
        <ns0:f>Detail!C651</ns0:f>
        <ns0:v>1</ns0:v>
      </ns0:c>
      <ns0:c r="N25" s="10">
        <ns0:f>Detail!C652</ns0:f>
        <ns0:v>0</ns0:v>
      </ns0:c>
      <ns0:c r="O25" s="10">
        <ns0:f>Detail!C653</ns0:f>
        <ns0:v>1</ns0:v>
      </ns0:c>
      <ns0:c r="P25" s="10">
        <ns0:f>Detail!C654</ns0:f>
        <ns0:v>0</ns0:v>
      </ns0:c>
      <ns0:c r="Q25" s="10">
        <ns0:f>Detail!C655</ns0:f>
        <ns0:v>0</ns0:v>
      </ns0:c>
      <ns0:c r="R25" s="10">
        <ns0:f>Detail!C656</ns0:f>
        <ns0:v>0</ns0:v>
      </ns0:c>
      <ns0:c r="S25" s="10">
        <ns0:f>Detail!C657</ns0:f>
        <ns0:v>0</ns0:v>
      </ns0:c>
      <ns0:c r="T25" s="10">
        <ns0:f>Detail!C658</ns0:f>
        <ns0:v>0</ns0:v>
      </ns0:c>
      <ns0:c r="U25" s="10">
        <ns0:f>Detail!C659</ns0:f>
        <ns0:v>0</ns0:v>
      </ns0:c>
      <ns0:c r="V25" s="10">
        <ns0:f>Detail!C660</ns0:f>
        <ns0:v>0</ns0:v>
      </ns0:c>
      <ns0:c r="W25" s="10">
        <ns0:f>Detail!C661</ns0:f>
        <ns0:v>1</ns0:v>
      </ns0:c>
      <ns0:c r="X25" s="9" t="inlineStr">
        <ns0:is>
          <ns0:t>-</ns0:t>
        </ns0:is>
      </ns0:c>
      <ns0:c r="Y25" s="10">
        <ns0:f>Detail!C662</ns0:f>
        <ns0:v>0</ns0:v>
      </ns0:c>
      <ns0:c r="Z25" s="10">
        <ns0:f>Detail!C663</ns0:f>
        <ns0:v>1</ns0:v>
      </ns0:c>
      <ns0:c r="AA25" s="10">
        <ns0:f>Detail!C664</ns0:f>
        <ns0:v>1</ns0:v>
      </ns0:c>
      <ns0:c r="AB25" s="10">
        <ns0:f>Detail!C665</ns0:f>
        <ns0:v>1</ns0:v>
      </ns0:c>
      <ns0:c r="AC25" s="10">
        <ns0:f>Detail!C666</ns0:f>
        <ns0:v>0</ns0:v>
      </ns0:c>
      <ns0:c r="AD25" s="10">
        <ns0:f>Detail!C667</ns0:f>
        <ns0:v>2</ns0:v>
      </ns0:c>
      <ns0:c r="AE25" s="10">
        <ns0:f>Detail!C668</ns0:f>
        <ns0:v>2</ns0:v>
      </ns0:c>
      <ns0:c r="AF25" s="11">
        <ns0:f>SUM(B25:AE25)</ns0:f>
        <ns0:v>24</ns0:v>
      </ns0:c>
    </ns0:row>
    <ns0:row r="26">
      <ns0:c r="A26" s="8" t="inlineStr">
        <ns0:is>
          <ns0:t>Phoenix Suns</ns0:t>
        </ns0:is>
      </ns0:c>
      <ns0:c r="B26" s="10">
        <ns0:f>Detail!C669</ns0:f>
        <ns0:v>1</ns0:v>
      </ns0:c>
      <ns0:c r="C26" s="10">
        <ns0:f>Detail!C670</ns0:f>
        <ns0:v>0</ns0:v>
      </ns0:c>
      <ns0:c r="D26" s="10">
        <ns0:f>Detail!C671</ns0:f>
        <ns0:v>1</ns0:v>
      </ns0:c>
      <ns0:c r="E26" s="10">
        <ns0:f>Detail!C672</ns0:f>
        <ns0:v>1</ns0:v>
      </ns0:c>
      <ns0:c r="F26" s="10">
        <ns0:f>Detail!C673</ns0:f>
        <ns0:v>2</ns0:v>
      </ns0:c>
      <ns0:c r="G26" s="10">
        <ns0:f>Detail!C674</ns0:f>
        <ns0:v>1</ns0:v>
      </ns0:c>
      <ns0:c r="H26" s="10">
        <ns0:f>Detail!C675</ns0:f>
        <ns0:v>3</ns0:v>
      </ns0:c>
      <ns0:c r="I26" s="10">
        <ns0:f>Detail!C676</ns0:f>
        <ns0:v>1</ns0:v>
      </ns0:c>
      <ns0:c r="J26" s="10">
        <ns0:f>Detail!C677</ns0:f>
        <ns0:v>1</ns0:v>
      </ns0:c>
      <ns0:c r="K26" s="10">
        <ns0:f>Detail!C678</ns0:f>
        <ns0:v>2</ns0:v>
      </ns0:c>
      <ns0:c r="L26" s="10">
        <ns0:f>Detail!C679</ns0:f>
        <ns0:v>0</ns0:v>
      </ns0:c>
      <ns0:c r="M26" s="10">
        <ns0:f>Detail!C680</ns0:f>
        <ns0:v>0</ns0:v>
      </ns0:c>
      <ns0:c r="N26" s="10">
        <ns0:f>Detail!C681</ns0:f>
        <ns0:v>4</ns0:v>
      </ns0:c>
      <ns0:c r="O26" s="10">
        <ns0:f>Detail!C682</ns0:f>
        <ns0:v>2</ns0:v>
      </ns0:c>
      <ns0:c r="P26" s="10">
        <ns0:f>Detail!C683</ns0:f>
        <ns0:v>0</ns0:v>
      </ns0:c>
      <ns0:c r="Q26" s="10">
        <ns0:f>Detail!C684</ns0:f>
        <ns0:v>1</ns0:v>
      </ns0:c>
      <ns0:c r="R26" s="10">
        <ns0:f>Detail!C685</ns0:f>
        <ns0:v>1</ns0:v>
      </ns0:c>
      <ns0:c r="S26" s="10">
        <ns0:f>Detail!C686</ns0:f>
        <ns0:v>0</ns0:v>
      </ns0:c>
      <ns0:c r="T26" s="10">
        <ns0:f>Detail!C687</ns0:f>
        <ns0:v>1</ns0:v>
      </ns0:c>
      <ns0:c r="U26" s="10">
        <ns0:f>Detail!C688</ns0:f>
        <ns0:v>0</ns0:v>
      </ns0:c>
      <ns0:c r="V26" s="10">
        <ns0:f>Detail!C689</ns0:f>
        <ns0:v>0</ns0:v>
      </ns0:c>
      <ns0:c r="W26" s="10">
        <ns0:f>Detail!C690</ns0:f>
        <ns0:v>0</ns0:v>
      </ns0:c>
      <ns0:c r="X26" s="10">
        <ns0:f>Detail!C691</ns0:f>
        <ns0:v>2</ns0:v>
      </ns0:c>
      <ns0:c r="Y26" s="9" t="inlineStr">
        <ns0:is>
          <ns0:t>-</ns0:t>
        </ns0:is>
      </ns0:c>
      <ns0:c r="Z26" s="10">
        <ns0:f>Detail!C692</ns0:f>
        <ns0:v>2</ns0:v>
      </ns0:c>
      <ns0:c r="AA26" s="10">
        <ns0:f>Detail!C693</ns0:f>
        <ns0:v>1</ns0:v>
      </ns0:c>
      <ns0:c r="AB26" s="10">
        <ns0:f>Detail!C694</ns0:f>
        <ns0:v>2</ns0:v>
      </ns0:c>
      <ns0:c r="AC26" s="10">
        <ns0:f>Detail!C695</ns0:f>
        <ns0:v>1</ns0:v>
      </ns0:c>
      <ns0:c r="AD26" s="10">
        <ns0:f>Detail!C696</ns0:f>
        <ns0:v>4</ns0:v>
      </ns0:c>
      <ns0:c r="AE26" s="10">
        <ns0:f>Detail!C697</ns0:f>
        <ns0:v>2</ns0:v>
      </ns0:c>
      <ns0:c r="AF26" s="11">
        <ns0:f>SUM(B26:AE26)</ns0:f>
        <ns0:v>36</ns0:v>
      </ns0:c>
    </ns0:row>
    <ns0:row r="27">
      <ns0:c r="A27" s="8" t="inlineStr">
        <ns0:is>
          <ns0:t>Portland Trail Blazers</ns0:t>
        </ns0:is>
      </ns0:c>
      <ns0:c r="B27" s="10">
        <ns0:f>Detail!C698</ns0:f>
        <ns0:v>2</ns0:v>
      </ns0:c>
      <ns0:c r="C27" s="10">
        <ns0:f>Detail!C699</ns0:f>
        <ns0:v>0</ns0:v>
      </ns0:c>
      <ns0:c r="D27" s="10">
        <ns0:f>Detail!C700</ns0:f>
        <ns0:v>1</ns0:v>
      </ns0:c>
      <ns0:c r="E27" s="10">
        <ns0:f>Detail!C701</ns0:f>
        <ns0:v>2</ns0:v>
      </ns0:c>
      <ns0:c r="F27" s="10">
        <ns0:f>Detail!C702</ns0:f>
        <ns0:v>1</ns0:v>
      </ns0:c>
      <ns0:c r="G27" s="10">
        <ns0:f>Detail!C703</ns0:f>
        <ns0:v>0</ns0:v>
      </ns0:c>
      <ns0:c r="H27" s="10">
        <ns0:f>Detail!C704</ns0:f>
        <ns0:v>1</ns0:v>
      </ns0:c>
      <ns0:c r="I27" s="10">
        <ns0:f>Detail!C705</ns0:f>
        <ns0:v>2</ns0:v>
      </ns0:c>
      <ns0:c r="J27" s="10">
        <ns0:f>Detail!C706</ns0:f>
        <ns0:v>0</ns0:v>
      </ns0:c>
      <ns0:c r="K27" s="10">
        <ns0:f>Detail!C707</ns0:f>
        <ns0:v>0</ns0:v>
      </ns0:c>
      <ns0:c r="L27" s="10">
        <ns0:f>Detail!C708</ns0:f>
        <ns0:v>1</ns0:v>
      </ns0:c>
      <ns0:c r="M27" s="10">
        <ns0:f>Detail!C709</ns0:f>
        <ns0:v>1</ns0:v>
      </ns0:c>
      <ns0:c r="N27" s="10">
        <ns0:f>Detail!C710</ns0:f>
        <ns0:v>1</ns0:v>
      </ns0:c>
      <ns0:c r="O27" s="10">
        <ns0:f>Detail!C711</ns0:f>
        <ns0:v>1</ns0:v>
      </ns0:c>
      <ns0:c r="P27" s="10">
        <ns0:f>Detail!C712</ns0:f>
        <ns0:v>1</ns0:v>
      </ns0:c>
      <ns0:c r="Q27" s="10">
        <ns0:f>Detail!C713</ns0:f>
        <ns0:v>1</ns0:v>
      </ns0:c>
      <ns0:c r="R27" s="10">
        <ns0:f>Detail!C714</ns0:f>
        <ns0:v>2</ns0:v>
      </ns0:c>
      <ns0:c r="S27" s="10">
        <ns0:f>Detail!C715</ns0:f>
        <ns0:v>2</ns0:v>
      </ns0:c>
      <ns0:c r="T27" s="10">
        <ns0:f>Detail!C716</ns0:f>
        <ns0:v>3</ns0:v>
      </ns0:c>
      <ns0:c r="U27" s="10">
        <ns0:f>Detail!C717</ns0:f>
        <ns0:v>0</ns0:v>
      </ns0:c>
      <ns0:c r="V27" s="10">
        <ns0:f>Detail!C718</ns0:f>
        <ns0:v>0</ns0:v>
      </ns0:c>
      <ns0:c r="W27" s="10">
        <ns0:f>Detail!C719</ns0:f>
        <ns0:v>2</ns0:v>
      </ns0:c>
      <ns0:c r="X27" s="10">
        <ns0:f>Detail!C720</ns0:f>
        <ns0:v>1</ns0:v>
      </ns0:c>
      <ns0:c r="Y27" s="10">
        <ns0:f>Detail!C721</ns0:f>
        <ns0:v>2</ns0:v>
      </ns0:c>
      <ns0:c r="Z27" s="9" t="inlineStr">
        <ns0:is>
          <ns0:t>-</ns0:t>
        </ns0:is>
      </ns0:c>
      <ns0:c r="AA27" s="10">
        <ns0:f>Detail!C722</ns0:f>
        <ns0:v>2</ns0:v>
      </ns0:c>
      <ns0:c r="AB27" s="10">
        <ns0:f>Detail!C723</ns0:f>
        <ns0:v>1</ns0:v>
      </ns0:c>
      <ns0:c r="AC27" s="10">
        <ns0:f>Detail!C724</ns0:f>
        <ns0:v>2</ns0:v>
      </ns0:c>
      <ns0:c r="AD27" s="10">
        <ns0:f>Detail!C725</ns0:f>
        <ns0:v>2</ns0:v>
      </ns0:c>
      <ns0:c r="AE27" s="10">
        <ns0:f>Detail!C726</ns0:f>
        <ns0:v>2</ns0:v>
      </ns0:c>
      <ns0:c r="AF27" s="11">
        <ns0:f>SUM(B27:AE27)</ns0:f>
        <ns0:v>36</ns0:v>
      </ns0:c>
    </ns0:row>
    <ns0:row r="28">
      <ns0:c r="A28" s="8" t="inlineStr">
        <ns0:is>
          <ns0:t>Sacramento Kings</ns0:t>
        </ns0:is>
      </ns0:c>
      <ns0:c r="B28" s="10">
        <ns0:f>Detail!C727</ns0:f>
        <ns0:v>1</ns0:v>
      </ns0:c>
      <ns0:c r="C28" s="10">
        <ns0:f>Detail!C728</ns0:f>
        <ns0:v>1</ns0:v>
      </ns0:c>
      <ns0:c r="D28" s="10">
        <ns0:f>Detail!C729</ns0:f>
        <ns0:v>1</ns0:v>
      </ns0:c>
      <ns0:c r="E28" s="10">
        <ns0:f>Detail!C730</ns0:f>
        <ns0:v>2</ns0:v>
      </ns0:c>
      <ns0:c r="F28" s="10">
        <ns0:f>Detail!C731</ns0:f>
        <ns0:v>1</ns0:v>
      </ns0:c>
      <ns0:c r="G28" s="10">
        <ns0:f>Detail!C732</ns0:f>
        <ns0:v>2</ns0:v>
      </ns0:c>
      <ns0:c r="H28" s="10">
        <ns0:f>Detail!C733</ns0:f>
        <ns0:v>3</ns0:v>
      </ns0:c>
      <ns0:c r="I28" s="10">
        <ns0:f>Detail!C734</ns0:f>
        <ns0:v>0</ns0:v>
      </ns0:c>
      <ns0:c r="J28" s="10">
        <ns0:f>Detail!C735</ns0:f>
        <ns0:v>1</ns0:v>
      </ns0:c>
      <ns0:c r="K28" s="10">
        <ns0:f>Detail!C736</ns0:f>
        <ns0:v>2</ns0:v>
      </ns0:c>
      <ns0:c r="L28" s="10">
        <ns0:f>Detail!C737</ns0:f>
        <ns0:v>3</ns0:v>
      </ns0:c>
      <ns0:c r="M28" s="10">
        <ns0:f>Detail!C738</ns0:f>
        <ns0:v>0</ns0:v>
      </ns0:c>
      <ns0:c r="N28" s="10">
        <ns0:f>Detail!C739</ns0:f>
        <ns0:v>0</ns0:v>
      </ns0:c>
      <ns0:c r="O28" s="10">
        <ns0:f>Detail!C740</ns0:f>
        <ns0:v>0</ns0:v>
      </ns0:c>
      <ns0:c r="P28" s="10">
        <ns0:f>Detail!C741</ns0:f>
        <ns0:v>2</ns0:v>
      </ns0:c>
      <ns0:c r="Q28" s="10">
        <ns0:f>Detail!C742</ns0:f>
        <ns0:v>2</ns0:v>
      </ns0:c>
      <ns0:c r="R28" s="10">
        <ns0:f>Detail!C743</ns0:f>
        <ns0:v>0</ns0:v>
      </ns0:c>
      <ns0:c r="S28" s="10">
        <ns0:f>Detail!C744</ns0:f>
        <ns0:v>2</ns0:v>
      </ns0:c>
      <ns0:c r="T28" s="10">
        <ns0:f>Detail!C745</ns0:f>
        <ns0:v>3</ns0:v>
      </ns0:c>
      <ns0:c r="U28" s="10">
        <ns0:f>Detail!C746</ns0:f>
        <ns0:v>0</ns0:v>
      </ns0:c>
      <ns0:c r="V28" s="10">
        <ns0:f>Detail!C747</ns0:f>
        <ns0:v>0</ns0:v>
      </ns0:c>
      <ns0:c r="W28" s="10">
        <ns0:f>Detail!C748</ns0:f>
        <ns0:v>0</ns0:v>
      </ns0:c>
      <ns0:c r="X28" s="10">
        <ns0:f>Detail!C749</ns0:f>
        <ns0:v>1</ns0:v>
      </ns0:c>
      <ns0:c r="Y28" s="10">
        <ns0:f>Detail!C750</ns0:f>
        <ns0:v>3</ns0:v>
      </ns0:c>
      <ns0:c r="Z28" s="10">
        <ns0:f>Detail!C751</ns0:f>
        <ns0:v>2</ns0:v>
      </ns0:c>
      <ns0:c r="AA28" s="9" t="inlineStr">
        <ns0:is>
          <ns0:t>-</ns0:t>
        </ns0:is>
      </ns0:c>
      <ns0:c r="AB28" s="10">
        <ns0:f>Detail!C752</ns0:f>
        <ns0:v>2</ns0:v>
      </ns0:c>
      <ns0:c r="AC28" s="10">
        <ns0:f>Detail!C753</ns0:f>
        <ns0:v>1</ns0:v>
      </ns0:c>
      <ns0:c r="AD28" s="10">
        <ns0:f>Detail!C754</ns0:f>
        <ns0:v>4</ns0:v>
      </ns0:c>
      <ns0:c r="AE28" s="10">
        <ns0:f>Detail!C755</ns0:f>
        <ns0:v>1</ns0:v>
      </ns0:c>
      <ns0:c r="AF28" s="11">
        <ns0:f>SUM(B28:AE28)</ns0:f>
        <ns0:v>40</ns0:v>
      </ns0:c>
    </ns0:row>
    <ns0:row r="29">
      <ns0:c r="A29" s="8" t="inlineStr">
        <ns0:is>
          <ns0:t>San Antonio Spurs</ns0:t>
        </ns0:is>
      </ns0:c>
      <ns0:c r="B29" s="10">
        <ns0:f>Detail!C756</ns0:f>
        <ns0:v>2</ns0:v>
      </ns0:c>
      <ns0:c r="C29" s="10">
        <ns0:f>Detail!C757</ns0:f>
        <ns0:v>0</ns0:v>
      </ns0:c>
      <ns0:c r="D29" s="10">
        <ns0:f>Detail!C758</ns0:f>
        <ns0:v>2</ns0:v>
      </ns0:c>
      <ns0:c r="E29" s="10">
        <ns0:f>Detail!C759</ns0:f>
        <ns0:v>0</ns0:v>
      </ns0:c>
      <ns0:c r="F29" s="10">
        <ns0:f>Detail!C760</ns0:f>
        <ns0:v>0</ns0:v>
      </ns0:c>
      <ns0:c r="G29" s="10">
        <ns0:f>Detail!C761</ns0:f>
        <ns0:v>0</ns0:v>
      </ns0:c>
      <ns0:c r="H29" s="10">
        <ns0:f>Detail!C762</ns0:f>
        <ns0:v>1</ns0:v>
      </ns0:c>
      <ns0:c r="I29" s="10">
        <ns0:f>Detail!C763</ns0:f>
        <ns0:v>2</ns0:v>
      </ns0:c>
      <ns0:c r="J29" s="10">
        <ns0:f>Detail!C764</ns0:f>
        <ns0:v>0</ns0:v>
      </ns0:c>
      <ns0:c r="K29" s="10">
        <ns0:f>Detail!C765</ns0:f>
        <ns0:v>2</ns0:v>
      </ns0:c>
      <ns0:c r="L29" s="10">
        <ns0:f>Detail!C766</ns0:f>
        <ns0:v>1</ns0:v>
      </ns0:c>
      <ns0:c r="M29" s="10">
        <ns0:f>Detail!C767</ns0:f>
        <ns0:v>1</ns0:v>
      </ns0:c>
      <ns0:c r="N29" s="10">
        <ns0:f>Detail!C768</ns0:f>
        <ns0:v>1</ns0:v>
      </ns0:c>
      <ns0:c r="O29" s="10">
        <ns0:f>Detail!C769</ns0:f>
        <ns0:v>1</ns0:v>
      </ns0:c>
      <ns0:c r="P29" s="10">
        <ns0:f>Detail!C770</ns0:f>
        <ns0:v>1</ns0:v>
      </ns0:c>
      <ns0:c r="Q29" s="10">
        <ns0:f>Detail!C771</ns0:f>
        <ns0:v>0</ns0:v>
      </ns0:c>
      <ns0:c r="R29" s="10">
        <ns0:f>Detail!C772</ns0:f>
        <ns0:v>1</ns0:v>
      </ns0:c>
      <ns0:c r="S29" s="10">
        <ns0:f>Detail!C773</ns0:f>
        <ns0:v>1</ns0:v>
      </ns0:c>
      <ns0:c r="T29" s="10">
        <ns0:f>Detail!C774</ns0:f>
        <ns0:v>2</ns0:v>
      </ns0:c>
      <ns0:c r="U29" s="10">
        <ns0:f>Detail!C775</ns0:f>
        <ns0:v>1</ns0:v>
      </ns0:c>
      <ns0:c r="V29" s="10">
        <ns0:f>Detail!C776</ns0:f>
        <ns0:v>1</ns0:v>
      </ns0:c>
      <ns0:c r="W29" s="10">
        <ns0:f>Detail!C777</ns0:f>
        <ns0:v>0</ns0:v>
      </ns0:c>
      <ns0:c r="X29" s="10">
        <ns0:f>Detail!C778</ns0:f>
        <ns0:v>1</ns0:v>
      </ns0:c>
      <ns0:c r="Y29" s="10">
        <ns0:f>Detail!C779</ns0:f>
        <ns0:v>1</ns0:v>
      </ns0:c>
      <ns0:c r="Z29" s="10">
        <ns0:f>Detail!C780</ns0:f>
        <ns0:v>3</ns0:v>
      </ns0:c>
      <ns0:c r="AA29" s="10">
        <ns0:f>Detail!C781</ns0:f>
        <ns0:v>2</ns0:v>
      </ns0:c>
      <ns0:c r="AB29" s="9" t="inlineStr">
        <ns0:is>
          <ns0:t>-</ns0:t>
        </ns0:is>
      </ns0:c>
      <ns0:c r="AC29" s="10">
        <ns0:f>Detail!C782</ns0:f>
        <ns0:v>2</ns0:v>
      </ns0:c>
      <ns0:c r="AD29" s="10">
        <ns0:f>Detail!C783</ns0:f>
        <ns0:v>3</ns0:v>
      </ns0:c>
      <ns0:c r="AE29" s="10">
        <ns0:f>Detail!C784</ns0:f>
        <ns0:v>2</ns0:v>
      </ns0:c>
      <ns0:c r="AF29" s="11">
        <ns0:f>SUM(B29:AE29)</ns0:f>
        <ns0:v>34</ns0:v>
      </ns0:c>
    </ns0:row>
    <ns0:row r="30">
      <ns0:c r="A30" s="8" t="inlineStr">
        <ns0:is>
          <ns0:t>Toronto Raptors</ns0:t>
        </ns0:is>
      </ns0:c>
      <ns0:c r="B30" s="10">
        <ns0:f>Detail!C785</ns0:f>
        <ns0:v>2</ns0:v>
      </ns0:c>
      <ns0:c r="C30" s="10">
        <ns0:f>Detail!C786</ns0:f>
        <ns0:v>1</ns0:v>
      </ns0:c>
      <ns0:c r="D30" s="10">
        <ns0:f>Detail!C787</ns0:f>
        <ns0:v>3</ns0:v>
      </ns0:c>
      <ns0:c r="E30" s="10">
        <ns0:f>Detail!C788</ns0:f>
        <ns0:v>2</ns0:v>
      </ns0:c>
      <ns0:c r="F30" s="10">
        <ns0:f>Detail!C789</ns0:f>
        <ns0:v>0</ns0:v>
      </ns0:c>
      <ns0:c r="G30" s="10">
        <ns0:f>Detail!C790</ns0:f>
        <ns0:v>0</ns0:v>
      </ns0:c>
      <ns0:c r="H30" s="10">
        <ns0:f>Detail!C791</ns0:f>
        <ns0:v>0</ns0:v>
      </ns0:c>
      <ns0:c r="I30" s="10">
        <ns0:f>Detail!C792</ns0:f>
        <ns0:v>0</ns0:v>
      </ns0:c>
      <ns0:c r="J30" s="10">
        <ns0:f>Detail!C793</ns0:f>
        <ns0:v>0</ns0:v>
      </ns0:c>
      <ns0:c r="K30" s="10">
        <ns0:f>Detail!C794</ns0:f>
        <ns0:v>1</ns0:v>
      </ns0:c>
      <ns0:c r="L30" s="10">
        <ns0:f>Detail!C795</ns0:f>
        <ns0:v>0</ns0:v>
      </ns0:c>
      <ns0:c r="M30" s="10">
        <ns0:f>Detail!C796</ns0:f>
        <ns0:v>2</ns0:v>
      </ns0:c>
      <ns0:c r="N30" s="10">
        <ns0:f>Detail!C797</ns0:f>
        <ns0:v>1</ns0:v>
      </ns0:c>
      <ns0:c r="O30" s="10">
        <ns0:f>Detail!C798</ns0:f>
        <ns0:v>0</ns0:v>
      </ns0:c>
      <ns0:c r="P30" s="10">
        <ns0:f>Detail!C799</ns0:f>
        <ns0:v>0</ns0:v>
      </ns0:c>
      <ns0:c r="Q30" s="10">
        <ns0:f>Detail!C800</ns0:f>
        <ns0:v>1</ns0:v>
      </ns0:c>
      <ns0:c r="R30" s="10">
        <ns0:f>Detail!C801</ns0:f>
        <ns0:v>0</ns0:v>
      </ns0:c>
      <ns0:c r="S30" s="10">
        <ns0:f>Detail!C802</ns0:f>
        <ns0:v>1</ns0:v>
      </ns0:c>
      <ns0:c r="T30" s="10">
        <ns0:f>Detail!C803</ns0:f>
        <ns0:v>2</ns0:v>
      </ns0:c>
      <ns0:c r="U30" s="10">
        <ns0:f>Detail!C804</ns0:f>
        <ns0:v>0</ns0:v>
      </ns0:c>
      <ns0:c r="V30" s="10">
        <ns0:f>Detail!C805</ns0:f>
        <ns0:v>0</ns0:v>
      </ns0:c>
      <ns0:c r="W30" s="10">
        <ns0:f>Detail!C806</ns0:f>
        <ns0:v>3</ns0:v>
      </ns0:c>
      <ns0:c r="X30" s="10">
        <ns0:f>Detail!C807</ns0:f>
        <ns0:v>4</ns0:v>
      </ns0:c>
      <ns0:c r="Y30" s="10">
        <ns0:f>Detail!C808</ns0:f>
        <ns0:v>1</ns0:v>
      </ns0:c>
      <ns0:c r="Z30" s="10">
        <ns0:f>Detail!C809</ns0:f>
        <ns0:v>0</ns0:v>
      </ns0:c>
      <ns0:c r="AA30" s="10">
        <ns0:f>Detail!C810</ns0:f>
        <ns0:v>1</ns0:v>
      </ns0:c>
      <ns0:c r="AB30" s="10">
        <ns0:f>Detail!C811</ns0:f>
        <ns0:v>0</ns0:v>
      </ns0:c>
      <ns0:c r="AC30" s="9" t="inlineStr">
        <ns0:is>
          <ns0:t>-</ns0:t>
        </ns0:is>
      </ns0:c>
      <ns0:c r="AD30" s="10">
        <ns0:f>Detail!C812</ns0:f>
        <ns0:v>2</ns0:v>
      </ns0:c>
      <ns0:c r="AE30" s="10">
        <ns0:f>Detail!C813</ns0:f>
        <ns0:v>3</ns0:v>
      </ns0:c>
      <ns0:c r="AF30" s="11">
        <ns0:f>SUM(B30:AE30)</ns0:f>
        <ns0:v>30</ns0:v>
      </ns0:c>
    </ns0:row>
    <ns0:row r="31">
      <ns0:c r="A31" s="8" t="inlineStr">
        <ns0:is>
          <ns0:t>Utah Jazz</ns0:t>
        </ns0:is>
      </ns0:c>
      <ns0:c r="B31" s="10">
        <ns0:f>Detail!C814</ns0:f>
        <ns0:v>0</ns0:v>
      </ns0:c>
      <ns0:c r="C31" s="10">
        <ns0:f>Detail!C815</ns0:f>
        <ns0:v>0</ns0:v>
      </ns0:c>
      <ns0:c r="D31" s="10">
        <ns0:f>Detail!C816</ns0:f>
        <ns0:v>2</ns0:v>
      </ns0:c>
      <ns0:c r="E31" s="10">
        <ns0:f>Detail!C817</ns0:f>
        <ns0:v>0</ns0:v>
      </ns0:c>
      <ns0:c r="F31" s="10">
        <ns0:f>Detail!C818</ns0:f>
        <ns0:v>1</ns0:v>
      </ns0:c>
      <ns0:c r="G31" s="10">
        <ns0:f>Detail!C819</ns0:f>
        <ns0:v>0</ns0:v>
      </ns0:c>
      <ns0:c r="H31" s="10">
        <ns0:f>Detail!C820</ns0:f>
        <ns0:v>1</ns0:v>
      </ns0:c>
      <ns0:c r="I31" s="10">
        <ns0:f>Detail!C821</ns0:f>
        <ns0:v>0</ns0:v>
      </ns0:c>
      <ns0:c r="J31" s="10">
        <ns0:f>Detail!C822</ns0:f>
        <ns0:v>1</ns0:v>
      </ns0:c>
      <ns0:c r="K31" s="10">
        <ns0:f>Detail!C823</ns0:f>
        <ns0:v>1</ns0:v>
      </ns0:c>
      <ns0:c r="L31" s="10">
        <ns0:f>Detail!C824</ns0:f>
        <ns0:v>1</ns0:v>
      </ns0:c>
      <ns0:c r="M31" s="10">
        <ns0:f>Detail!C825</ns0:f>
        <ns0:v>0</ns0:v>
      </ns0:c>
      <ns0:c r="N31" s="10">
        <ns0:f>Detail!C826</ns0:f>
        <ns0:v>0</ns0:v>
      </ns0:c>
      <ns0:c r="O31" s="10">
        <ns0:f>Detail!C827</ns0:f>
        <ns0:v>1</ns0:v>
      </ns0:c>
      <ns0:c r="P31" s="10">
        <ns0:f>Detail!C828</ns0:f>
        <ns0:v>0</ns0:v>
      </ns0:c>
      <ns0:c r="Q31" s="10">
        <ns0:f>Detail!C829</ns0:f>
        <ns0:v>1</ns0:v>
      </ns0:c>
      <ns0:c r="R31" s="10">
        <ns0:f>Detail!C830</ns0:f>
        <ns0:v>0</ns0:v>
      </ns0:c>
      <ns0:c r="S31" s="10">
        <ns0:f>Detail!C831</ns0:f>
        <ns0:v>1</ns0:v>
      </ns0:c>
      <ns0:c r="T31" s="10">
        <ns0:f>Detail!C832</ns0:f>
        <ns0:v>0</ns0:v>
      </ns0:c>
      <ns0:c r="U31" s="10">
        <ns0:f>Detail!C833</ns0:f>
        <ns0:v>1</ns0:v>
      </ns0:c>
      <ns0:c r="V31" s="10">
        <ns0:f>Detail!C834</ns0:f>
        <ns0:v>0</ns0:v>
      </ns0:c>
      <ns0:c r="W31" s="10">
        <ns0:f>Detail!C835</ns0:f>
        <ns0:v>2</ns0:v>
      </ns0:c>
      <ns0:c r="X31" s="10">
        <ns0:f>Detail!C836</ns0:f>
        <ns0:v>0</ns0:v>
      </ns0:c>
      <ns0:c r="Y31" s="10">
        <ns0:f>Detail!C837</ns0:f>
        <ns0:v>0</ns0:v>
      </ns0:c>
      <ns0:c r="Z31" s="10">
        <ns0:f>Detail!C838</ns0:f>
        <ns0:v>2</ns0:v>
      </ns0:c>
      <ns0:c r="AA31" s="10">
        <ns0:f>Detail!C839</ns0:f>
        <ns0:v>0</ns0:v>
      </ns0:c>
      <ns0:c r="AB31" s="10">
        <ns0:f>Detail!C840</ns0:f>
        <ns0:v>1</ns0:v>
      </ns0:c>
      <ns0:c r="AC31" s="10">
        <ns0:f>Detail!C841</ns0:f>
        <ns0:v>0</ns0:v>
      </ns0:c>
      <ns0:c r="AD31" s="9" t="inlineStr">
        <ns0:is>
          <ns0:t>-</ns0:t>
        </ns0:is>
      </ns0:c>
      <ns0:c r="AE31" s="10">
        <ns0:f>Detail!C842</ns0:f>
        <ns0:v>1</ns0:v>
      </ns0:c>
      <ns0:c r="AF31" s="11">
        <ns0:f>SUM(B31:AE31)</ns0:f>
        <ns0:v>17</ns0:v>
      </ns0:c>
    </ns0:row>
    <ns0:row r="32">
      <ns0:c r="A32" s="8" t="inlineStr">
        <ns0:is>
          <ns0:t>Washington Wizards</ns0:t>
        </ns0:is>
      </ns0:c>
      <ns0:c r="B32" s="10">
        <ns0:f>Detail!C843</ns0:f>
        <ns0:v>2</ns0:v>
      </ns0:c>
      <ns0:c r="C32" s="10">
        <ns0:f>Detail!C844</ns0:f>
        <ns0:v>0</ns0:v>
      </ns0:c>
      <ns0:c r="D32" s="10">
        <ns0:f>Detail!C845</ns0:f>
        <ns0:v>2</ns0:v>
      </ns0:c>
      <ns0:c r="E32" s="10">
        <ns0:f>Detail!C846</ns0:f>
        <ns0:v>4</ns0:v>
      </ns0:c>
      <ns0:c r="F32" s="10">
        <ns0:f>Detail!C847</ns0:f>
        <ns0:v>1</ns0:v>
      </ns0:c>
      <ns0:c r="G32" s="10">
        <ns0:f>Detail!C848</ns0:f>
        <ns0:v>0</ns0:v>
      </ns0:c>
      <ns0:c r="H32" s="10">
        <ns0:f>Detail!C849</ns0:f>
        <ns0:v>0</ns0:v>
      </ns0:c>
      <ns0:c r="I32" s="10">
        <ns0:f>Detail!C850</ns0:f>
        <ns0:v>2</ns0:v>
      </ns0:c>
      <ns0:c r="J32" s="10">
        <ns0:f>Detail!C851</ns0:f>
        <ns0:v>1</ns0:v>
      </ns0:c>
      <ns0:c r="K32" s="10">
        <ns0:f>Detail!C852</ns0:f>
        <ns0:v>0</ns0:v>
      </ns0:c>
      <ns0:c r="L32" s="10">
        <ns0:f>Detail!C853</ns0:f>
        <ns0:v>0</ns0:v>
      </ns0:c>
      <ns0:c r="M32" s="10">
        <ns0:f>Detail!C854</ns0:f>
        <ns0:v>0</ns0:v>
      </ns0:c>
      <ns0:c r="N32" s="10">
        <ns0:f>Detail!C855</ns0:f>
        <ns0:v>0</ns0:v>
      </ns0:c>
      <ns0:c r="O32" s="10">
        <ns0:f>Detail!C856</ns0:f>
        <ns0:v>0</ns0:v>
      </ns0:c>
      <ns0:c r="P32" s="10">
        <ns0:f>Detail!C857</ns0:f>
        <ns0:v>0</ns0:v>
      </ns0:c>
      <ns0:c r="Q32" s="10">
        <ns0:f>Detail!C858</ns0:f>
        <ns0:v>1</ns0:v>
      </ns0:c>
      <ns0:c r="R32" s="10">
        <ns0:f>Detail!C859</ns0:f>
        <ns0:v>0</ns0:v>
      </ns0:c>
      <ns0:c r="S32" s="10">
        <ns0:f>Detail!C860</ns0:f>
        <ns0:v>1</ns0:v>
      </ns0:c>
      <ns0:c r="T32" s="10">
        <ns0:f>Detail!C861</ns0:f>
        <ns0:v>0</ns0:v>
      </ns0:c>
      <ns0:c r="U32" s="10">
        <ns0:f>Detail!C862</ns0:f>
        <ns0:v>0</ns0:v>
      </ns0:c>
      <ns0:c r="V32" s="10">
        <ns0:f>Detail!C863</ns0:f>
        <ns0:v>0</ns0:v>
      </ns0:c>
      <ns0:c r="W32" s="10">
        <ns0:f>Detail!C864</ns0:f>
        <ns0:v>0</ns0:v>
      </ns0:c>
      <ns0:c r="X32" s="10">
        <ns0:f>Detail!C865</ns0:f>
        <ns0:v>1</ns0:v>
      </ns0:c>
      <ns0:c r="Y32" s="10">
        <ns0:f>Detail!C866</ns0:f>
        <ns0:v>0</ns0:v>
      </ns0:c>
      <ns0:c r="Z32" s="10">
        <ns0:f>Detail!C867</ns0:f>
        <ns0:v>0</ns0:v>
      </ns0:c>
      <ns0:c r="AA32" s="10">
        <ns0:f>Detail!C868</ns0:f>
        <ns0:v>1</ns0:v>
      </ns0:c>
      <ns0:c r="AB32" s="10">
        <ns0:f>Detail!C869</ns0:f>
        <ns0:v>0</ns0:v>
      </ns0:c>
      <ns0:c r="AC32" s="10">
        <ns0:f>Detail!C870</ns0:f>
        <ns0:v>1</ns0:v>
      </ns0:c>
      <ns0:c r="AD32" s="10">
        <ns0:f>Detail!C871</ns0:f>
        <ns0:v>1</ns0:v>
      </ns0:c>
      <ns0:c r="AE32" s="9" t="inlineStr">
        <ns0:is>
          <ns0:t>-</ns0:t>
        </ns0:is>
      </ns0:c>
      <ns0:c r="AF32" s="11">
        <ns0:f>SUM(B32:AE32)</ns0:f>
        <ns0:v>18</ns0:v>
      </ns0:c>
    </ns0:row>
    <ns0:row r="33">
      <ns0:c r="A33" s="4" t="inlineStr">
        <ns0:is>
          <ns0:t>Total</ns0:t>
        </ns0:is>
      </ns0:c>
      <ns0:c r="B33" s="12">
        <ns0:f>SUM(B3:B32)</ns0:f>
        <ns0:v>42</ns0:v>
      </ns0:c>
      <ns0:c r="C33" s="12">
        <ns0:f>SUM(C3:C32)</ns0:f>
        <ns0:v>21</ns0:v>
      </ns0:c>
      <ns0:c r="D33" s="12">
        <ns0:f>SUM(D3:D32)</ns0:f>
        <ns0:v>56</ns0:v>
      </ns0:c>
      <ns0:c r="E33" s="12">
        <ns0:f>SUM(E3:E32)</ns0:f>
        <ns0:v>63</ns0:v>
      </ns0:c>
      <ns0:c r="F33" s="12">
        <ns0:f>SUM(F3:F32)</ns0:f>
        <ns0:v>43</ns0:v>
      </ns0:c>
      <ns0:c r="G33" s="12">
        <ns0:f>SUM(G3:G32)</ns0:f>
        <ns0:v>18</ns0:v>
      </ns0:c>
      <ns0:c r="H33" s="12">
        <ns0:f>SUM(H3:H32)</ns0:f>
        <ns0:v>43</ns0:v>
      </ns0:c>
      <ns0:c r="I33" s="12">
        <ns0:f>SUM(I3:I32)</ns0:f>
        <ns0:v>32</ns0:v>
      </ns0:c>
      <ns0:c r="J33" s="12">
        <ns0:f>SUM(J3:J32)</ns0:f>
        <ns0:v>38</ns0:v>
      </ns0:c>
      <ns0:c r="K33" s="12">
        <ns0:f>SUM(K3:K32)</ns0:f>
        <ns0:v>34</ns0:v>
      </ns0:c>
      <ns0:c r="L33" s="12">
        <ns0:f>SUM(L3:L32)</ns0:f>
        <ns0:v>30</ns0:v>
      </ns0:c>
      <ns0:c r="M33" s="12">
        <ns0:f>SUM(M3:M32)</ns0:f>
        <ns0:v>32</ns0:v>
      </ns0:c>
      <ns0:c r="N33" s="12">
        <ns0:f>SUM(N3:N32)</ns0:f>
        <ns0:v>32</ns0:v>
      </ns0:c>
      <ns0:c r="O33" s="12">
        <ns0:f>SUM(O3:O32)</ns0:f>
        <ns0:v>32</ns0:v>
      </ns0:c>
      <ns0:c r="P33" s="12">
        <ns0:f>SUM(P3:P32)</ns0:f>
        <ns0:v>34</ns0:v>
      </ns0:c>
      <ns0:c r="Q33" s="12">
        <ns0:f>SUM(Q3:Q32)</ns0:f>
        <ns0:v>45</ns0:v>
      </ns0:c>
      <ns0:c r="R33" s="12">
        <ns0:f>SUM(R3:R32)</ns0:f>
        <ns0:v>34</ns0:v>
      </ns0:c>
      <ns0:c r="S33" s="12">
        <ns0:f>SUM(S3:S32)</ns0:f>
        <ns0:v>33</ns0:v>
      </ns0:c>
      <ns0:c r="T33" s="12">
        <ns0:f>SUM(T3:T32)</ns0:f>
        <ns0:v>61</ns0:v>
      </ns0:c>
      <ns0:c r="U33" s="12">
        <ns0:f>SUM(U3:U32)</ns0:f>
        <ns0:v>31</ns0:v>
      </ns0:c>
      <ns0:c r="V33" s="12">
        <ns0:f>SUM(V3:V32)</ns0:f>
        <ns0:v>14</ns0:v>
      </ns0:c>
      <ns0:c r="W33" s="12">
        <ns0:f>SUM(W3:W32)</ns0:f>
        <ns0:v>41</ns0:v>
      </ns0:c>
      <ns0:c r="X33" s="12">
        <ns0:f>SUM(X3:X32)</ns0:f>
        <ns0:v>58</ns0:v>
      </ns0:c>
      <ns0:c r="Y33" s="12">
        <ns0:f>SUM(Y3:Y32)</ns0:f>
        <ns0:v>46</ns0:v>
      </ns0:c>
      <ns0:c r="Z33" s="12">
        <ns0:f>SUM(Z3:Z32)</ns0:f>
        <ns0:v>46</ns0:v>
      </ns0:c>
      <ns0:c r="AA33" s="12">
        <ns0:f>SUM(AA3:AA32)</ns0:f>
        <ns0:v>42</ns0:v>
      </ns0:c>
      <ns0:c r="AB33" s="12">
        <ns0:f>SUM(AB3:AB32)</ns0:f>
        <ns0:v>48</ns0:v>
      </ns0:c>
      <ns0:c r="AC33" s="12">
        <ns0:f>SUM(AC3:AC32)</ns0:f>
        <ns0:v>52</ns0:v>
      </ns0:c>
      <ns0:c r="AD33" s="12">
        <ns0:f>SUM(AD3:AD32)</ns0:f>
        <ns0:v>65</ns0:v>
      </ns0:c>
      <ns0:c r="AE33" s="12">
        <ns0:f>SUM(AE3:AE32)</ns0:f>
        <ns0:v>64</ns0:v>
      </ns0:c>
      <ns0:c r="AF33" s="13" t="inlineStr"/>
    </ns0:row>
  </ns0:sheetData>
  <ns0:mergeCells count="1">
    <ns0:mergeCell ref="A1:AF1"/>
  </ns0:mergeCells>
  <ns0:conditionalFormatting sqref="B3:AE32">
    <ns0:cfRule type="cellIs" priority="1" operator="greaterThan" dxfId="0">
      <ns0:formula>3</ns0:formula>
    </ns0:cfRule>
  </ns0:conditionalFormatting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A1:AF33"/>
  <ns0:sheetViews>
    <ns0:sheetView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4" customWidth="1" min="15" max="15"/>
    <ns0:col width="14" customWidth="1" min="16" max="16"/>
    <ns0:col width="14" customWidth="1" min="17" max="17"/>
    <ns0:col width="14" customWidth="1" min="18" max="18"/>
    <ns0:col width="14" customWidth="1" min="19" max="19"/>
    <ns0:col width="14" customWidth="1" min="20" max="20"/>
    <ns0:col width="14" customWidth="1" min="21" max="21"/>
    <ns0:col width="14" customWidth="1" min="22" max="22"/>
    <ns0:col width="14" customWidth="1" min="23" max="23"/>
    <ns0:col width="14" customWidth="1" min="24" max="24"/>
    <ns0:col width="14" customWidth="1" min="25" max="25"/>
    <ns0:col width="14" customWidth="1" min="26" max="26"/>
    <ns0:col width="14" customWidth="1" min="27" max="27"/>
    <ns0:col width="14" customWidth="1" min="28" max="28"/>
    <ns0:col width="14" customWidth="1" min="29" max="29"/>
    <ns0:col width="14" customWidth="1" min="30" max="30"/>
    <ns0:col width="14" customWidth="1" min="31" max="31"/>
    <ns0:col width="12" customWidth="1" min="32" max="32"/>
  </ns0:cols>
  <ns0:sheetData>
    <ns0:row r="1">
      <ns0:c r="A1" s="6" t="inlineStr">
        <ns0:is>
          <ns0:t>Losses vs Opponent</ns0:t>
        </ns0:is>
      </ns0:c>
    </ns0:row>
    <ns0:row r="2">
      <ns0:c r="A2" s="4" t="inlineStr">
        <ns0:is>
          <ns0:t>Team \ Opponent</ns0:t>
        </ns0:is>
      </ns0:c>
      <ns0:c r="B2" s="7" t="inlineStr">
        <ns0:is>
          <ns0:t>Atlanta Hawks</ns0:t>
        </ns0:is>
      </ns0:c>
      <ns0:c r="C2" s="7" t="inlineStr">
        <ns0:is>
          <ns0:t>Boston Celtics</ns0:t>
        </ns0:is>
      </ns0:c>
      <ns0:c r="D2" s="7" t="inlineStr">
        <ns0:is>
          <ns0:t>Brooklyn Nets</ns0:t>
        </ns0:is>
      </ns0:c>
      <ns0:c r="E2" s="7" t="inlineStr">
        <ns0:is>
          <ns0:t>Charlotte Hornets</ns0:t>
        </ns0:is>
      </ns0:c>
      <ns0:c r="F2" s="7" t="inlineStr">
        <ns0:is>
          <ns0:t>Chicago Bulls</ns0:t>
        </ns0:is>
      </ns0:c>
      <ns0:c r="G2" s="7" t="inlineStr">
        <ns0:is>
          <ns0:t>Cleveland Cavaliers</ns0:t>
        </ns0:is>
      </ns0:c>
      <ns0:c r="H2" s="7" t="inlineStr">
        <ns0:is>
          <ns0:t>Dallas Mavericks</ns0:t>
        </ns0:is>
      </ns0:c>
      <ns0:c r="I2" s="7" t="inlineStr">
        <ns0:is>
          <ns0:t>Denver Nuggets</ns0:t>
        </ns0:is>
      </ns0:c>
      <ns0:c r="J2" s="7" t="inlineStr">
        <ns0:is>
          <ns0:t>Detroit Pistons</ns0:t>
        </ns0:is>
      </ns0:c>
      <ns0:c r="K2" s="7" t="inlineStr">
        <ns0:is>
          <ns0:t>Golden State Warriors</ns0:t>
        </ns0:is>
      </ns0:c>
      <ns0:c r="L2" s="7" t="inlineStr">
        <ns0:is>
          <ns0:t>Houston Rockets</ns0:t>
        </ns0:is>
      </ns0:c>
      <ns0:c r="M2" s="7" t="inlineStr">
        <ns0:is>
          <ns0:t>Indiana Pacers</ns0:t>
        </ns0:is>
      </ns0:c>
      <ns0:c r="N2" s="7" t="inlineStr">
        <ns0:is>
          <ns0:t>LA Clippers</ns0:t>
        </ns0:is>
      </ns0:c>
      <ns0:c r="O2" s="7" t="inlineStr">
        <ns0:is>
          <ns0:t>Los Angeles Lakers</ns0:t>
        </ns0:is>
      </ns0:c>
      <ns0:c r="P2" s="7" t="inlineStr">
        <ns0:is>
          <ns0:t>Memphis Grizzlies</ns0:t>
        </ns0:is>
      </ns0:c>
      <ns0:c r="Q2" s="7" t="inlineStr">
        <ns0:is>
          <ns0:t>Miami Heat</ns0:t>
        </ns0:is>
      </ns0:c>
      <ns0:c r="R2" s="7" t="inlineStr">
        <ns0:is>
          <ns0:t>Milwaukee Bucks</ns0:t>
        </ns0:is>
      </ns0:c>
      <ns0:c r="S2" s="7" t="inlineStr">
        <ns0:is>
          <ns0:t>Minnesota Timberwolves</ns0:t>
        </ns0:is>
      </ns0:c>
      <ns0:c r="T2" s="7" t="inlineStr">
        <ns0:is>
          <ns0:t>New Orleans Pelicans</ns0:t>
        </ns0:is>
      </ns0:c>
      <ns0:c r="U2" s="7" t="inlineStr">
        <ns0:is>
          <ns0:t>New York Knicks</ns0:t>
        </ns0:is>
      </ns0:c>
      <ns0:c r="V2" s="7" t="inlineStr">
        <ns0:is>
          <ns0:t>Oklahoma City Thunder</ns0:t>
        </ns0:is>
      </ns0:c>
      <ns0:c r="W2" s="7" t="inlineStr">
        <ns0:is>
          <ns0:t>Orlando Magic</ns0:t>
        </ns0:is>
      </ns0:c>
      <ns0:c r="X2" s="7" t="inlineStr">
        <ns0:is>
          <ns0:t>Philadelphia 76ers</ns0:t>
        </ns0:is>
      </ns0:c>
      <ns0:c r="Y2" s="7" t="inlineStr">
        <ns0:is>
          <ns0:t>Phoenix Suns</ns0:t>
        </ns0:is>
      </ns0:c>
      <ns0:c r="Z2" s="7" t="inlineStr">
        <ns0:is>
          <ns0:t>Portland Trail Blazers</ns0:t>
        </ns0:is>
      </ns0:c>
      <ns0:c r="AA2" s="7" t="inlineStr">
        <ns0:is>
          <ns0:t>Sacramento Kings</ns0:t>
        </ns0:is>
      </ns0:c>
      <ns0:c r="AB2" s="7" t="inlineStr">
        <ns0:is>
          <ns0:t>San Antonio Spurs</ns0:t>
        </ns0:is>
      </ns0:c>
      <ns0:c r="AC2" s="7" t="inlineStr">
        <ns0:is>
          <ns0:t>Toronto Raptors</ns0:t>
        </ns0:is>
      </ns0:c>
      <ns0:c r="AD2" s="7" t="inlineStr">
        <ns0:is>
          <ns0:t>Utah Jazz</ns0:t>
        </ns0:is>
      </ns0:c>
      <ns0:c r="AE2" s="7" t="inlineStr">
        <ns0:is>
          <ns0:t>Washington Wizards</ns0:t>
        </ns0:is>
      </ns0:c>
      <ns0:c r="AF2" s="4" t="inlineStr">
        <ns0:is>
          <ns0:t>Total</ns0:t>
        </ns0:is>
      </ns0:c>
    </ns0:row>
    <ns0:row r="3">
      <ns0:c r="A3" s="8" t="inlineStr">
        <ns0:is>
          <ns0:t>Atlanta Hawks</ns0:t>
        </ns0:is>
      </ns0:c>
      <ns0:c r="B3" s="9" t="inlineStr">
        <ns0:is>
          <ns0:t>-</ns0:t>
        </ns0:is>
      </ns0:c>
      <ns0:c r="C3" s="10">
        <ns0:f>Detail!D2</ns0:f>
        <ns0:v>1</ns0:v>
      </ns0:c>
      <ns0:c r="D3" s="10">
        <ns0:f>Detail!D3</ns0:f>
        <ns0:v>1</ns0:v>
      </ns0:c>
      <ns0:c r="E3" s="10">
        <ns0:f>Detail!D4</ns0:f>
        <ns0:v>0</ns0:v>
      </ns0:c>
      <ns0:c r="F3" s="10">
        <ns0:f>Detail!D5</ns0:f>
        <ns0:v>2</ns0:v>
      </ns0:c>
      <ns0:c r="G3" s="10">
        <ns0:f>Detail!D6</ns0:f>
        <ns0:v>1</ns0:v>
      </ns0:c>
      <ns0:c r="H3" s="10">
        <ns0:f>Detail!D7</ns0:f>
        <ns0:v>2</ns0:v>
      </ns0:c>
      <ns0:c r="I3" s="10">
        <ns0:f>Detail!D8</ns0:f>
        <ns0:v>2</ns0:v>
      </ns0:c>
      <ns0:c r="J3" s="10">
        <ns0:f>Detail!D9</ns0:f>
        <ns0:v>3</ns0:v>
      </ns0:c>
      <ns0:c r="K3" s="10">
        <ns0:f>Detail!D10</ns0:f>
        <ns0:v>1</ns0:v>
      </ns0:c>
      <ns0:c r="L3" s="10">
        <ns0:f>Detail!D11</ns0:f>
        <ns0:v>2</ns0:v>
      </ns0:c>
      <ns0:c r="M3" s="10">
        <ns0:f>Detail!D12</ns0:f>
        <ns0:v>1</ns0:v>
      </ns0:c>
      <ns0:c r="N3" s="10">
        <ns0:f>Detail!D13</ns0:f>
        <ns0:v>2</ns0:v>
      </ns0:c>
      <ns0:c r="O3" s="10">
        <ns0:f>Detail!D14</ns0:f>
        <ns0:v>1</ns0:v>
      </ns0:c>
      <ns0:c r="P3" s="10">
        <ns0:f>Detail!D15</ns0:f>
        <ns0:v>1</ns0:v>
      </ns0:c>
      <ns0:c r="Q3" s="10">
        <ns0:f>Detail!D16</ns0:f>
        <ns0:v>2</ns0:v>
      </ns0:c>
      <ns0:c r="R3" s="10">
        <ns0:f>Detail!D17</ns0:f>
        <ns0:v>2</ns0:v>
      </ns0:c>
      <ns0:c r="S3" s="10">
        <ns0:f>Detail!D18</ns0:f>
        <ns0:v>1</ns0:v>
      </ns0:c>
      <ns0:c r="T3" s="10">
        <ns0:f>Detail!D19</ns0:f>
        <ns0:v>0</ns0:v>
      </ns0:c>
      <ns0:c r="U3" s="10">
        <ns0:f>Detail!D20</ns0:f>
        <ns0:v>3</ns0:v>
      </ns0:c>
      <ns0:c r="V3" s="10">
        <ns0:f>Detail!D21</ns0:f>
        <ns0:v>2</ns0:v>
      </ns0:c>
      <ns0:c r="W3" s="10">
        <ns0:f>Detail!D22</ns0:f>
        <ns0:v>2</ns0:v>
      </ns0:c>
      <ns0:c r="X3" s="10">
        <ns0:f>Detail!D23</ns0:f>
        <ns0:v>0</ns0:v>
      </ns0:c>
      <ns0:c r="Y3" s="10">
        <ns0:f>Detail!D24</ns0:f>
        <ns0:v>1</ns0:v>
      </ns0:c>
      <ns0:c r="Z3" s="10">
        <ns0:f>Detail!D25</ns0:f>
        <ns0:v>2</ns0:v>
      </ns0:c>
      <ns0:c r="AA3" s="10">
        <ns0:f>Detail!D26</ns0:f>
        <ns0:v>1</ns0:v>
      </ns0:c>
      <ns0:c r="AB3" s="10">
        <ns0:f>Detail!D27</ns0:f>
        <ns0:v>2</ns0:v>
      </ns0:c>
      <ns0:c r="AC3" s="10">
        <ns0:f>Detail!D28</ns0:f>
        <ns0:v>2</ns0:v>
      </ns0:c>
      <ns0:c r="AD3" s="10">
        <ns0:f>Detail!D29</ns0:f>
        <ns0:v>0</ns0:v>
      </ns0:c>
      <ns0:c r="AE3" s="10">
        <ns0:f>Detail!D30</ns0:f>
        <ns0:v>2</ns0:v>
      </ns0:c>
      <ns0:c r="AF3" s="11">
        <ns0:f>SUM(B3:AE3)</ns0:f>
        <ns0:v>42</ns0:v>
      </ns0:c>
    </ns0:row>
    <ns0:row r="4">
      <ns0:c r="A4" s="8" t="inlineStr">
        <ns0:is>
          <ns0:t>Boston Celtics</ns0:t>
        </ns0:is>
      </ns0:c>
      <ns0:c r="B4" s="10">
        <ns0:f>Detail!D31</ns0:f>
        <ns0:v>2</ns0:v>
      </ns0:c>
      <ns0:c r="C4" s="9" t="inlineStr">
        <ns0:is>
          <ns0:t>-</ns0:t>
        </ns0:is>
      </ns0:c>
      <ns0:c r="D4" s="10">
        <ns0:f>Detail!D32</ns0:f>
        <ns0:v>0</ns0:v>
      </ns0:c>
      <ns0:c r="E4" s="10">
        <ns0:f>Detail!D33</ns0:f>
        <ns0:v>0</ns0:v>
      </ns0:c>
      <ns0:c r="F4" s="10">
        <ns0:f>Detail!D34</ns0:f>
        <ns0:v>1</ns0:v>
      </ns0:c>
      <ns0:c r="G4" s="10">
        <ns0:f>Detail!D35</ns0:f>
        <ns0:v>2</ns0:v>
      </ns0:c>
      <ns0:c r="H4" s="10">
        <ns0:f>Detail!D36</ns0:f>
        <ns0:v>1</ns0:v>
      </ns0:c>
      <ns0:c r="I4" s="10">
        <ns0:f>Detail!D37</ns0:f>
        <ns0:v>0</ns0:v>
      </ns0:c>
      <ns0:c r="J4" s="10">
        <ns0:f>Detail!D38</ns0:f>
        <ns0:v>1</ns0:v>
      </ns0:c>
      <ns0:c r="K4" s="10">
        <ns0:f>Detail!D39</ns0:f>
        <ns0:v>1</ns0:v>
      </ns0:c>
      <ns0:c r="L4" s="10">
        <ns0:f>Detail!D40</ns0:f>
        <ns0:v>1</ns0:v>
      </ns0:c>
      <ns0:c r="M4" s="10">
        <ns0:f>Detail!D41</ns0:f>
        <ns0:v>2</ns0:v>
      </ns0:c>
      <ns0:c r="N4" s="10">
        <ns0:f>Detail!D42</ns0:f>
        <ns0:v>0</ns0:v>
      </ns0:c>
      <ns0:c r="O4" s="10">
        <ns0:f>Detail!D43</ns0:f>
        <ns0:v>1</ns0:v>
      </ns0:c>
      <ns0:c r="P4" s="10">
        <ns0:f>Detail!D44</ns0:f>
        <ns0:v>1</ns0:v>
      </ns0:c>
      <ns0:c r="Q4" s="10">
        <ns0:f>Detail!D45</ns0:f>
        <ns0:v>1</ns0:v>
      </ns0:c>
      <ns0:c r="R4" s="10">
        <ns0:f>Detail!D46</ns0:f>
        <ns0:v>0</ns0:v>
      </ns0:c>
      <ns0:c r="S4" s="10">
        <ns0:f>Detail!D47</ns0:f>
        <ns0:v>0</ns0:v>
      </ns0:c>
      <ns0:c r="T4" s="10">
        <ns0:f>Detail!D48</ns0:f>
        <ns0:v>0</ns0:v>
      </ns0:c>
      <ns0:c r="U4" s="10">
        <ns0:f>Detail!D49</ns0:f>
        <ns0:v>0</ns0:v>
      </ns0:c>
      <ns0:c r="V4" s="10">
        <ns0:f>Detail!D50</ns0:f>
        <ns0:v>2</ns0:v>
      </ns0:c>
      <ns0:c r="W4" s="10">
        <ns0:f>Detail!D51</ns0:f>
        <ns0:v>2</ns0:v>
      </ns0:c>
      <ns0:c r="X4" s="10">
        <ns0:f>Detail!D52</ns0:f>
        <ns0:v>1</ns0:v>
      </ns0:c>
      <ns0:c r="Y4" s="10">
        <ns0:f>Detail!D53</ns0:f>
        <ns0:v>0</ns0:v>
      </ns0:c>
      <ns0:c r="Z4" s="10">
        <ns0:f>Detail!D54</ns0:f>
        <ns0:v>0</ns0:v>
      </ns0:c>
      <ns0:c r="AA4" s="10">
        <ns0:f>Detail!D55</ns0:f>
        <ns0:v>1</ns0:v>
      </ns0:c>
      <ns0:c r="AB4" s="10">
        <ns0:f>Detail!D56</ns0:f>
        <ns0:v>0</ns0:v>
      </ns0:c>
      <ns0:c r="AC4" s="10">
        <ns0:f>Detail!D57</ns0:f>
        <ns0:v>1</ns0:v>
      </ns0:c>
      <ns0:c r="AD4" s="10">
        <ns0:f>Detail!D58</ns0:f>
        <ns0:v>0</ns0:v>
      </ns0:c>
      <ns0:c r="AE4" s="10">
        <ns0:f>Detail!D59</ns0:f>
        <ns0:v>0</ns0:v>
      </ns0:c>
      <ns0:c r="AF4" s="11">
        <ns0:f>SUM(B4:AE4)</ns0:f>
        <ns0:v>21</ns0:v>
      </ns0:c>
    </ns0:row>
    <ns0:row r="5">
      <ns0:c r="A5" s="8" t="inlineStr">
        <ns0:is>
          <ns0:t>Brooklyn Nets</ns0:t>
        </ns0:is>
      </ns0:c>
      <ns0:c r="B5" s="10">
        <ns0:f>Detail!D60</ns0:f>
        <ns0:v>2</ns0:v>
      </ns0:c>
      <ns0:c r="C5" s="10">
        <ns0:f>Detail!D61</ns0:f>
        <ns0:v>4</ns0:v>
      </ns0:c>
      <ns0:c r="D5" s="9" t="inlineStr">
        <ns0:is>
          <ns0:t>-</ns0:t>
        </ns0:is>
      </ns0:c>
      <ns0:c r="E5" s="10">
        <ns0:f>Detail!D62</ns0:f>
        <ns0:v>1</ns0:v>
      </ns0:c>
      <ns0:c r="F5" s="10">
        <ns0:f>Detail!D63</ns0:f>
        <ns0:v>2</ns0:v>
      </ns0:c>
      <ns0:c r="G5" s="10">
        <ns0:f>Detail!D64</ns0:f>
        <ns0:v>4</ns0:v>
      </ns0:c>
      <ns0:c r="H5" s="10">
        <ns0:f>Detail!D65</ns0:f>
        <ns0:v>1</ns0:v>
      </ns0:c>
      <ns0:c r="I5" s="10">
        <ns0:f>Detail!D66</ns0:f>
        <ns0:v>2</ns0:v>
      </ns0:c>
      <ns0:c r="J5" s="10">
        <ns0:f>Detail!D67</ns0:f>
        <ns0:v>3</ns0:v>
      </ns0:c>
      <ns0:c r="K5" s="10">
        <ns0:f>Detail!D68</ns0:f>
        <ns0:v>1</ns0:v>
      </ns0:c>
      <ns0:c r="L5" s="10">
        <ns0:f>Detail!D69</ns0:f>
        <ns0:v>0</ns0:v>
      </ns0:c>
      <ns0:c r="M5" s="10">
        <ns0:f>Detail!D70</ns0:f>
        <ns0:v>3</ns0:v>
      </ns0:c>
      <ns0:c r="N5" s="10">
        <ns0:f>Detail!D71</ns0:f>
        <ns0:v>2</ns0:v>
      </ns0:c>
      <ns0:c r="O5" s="10">
        <ns0:f>Detail!D72</ns0:f>
        <ns0:v>1</ns0:v>
      </ns0:c>
      <ns0:c r="P5" s="10">
        <ns0:f>Detail!D73</ns0:f>
        <ns0:v>1</ns0:v>
      </ns0:c>
      <ns0:c r="Q5" s="10">
        <ns0:f>Detail!D74</ns0:f>
        <ns0:v>2</ns0:v>
      </ns0:c>
      <ns0:c r="R5" s="10">
        <ns0:f>Detail!D75</ns0:f>
        <ns0:v>1</ns0:v>
      </ns0:c>
      <ns0:c r="S5" s="10">
        <ns0:f>Detail!D76</ns0:f>
        <ns0:v>2</ns0:v>
      </ns0:c>
      <ns0:c r="T5" s="10">
        <ns0:f>Detail!D77</ns0:f>
        <ns0:v>0</ns0:v>
      </ns0:c>
      <ns0:c r="U5" s="10">
        <ns0:f>Detail!D78</ns0:f>
        <ns0:v>4</ns0:v>
      </ns0:c>
      <ns0:c r="V5" s="10">
        <ns0:f>Detail!D79</ns0:f>
        <ns0:v>2</ns0:v>
      </ns0:c>
      <ns0:c r="W5" s="10">
        <ns0:f>Detail!D80</ns0:f>
        <ns0:v>4</ns0:v>
      </ns0:c>
      <ns0:c r="X5" s="10">
        <ns0:f>Detail!D81</ns0:f>
        <ns0:v>2</ns0:v>
      </ns0:c>
      <ns0:c r="Y5" s="10">
        <ns0:f>Detail!D82</ns0:f>
        <ns0:v>1</ns0:v>
      </ns0:c>
      <ns0:c r="Z5" s="10">
        <ns0:f>Detail!D83</ns0:f>
        <ns0:v>1</ns0:v>
      </ns0:c>
      <ns0:c r="AA5" s="10">
        <ns0:f>Detail!D84</ns0:f>
        <ns0:v>1</ns0:v>
      </ns0:c>
      <ns0:c r="AB5" s="10">
        <ns0:f>Detail!D85</ns0:f>
        <ns0:v>2</ns0:v>
      </ns0:c>
      <ns0:c r="AC5" s="10">
        <ns0:f>Detail!D86</ns0:f>
        <ns0:v>3</ns0:v>
      </ns0:c>
      <ns0:c r="AD5" s="10">
        <ns0:f>Detail!D87</ns0:f>
        <ns0:v>2</ns0:v>
      </ns0:c>
      <ns0:c r="AE5" s="10">
        <ns0:f>Detail!D88</ns0:f>
        <ns0:v>2</ns0:v>
      </ns0:c>
      <ns0:c r="AF5" s="11">
        <ns0:f>SUM(B5:AE5)</ns0:f>
        <ns0:v>56</ns0:v>
      </ns0:c>
    </ns0:row>
    <ns0:row r="6">
      <ns0:c r="A6" s="8" t="inlineStr">
        <ns0:is>
          <ns0:t>Charlotte Hornets</ns0:t>
        </ns0:is>
      </ns0:c>
      <ns0:c r="B6" s="10">
        <ns0:f>Detail!D89</ns0:f>
        <ns0:v>4</ns0:v>
      </ns0:c>
      <ns0:c r="C6" s="10">
        <ns0:f>Detail!D90</ns0:f>
        <ns0:v>4</ns0:v>
      </ns0:c>
      <ns0:c r="D6" s="10">
        <ns0:f>Detail!D91</ns0:f>
        <ns0:v>3</ns0:v>
      </ns0:c>
      <ns0:c r="E6" s="9" t="inlineStr">
        <ns0:is>
          <ns0:t>-</ns0:t>
        </ns0:is>
      </ns0:c>
      <ns0:c r="F6" s="10">
        <ns0:f>Detail!D92</ns0:f>
        <ns0:v>3</ns0:v>
      </ns0:c>
      <ns0:c r="G6" s="10">
        <ns0:f>Detail!D93</ns0:f>
        <ns0:v>4</ns0:v>
      </ns0:c>
      <ns0:c r="H6" s="10">
        <ns0:f>Detail!D94</ns0:f>
        <ns0:v>1</ns0:v>
      </ns0:c>
      <ns0:c r="I6" s="10">
        <ns0:f>Detail!D95</ns0:f>
        <ns0:v>2</ns0:v>
      </ns0:c>
      <ns0:c r="J6" s="10">
        <ns0:f>Detail!D96</ns0:f>
        <ns0:v>2</ns0:v>
      </ns0:c>
      <ns0:c r="K6" s="10">
        <ns0:f>Detail!D97</ns0:f>
        <ns0:v>2</ns0:v>
      </ns0:c>
      <ns0:c r="L6" s="10">
        <ns0:f>Detail!D98</ns0:f>
        <ns0:v>1</ns0:v>
      </ns0:c>
      <ns0:c r="M6" s="10">
        <ns0:f>Detail!D99</ns0:f>
        <ns0:v>1</ns0:v>
      </ns0:c>
      <ns0:c r="N6" s="10">
        <ns0:f>Detail!D100</ns0:f>
        <ns0:v>2</ns0:v>
      </ns0:c>
      <ns0:c r="O6" s="10">
        <ns0:f>Detail!D101</ns0:f>
        <ns0:v>1</ns0:v>
      </ns0:c>
      <ns0:c r="P6" s="10">
        <ns0:f>Detail!D102</ns0:f>
        <ns0:v>2</ns0:v>
      </ns0:c>
      <ns0:c r="Q6" s="10">
        <ns0:f>Detail!D103</ns0:f>
        <ns0:v>3</ns0:v>
      </ns0:c>
      <ns0:c r="R6" s="10">
        <ns0:f>Detail!D104</ns0:f>
        <ns0:v>2</ns0:v>
      </ns0:c>
      <ns0:c r="S6" s="10">
        <ns0:f>Detail!D105</ns0:f>
        <ns0:v>2</ns0:v>
      </ns0:c>
      <ns0:c r="T6" s="10">
        <ns0:f>Detail!D106</ns0:f>
        <ns0:v>1</ns0:v>
      </ns0:c>
      <ns0:c r="U6" s="10">
        <ns0:f>Detail!D107</ns0:f>
        <ns0:v>2</ns0:v>
      </ns0:c>
      <ns0:c r="V6" s="10">
        <ns0:f>Detail!D108</ns0:f>
        <ns0:v>2</ns0:v>
      </ns0:c>
      <ns0:c r="W6" s="10">
        <ns0:f>Detail!D109</ns0:f>
        <ns0:v>4</ns0:v>
      </ns0:c>
      <ns0:c r="X6" s="10">
        <ns0:f>Detail!D110</ns0:f>
        <ns0:v>4</ns0:v>
      </ns0:c>
      <ns0:c r="Y6" s="10">
        <ns0:f>Detail!D111</ns0:f>
        <ns0:v>1</ns0:v>
      </ns0:c>
      <ns0:c r="Z6" s="10">
        <ns0:f>Detail!D112</ns0:f>
        <ns0:v>2</ns0:v>
      </ns0:c>
      <ns0:c r="AA6" s="10">
        <ns0:f>Detail!D113</ns0:f>
        <ns0:v>2</ns0:v>
      </ns0:c>
      <ns0:c r="AB6" s="10">
        <ns0:f>Detail!D114</ns0:f>
        <ns0:v>0</ns0:v>
      </ns0:c>
      <ns0:c r="AC6" s="10">
        <ns0:f>Detail!D115</ns0:f>
        <ns0:v>2</ns0:v>
      </ns0:c>
      <ns0:c r="AD6" s="10">
        <ns0:f>Detail!D116</ns0:f>
        <ns0:v>0</ns0:v>
      </ns0:c>
      <ns0:c r="AE6" s="10">
        <ns0:f>Detail!D117</ns0:f>
        <ns0:v>4</ns0:v>
      </ns0:c>
      <ns0:c r="AF6" s="11">
        <ns0:f>SUM(B6:AE6)</ns0:f>
        <ns0:v>63</ns0:v>
      </ns0:c>
    </ns0:row>
    <ns0:row r="7">
      <ns0:c r="A7" s="8" t="inlineStr">
        <ns0:is>
          <ns0:t>Chicago Bulls</ns0:t>
        </ns0:is>
      </ns0:c>
      <ns0:c r="B7" s="10">
        <ns0:f>Detail!D118</ns0:f>
        <ns0:v>2</ns0:v>
      </ns0:c>
      <ns0:c r="C7" s="10">
        <ns0:f>Detail!D119</ns0:f>
        <ns0:v>3</ns0:v>
      </ns0:c>
      <ns0:c r="D7" s="10">
        <ns0:f>Detail!D120</ns0:f>
        <ns0:v>1</ns0:v>
      </ns0:c>
      <ns0:c r="E7" s="10">
        <ns0:f>Detail!D121</ns0:f>
        <ns0:v>1</ns0:v>
      </ns0:c>
      <ns0:c r="F7" s="9" t="inlineStr">
        <ns0:is>
          <ns0:t>-</ns0:t>
        </ns0:is>
      </ns0:c>
      <ns0:c r="G7" s="10">
        <ns0:f>Detail!D122</ns0:f>
        <ns0:v>4</ns0:v>
      </ns0:c>
      <ns0:c r="H7" s="10">
        <ns0:f>Detail!D123</ns0:f>
        <ns0:v>2</ns0:v>
      </ns0:c>
      <ns0:c r="I7" s="10">
        <ns0:f>Detail!D124</ns0:f>
        <ns0:v>0</ns0:v>
      </ns0:c>
      <ns0:c r="J7" s="10">
        <ns0:f>Detail!D125</ns0:f>
        <ns0:v>3</ns0:v>
      </ns0:c>
      <ns0:c r="K7" s="10">
        <ns0:f>Detail!D126</ns0:f>
        <ns0:v>2</ns0:v>
      </ns0:c>
      <ns0:c r="L7" s="10">
        <ns0:f>Detail!D127</ns0:f>
        <ns0:v>2</ns0:v>
      </ns0:c>
      <ns0:c r="M7" s="10">
        <ns0:f>Detail!D128</ns0:f>
        <ns0:v>3</ns0:v>
      </ns0:c>
      <ns0:c r="N7" s="10">
        <ns0:f>Detail!D129</ns0:f>
        <ns0:v>1</ns0:v>
      </ns0:c>
      <ns0:c r="O7" s="10">
        <ns0:f>Detail!D130</ns0:f>
        <ns0:v>0</ns0:v>
      </ns0:c>
      <ns0:c r="P7" s="10">
        <ns0:f>Detail!D131</ns0:f>
        <ns0:v>1</ns0:v>
      </ns0:c>
      <ns0:c r="Q7" s="10">
        <ns0:f>Detail!D132</ns0:f>
        <ns0:v>0</ns0:v>
      </ns0:c>
      <ns0:c r="R7" s="10">
        <ns0:f>Detail!D133</ns0:f>
        <ns0:v>2</ns0:v>
      </ns0:c>
      <ns0:c r="S7" s="10">
        <ns0:f>Detail!D134</ns0:f>
        <ns0:v>2</ns0:v>
      </ns0:c>
      <ns0:c r="T7" s="10">
        <ns0:f>Detail!D135</ns0:f>
        <ns0:v>2</ns0:v>
      </ns0:c>
      <ns0:c r="U7" s="10">
        <ns0:f>Detail!D136</ns0:f>
        <ns0:v>1</ns0:v>
      </ns0:c>
      <ns0:c r="V7" s="10">
        <ns0:f>Detail!D137</ns0:f>
        <ns0:v>2</ns0:v>
      </ns0:c>
      <ns0:c r="W7" s="10">
        <ns0:f>Detail!D138</ns0:f>
        <ns0:v>1</ns0:v>
      </ns0:c>
      <ns0:c r="X7" s="10">
        <ns0:f>Detail!D139</ns0:f>
        <ns0:v>2</ns0:v>
      </ns0:c>
      <ns0:c r="Y7" s="10">
        <ns0:f>Detail!D140</ns0:f>
        <ns0:v>2</ns0:v>
      </ns0:c>
      <ns0:c r="Z7" s="10">
        <ns0:f>Detail!D141</ns0:f>
        <ns0:v>1</ns0:v>
      </ns0:c>
      <ns0:c r="AA7" s="10">
        <ns0:f>Detail!D142</ns0:f>
        <ns0:v>1</ns0:v>
      </ns0:c>
      <ns0:c r="AB7" s="10">
        <ns0:f>Detail!D143</ns0:f>
        <ns0:v>0</ns0:v>
      </ns0:c>
      <ns0:c r="AC7" s="10">
        <ns0:f>Detail!D144</ns0:f>
        <ns0:v>0</ns0:v>
      </ns0:c>
      <ns0:c r="AD7" s="10">
        <ns0:f>Detail!D145</ns0:f>
        <ns0:v>1</ns0:v>
      </ns0:c>
      <ns0:c r="AE7" s="10">
        <ns0:f>Detail!D146</ns0:f>
        <ns0:v>1</ns0:v>
      </ns0:c>
      <ns0:c r="AF7" s="11">
        <ns0:f>SUM(B7:AE7)</ns0:f>
        <ns0:v>43</ns0:v>
      </ns0:c>
    </ns0:row>
    <ns0:row r="8">
      <ns0:c r="A8" s="8" t="inlineStr">
        <ns0:is>
          <ns0:t>Cleveland Cavaliers</ns0:t>
        </ns0:is>
      </ns0:c>
      <ns0:c r="B8" s="10">
        <ns0:f>Detail!D147</ns0:f>
        <ns0:v>2</ns0:v>
      </ns0:c>
      <ns0:c r="C8" s="10">
        <ns0:f>Detail!D148</ns0:f>
        <ns0:v>2</ns0:v>
      </ns0:c>
      <ns0:c r="D8" s="10">
        <ns0:f>Detail!D149</ns0:f>
        <ns0:v>0</ns0:v>
      </ns0:c>
      <ns0:c r="E8" s="10">
        <ns0:f>Detail!D150</ns0:f>
        <ns0:v>0</ns0:v>
      </ns0:c>
      <ns0:c r="F8" s="10">
        <ns0:f>Detail!D151</ns0:f>
        <ns0:v>0</ns0:v>
      </ns0:c>
      <ns0:c r="G8" s="9" t="inlineStr">
        <ns0:is>
          <ns0:t>-</ns0:t>
        </ns0:is>
      </ns0:c>
      <ns0:c r="H8" s="10">
        <ns0:f>Detail!D152</ns0:f>
        <ns0:v>0</ns0:v>
      </ns0:c>
      <ns0:c r="I8" s="10">
        <ns0:f>Detail!D153</ns0:f>
        <ns0:v>0</ns0:v>
      </ns0:c>
      <ns0:c r="J8" s="10">
        <ns0:f>Detail!D154</ns0:f>
        <ns0:v>1</ns0:v>
      </ns0:c>
      <ns0:c r="K8" s="10">
        <ns0:f>Detail!D155</ns0:f>
        <ns0:v>0</ns0:v>
      </ns0:c>
      <ns0:c r="L8" s="10">
        <ns0:f>Detail!D156</ns0:f>
        <ns0:v>2</ns0:v>
      </ns0:c>
      <ns0:c r="M8" s="10">
        <ns0:f>Detail!D157</ns0:f>
        <ns0:v>3</ns0:v>
      </ns0:c>
      <ns0:c r="N8" s="10">
        <ns0:f>Detail!D158</ns0:f>
        <ns0:v>1</ns0:v>
      </ns0:c>
      <ns0:c r="O8" s="10">
        <ns0:f>Detail!D159</ns0:f>
        <ns0:v>0</ns0:v>
      </ns0:c>
      <ns0:c r="P8" s="10">
        <ns0:f>Detail!D160</ns0:f>
        <ns0:v>0</ns0:v>
      </ns0:c>
      <ns0:c r="Q8" s="10">
        <ns0:f>Detail!D161</ns0:f>
        <ns0:v>1</ns0:v>
      </ns0:c>
      <ns0:c r="R8" s="10">
        <ns0:f>Detail!D162</ns0:f>
        <ns0:v>0</ns0:v>
      </ns0:c>
      <ns0:c r="S8" s="10">
        <ns0:f>Detail!D163</ns0:f>
        <ns0:v>0</ns0:v>
      </ns0:c>
      <ns0:c r="T8" s="10">
        <ns0:f>Detail!D164</ns0:f>
        <ns0:v>0</ns0:v>
      </ns0:c>
      <ns0:c r="U8" s="10">
        <ns0:f>Detail!D165</ns0:f>
        <ns0:v>0</ns0:v>
      </ns0:c>
      <ns0:c r="V8" s="10">
        <ns0:f>Detail!D166</ns0:f>
        <ns0:v>1</ns0:v>
      </ns0:c>
      <ns0:c r="W8" s="10">
        <ns0:f>Detail!D167</ns0:f>
        <ns0:v>1</ns0:v>
      </ns0:c>
      <ns0:c r="X8" s="10">
        <ns0:f>Detail!D168</ns0:f>
        <ns0:v>1</ns0:v>
      </ns0:c>
      <ns0:c r="Y8" s="10">
        <ns0:f>Detail!D169</ns0:f>
        <ns0:v>1</ns0:v>
      </ns0:c>
      <ns0:c r="Z8" s="10">
        <ns0:f>Detail!D170</ns0:f>
        <ns0:v>0</ns0:v>
      </ns0:c>
      <ns0:c r="AA8" s="10">
        <ns0:f>Detail!D171</ns0:f>
        <ns0:v>2</ns0:v>
      </ns0:c>
      <ns0:c r="AB8" s="10">
        <ns0:f>Detail!D172</ns0:f>
        <ns0:v>0</ns0:v>
      </ns0:c>
      <ns0:c r="AC8" s="10">
        <ns0:f>Detail!D173</ns0:f>
        <ns0:v>0</ns0:v>
      </ns0:c>
      <ns0:c r="AD8" s="10">
        <ns0:f>Detail!D174</ns0:f>
        <ns0:v>0</ns0:v>
      </ns0:c>
      <ns0:c r="AE8" s="10">
        <ns0:f>Detail!D175</ns0:f>
        <ns0:v>0</ns0:v>
      </ns0:c>
      <ns0:c r="AF8" s="11">
        <ns0:f>SUM(B8:AE8)</ns0:f>
        <ns0:v>18</ns0:v>
      </ns0:c>
    </ns0:row>
    <ns0:row r="9">
      <ns0:c r="A9" s="8" t="inlineStr">
        <ns0:is>
          <ns0:t>Dallas Mavericks</ns0:t>
        </ns0:is>
      </ns0:c>
      <ns0:c r="B9" s="10">
        <ns0:f>Detail!D176</ns0:f>
        <ns0:v>0</ns0:v>
      </ns0:c>
      <ns0:c r="C9" s="10">
        <ns0:f>Detail!D177</ns0:f>
        <ns0:v>1</ns0:v>
      </ns0:c>
      <ns0:c r="D9" s="10">
        <ns0:f>Detail!D178</ns0:f>
        <ns0:v>1</ns0:v>
      </ns0:c>
      <ns0:c r="E9" s="10">
        <ns0:f>Detail!D179</ns0:f>
        <ns0:v>1</ns0:v>
      </ns0:c>
      <ns0:c r="F9" s="10">
        <ns0:f>Detail!D180</ns0:f>
        <ns0:v>0</ns0:v>
      </ns0:c>
      <ns0:c r="G9" s="10">
        <ns0:f>Detail!D181</ns0:f>
        <ns0:v>2</ns0:v>
      </ns0:c>
      <ns0:c r="H9" s="9" t="inlineStr">
        <ns0:is>
          <ns0:t>-</ns0:t>
        </ns0:is>
      </ns0:c>
      <ns0:c r="I9" s="10">
        <ns0:f>Detail!D182</ns0:f>
        <ns0:v>3</ns0:v>
      </ns0:c>
      <ns0:c r="J9" s="10">
        <ns0:f>Detail!D183</ns0:f>
        <ns0:v>1</ns0:v>
      </ns0:c>
      <ns0:c r="K9" s="10">
        <ns0:f>Detail!D184</ns0:f>
        <ns0:v>2</ns0:v>
      </ns0:c>
      <ns0:c r="L9" s="10">
        <ns0:f>Detail!D185</ns0:f>
        <ns0:v>3</ns0:v>
      </ns0:c>
      <ns0:c r="M9" s="10">
        <ns0:f>Detail!D186</ns0:f>
        <ns0:v>2</ns0:v>
      </ns0:c>
      <ns0:c r="N9" s="10">
        <ns0:f>Detail!D187</ns0:f>
        <ns0:v>3</ns0:v>
      </ns0:c>
      <ns0:c r="O9" s="10">
        <ns0:f>Detail!D188</ns0:f>
        <ns0:v>2</ns0:v>
      </ns0:c>
      <ns0:c r="P9" s="10">
        <ns0:f>Detail!D189</ns0:f>
        <ns0:v>3</ns0:v>
      </ns0:c>
      <ns0:c r="Q9" s="10">
        <ns0:f>Detail!D190</ns0:f>
        <ns0:v>1</ns0:v>
      </ns0:c>
      <ns0:c r="R9" s="10">
        <ns0:f>Detail!D191</ns0:f>
        <ns0:v>2</ns0:v>
      </ns0:c>
      <ns0:c r="S9" s="10">
        <ns0:f>Detail!D192</ns0:f>
        <ns0:v>2</ns0:v>
      </ns0:c>
      <ns0:c r="T9" s="10">
        <ns0:f>Detail!D193</ns0:f>
        <ns0:v>1</ns0:v>
      </ns0:c>
      <ns0:c r="U9" s="10">
        <ns0:f>Detail!D194</ns0:f>
        <ns0:v>1</ns0:v>
      </ns0:c>
      <ns0:c r="V9" s="10">
        <ns0:f>Detail!D195</ns0:f>
        <ns0:v>1</ns0:v>
      </ns0:c>
      <ns0:c r="W9" s="10">
        <ns0:f>Detail!D196</ns0:f>
        <ns0:v>0</ns0:v>
      </ns0:c>
      <ns0:c r="X9" s="10">
        <ns0:f>Detail!D197</ns0:f>
        <ns0:v>2</ns0:v>
      </ns0:c>
      <ns0:c r="Y9" s="10">
        <ns0:f>Detail!D198</ns0:f>
        <ns0:v>3</ns0:v>
      </ns0:c>
      <ns0:c r="Z9" s="10">
        <ns0:f>Detail!D199</ns0:f>
        <ns0:v>1</ns0:v>
      </ns0:c>
      <ns0:c r="AA9" s="10">
        <ns0:f>Detail!D200</ns0:f>
        <ns0:v>3</ns0:v>
      </ns0:c>
      <ns0:c r="AB9" s="10">
        <ns0:f>Detail!D201</ns0:f>
        <ns0:v>1</ns0:v>
      </ns0:c>
      <ns0:c r="AC9" s="10">
        <ns0:f>Detail!D202</ns0:f>
        <ns0:v>0</ns0:v>
      </ns0:c>
      <ns0:c r="AD9" s="10">
        <ns0:f>Detail!D203</ns0:f>
        <ns0:v>1</ns0:v>
      </ns0:c>
      <ns0:c r="AE9" s="10">
        <ns0:f>Detail!D204</ns0:f>
        <ns0:v>0</ns0:v>
      </ns0:c>
      <ns0:c r="AF9" s="11">
        <ns0:f>SUM(B9:AE9)</ns0:f>
        <ns0:v>43</ns0:v>
      </ns0:c>
    </ns0:row>
    <ns0:row r="10">
      <ns0:c r="A10" s="8" t="inlineStr">
        <ns0:is>
          <ns0:t>Denver Nuggets</ns0:t>
        </ns0:is>
      </ns0:c>
      <ns0:c r="B10" s="10">
        <ns0:f>Detail!D205</ns0:f>
        <ns0:v>0</ns0:v>
      </ns0:c>
      <ns0:c r="C10" s="10">
        <ns0:f>Detail!D206</ns0:f>
        <ns0:v>2</ns0:v>
      </ns0:c>
      <ns0:c r="D10" s="10">
        <ns0:f>Detail!D207</ns0:f>
        <ns0:v>0</ns0:v>
      </ns0:c>
      <ns0:c r="E10" s="10">
        <ns0:f>Detail!D208</ns0:f>
        <ns0:v>0</ns0:v>
      </ns0:c>
      <ns0:c r="F10" s="10">
        <ns0:f>Detail!D209</ns0:f>
        <ns0:v>2</ns0:v>
      </ns0:c>
      <ns0:c r="G10" s="10">
        <ns0:f>Detail!D210</ns0:f>
        <ns0:v>2</ns0:v>
      </ns0:c>
      <ns0:c r="H10" s="10">
        <ns0:f>Detail!D211</ns0:f>
        <ns0:v>1</ns0:v>
      </ns0:c>
      <ns0:c r="I10" s="9" t="inlineStr">
        <ns0:is>
          <ns0:t>-</ns0:t>
        </ns0:is>
      </ns0:c>
      <ns0:c r="J10" s="10">
        <ns0:f>Detail!D212</ns0:f>
        <ns0:v>0</ns0:v>
      </ns0:c>
      <ns0:c r="K10" s="10">
        <ns0:f>Detail!D213</ns0:f>
        <ns0:v>1</ns0:v>
      </ns0:c>
      <ns0:c r="L10" s="10">
        <ns0:f>Detail!D214</ns0:f>
        <ns0:v>1</ns0:v>
      </ns0:c>
      <ns0:c r="M10" s="10">
        <ns0:f>Detail!D215</ns0:f>
        <ns0:v>1</ns0:v>
      </ns0:c>
      <ns0:c r="N10" s="10">
        <ns0:f>Detail!D216</ns0:f>
        <ns0:v>2</ns0:v>
      </ns0:c>
      <ns0:c r="O10" s="10">
        <ns0:f>Detail!D217</ns0:f>
        <ns0:v>2</ns0:v>
      </ns0:c>
      <ns0:c r="P10" s="10">
        <ns0:f>Detail!D218</ns0:f>
        <ns0:v>1</ns0:v>
      </ns0:c>
      <ns0:c r="Q10" s="10">
        <ns0:f>Detail!D219</ns0:f>
        <ns0:v>0</ns0:v>
      </ns0:c>
      <ns0:c r="R10" s="10">
        <ns0:f>Detail!D220</ns0:f>
        <ns0:v>1</ns0:v>
      </ns0:c>
      <ns0:c r="S10" s="10">
        <ns0:f>Detail!D221</ns0:f>
        <ns0:v>4</ns0:v>
      </ns0:c>
      <ns0:c r="T10" s="10">
        <ns0:f>Detail!D222</ns0:f>
        <ns0:v>1</ns0:v>
      </ns0:c>
      <ns0:c r="U10" s="10">
        <ns0:f>Detail!D223</ns0:f>
        <ns0:v>2</ns0:v>
      </ns0:c>
      <ns0:c r="V10" s="10">
        <ns0:f>Detail!D224</ns0:f>
        <ns0:v>2</ns0:v>
      </ns0:c>
      <ns0:c r="W10" s="10">
        <ns0:f>Detail!D225</ns0:f>
        <ns0:v>0</ns0:v>
      </ns0:c>
      <ns0:c r="X10" s="10">
        <ns0:f>Detail!D226</ns0:f>
        <ns0:v>0</ns0:v>
      </ns0:c>
      <ns0:c r="Y10" s="10">
        <ns0:f>Detail!D227</ns0:f>
        <ns0:v>1</ns0:v>
      </ns0:c>
      <ns0:c r="Z10" s="10">
        <ns0:f>Detail!D228</ns0:f>
        <ns0:v>2</ns0:v>
      </ns0:c>
      <ns0:c r="AA10" s="10">
        <ns0:f>Detail!D229</ns0:f>
        <ns0:v>0</ns0:v>
      </ns0:c>
      <ns0:c r="AB10" s="10">
        <ns0:f>Detail!D230</ns0:f>
        <ns0:v>2</ns0:v>
      </ns0:c>
      <ns0:c r="AC10" s="10">
        <ns0:f>Detail!D231</ns0:f>
        <ns0:v>0</ns0:v>
      </ns0:c>
      <ns0:c r="AD10" s="10">
        <ns0:f>Detail!D232</ns0:f>
        <ns0:v>0</ns0:v>
      </ns0:c>
      <ns0:c r="AE10" s="10">
        <ns0:f>Detail!D233</ns0:f>
        <ns0:v>2</ns0:v>
      </ns0:c>
      <ns0:c r="AF10" s="11">
        <ns0:f>SUM(B10:AE10)</ns0:f>
        <ns0:v>32</ns0:v>
      </ns0:c>
    </ns0:row>
    <ns0:row r="11">
      <ns0:c r="A11" s="8" t="inlineStr">
        <ns0:is>
          <ns0:t>Detroit Pistons</ns0:t>
        </ns0:is>
      </ns0:c>
      <ns0:c r="B11" s="10">
        <ns0:f>Detail!D234</ns0:f>
        <ns0:v>1</ns0:v>
      </ns0:c>
      <ns0:c r="C11" s="10">
        <ns0:f>Detail!D235</ns0:f>
        <ns0:v>3</ns0:v>
      </ns0:c>
      <ns0:c r="D11" s="10">
        <ns0:f>Detail!D236</ns0:f>
        <ns0:v>0</ns0:v>
      </ns0:c>
      <ns0:c r="E11" s="10">
        <ns0:f>Detail!D237</ns0:f>
        <ns0:v>2</ns0:v>
      </ns0:c>
      <ns0:c r="F11" s="10">
        <ns0:f>Detail!D238</ns0:f>
        <ns0:v>1</ns0:v>
      </ns0:c>
      <ns0:c r="G11" s="10">
        <ns0:f>Detail!D239</ns0:f>
        <ns0:v>3</ns0:v>
      </ns0:c>
      <ns0:c r="H11" s="10">
        <ns0:f>Detail!D240</ns0:f>
        <ns0:v>1</ns0:v>
      </ns0:c>
      <ns0:c r="I11" s="10">
        <ns0:f>Detail!D241</ns0:f>
        <ns0:v>2</ns0:v>
      </ns0:c>
      <ns0:c r="J11" s="9" t="inlineStr">
        <ns0:is>
          <ns0:t>-</ns0:t>
        </ns0:is>
      </ns0:c>
      <ns0:c r="K11" s="10">
        <ns0:f>Detail!D242</ns0:f>
        <ns0:v>2</ns0:v>
      </ns0:c>
      <ns0:c r="L11" s="10">
        <ns0:f>Detail!D243</ns0:f>
        <ns0:v>1</ns0:v>
      </ns0:c>
      <ns0:c r="M11" s="10">
        <ns0:f>Detail!D244</ns0:f>
        <ns0:v>3</ns0:v>
      </ns0:c>
      <ns0:c r="N11" s="10">
        <ns0:f>Detail!D245</ns0:f>
        <ns0:v>1</ns0:v>
      </ns0:c>
      <ns0:c r="O11" s="10">
        <ns0:f>Detail!D246</ns0:f>
        <ns0:v>0</ns0:v>
      </ns0:c>
      <ns0:c r="P11" s="10">
        <ns0:f>Detail!D247</ns0:f>
        <ns0:v>2</ns0:v>
      </ns0:c>
      <ns0:c r="Q11" s="10">
        <ns0:f>Detail!D248</ns0:f>
        <ns0:v>1</ns0:v>
      </ns0:c>
      <ns0:c r="R11" s="10">
        <ns0:f>Detail!D249</ns0:f>
        <ns0:v>4</ns0:v>
      </ns0:c>
      <ns0:c r="S11" s="10">
        <ns0:f>Detail!D250</ns0:f>
        <ns0:v>1</ns0:v>
      </ns0:c>
      <ns0:c r="T11" s="10">
        <ns0:f>Detail!D251</ns0:f>
        <ns0:v>0</ns0:v>
      </ns0:c>
      <ns0:c r="U11" s="10">
        <ns0:f>Detail!D252</ns0:f>
        <ns0:v>1</ns0:v>
      </ns0:c>
      <ns0:c r="V11" s="10">
        <ns0:f>Detail!D253</ns0:f>
        <ns0:v>2</ns0:v>
      </ns0:c>
      <ns0:c r="W11" s="10">
        <ns0:f>Detail!D254</ns0:f>
        <ns0:v>2</ns0:v>
      </ns0:c>
      <ns0:c r="X11" s="10">
        <ns0:f>Detail!D255</ns0:f>
        <ns0:v>1</ns0:v>
      </ns0:c>
      <ns0:c r="Y11" s="10">
        <ns0:f>Detail!D256</ns0:f>
        <ns0:v>1</ns0:v>
      </ns0:c>
      <ns0:c r="Z11" s="10">
        <ns0:f>Detail!D257</ns0:f>
        <ns0:v>0</ns0:v>
      </ns0:c>
      <ns0:c r="AA11" s="10">
        <ns0:f>Detail!D258</ns0:f>
        <ns0:v>1</ns0:v>
      </ns0:c>
      <ns0:c r="AB11" s="10">
        <ns0:f>Detail!D259</ns0:f>
        <ns0:v>0</ns0:v>
      </ns0:c>
      <ns0:c r="AC11" s="10">
        <ns0:f>Detail!D260</ns0:f>
        <ns0:v>0</ns0:v>
      </ns0:c>
      <ns0:c r="AD11" s="10">
        <ns0:f>Detail!D261</ns0:f>
        <ns0:v>1</ns0:v>
      </ns0:c>
      <ns0:c r="AE11" s="10">
        <ns0:f>Detail!D262</ns0:f>
        <ns0:v>1</ns0:v>
      </ns0:c>
      <ns0:c r="AF11" s="11">
        <ns0:f>SUM(B11:AE11)</ns0:f>
        <ns0:v>38</ns0:v>
      </ns0:c>
    </ns0:row>
    <ns0:row r="12">
      <ns0:c r="A12" s="8" t="inlineStr">
        <ns0:is>
          <ns0:t>Golden State Warriors</ns0:t>
        </ns0:is>
      </ns0:c>
      <ns0:c r="B12" s="10">
        <ns0:f>Detail!D263</ns0:f>
        <ns0:v>1</ns0:v>
      </ns0:c>
      <ns0:c r="C12" s="10">
        <ns0:f>Detail!D264</ns0:f>
        <ns0:v>1</ns0:v>
      </ns0:c>
      <ns0:c r="D12" s="10">
        <ns0:f>Detail!D265</ns0:f>
        <ns0:v>1</ns0:v>
      </ns0:c>
      <ns0:c r="E12" s="10">
        <ns0:f>Detail!D266</ns0:f>
        <ns0:v>0</ns0:v>
      </ns0:c>
      <ns0:c r="F12" s="10">
        <ns0:f>Detail!D267</ns0:f>
        <ns0:v>0</ns0:v>
      </ns0:c>
      <ns0:c r="G12" s="10">
        <ns0:f>Detail!D268</ns0:f>
        <ns0:v>2</ns0:v>
      </ns0:c>
      <ns0:c r="H12" s="10">
        <ns0:f>Detail!D269</ns0:f>
        <ns0:v>2</ns0:v>
      </ns0:c>
      <ns0:c r="I12" s="10">
        <ns0:f>Detail!D270</ns0:f>
        <ns0:v>2</ns0:v>
      </ns0:c>
      <ns0:c r="J12" s="10">
        <ns0:f>Detail!D271</ns0:f>
        <ns0:v>0</ns0:v>
      </ns0:c>
      <ns0:c r="K12" s="9" t="inlineStr">
        <ns0:is>
          <ns0:t>-</ns0:t>
        </ns0:is>
      </ns0:c>
      <ns0:c r="L12" s="10">
        <ns0:f>Detail!D272</ns0:f>
        <ns0:v>2</ns0:v>
      </ns0:c>
      <ns0:c r="M12" s="10">
        <ns0:f>Detail!D273</ns0:f>
        <ns0:v>2</ns0:v>
      </ns0:c>
      <ns0:c r="N12" s="10">
        <ns0:f>Detail!D274</ns0:f>
        <ns0:v>4</ns0:v>
      </ns0:c>
      <ns0:c r="O12" s="10">
        <ns0:f>Detail!D275</ns0:f>
        <ns0:v>3</ns0:v>
      </ns0:c>
      <ns0:c r="P12" s="10">
        <ns0:f>Detail!D276</ns0:f>
        <ns0:v>1</ns0:v>
      </ns0:c>
      <ns0:c r="Q12" s="10">
        <ns0:f>Detail!D277</ns0:f>
        <ns0:v>2</ns0:v>
      </ns0:c>
      <ns0:c r="R12" s="10">
        <ns0:f>Detail!D278</ns0:f>
        <ns0:v>0</ns0:v>
      </ns0:c>
      <ns0:c r="S12" s="10">
        <ns0:f>Detail!D279</ns0:f>
        <ns0:v>1</ns0:v>
      </ns0:c>
      <ns0:c r="T12" s="10">
        <ns0:f>Detail!D280</ns0:f>
        <ns0:v>0</ns0:v>
      </ns0:c>
      <ns0:c r="U12" s="10">
        <ns0:f>Detail!D281</ns0:f>
        <ns0:v>0</ns0:v>
      </ns0:c>
      <ns0:c r="V12" s="10">
        <ns0:f>Detail!D282</ns0:f>
        <ns0:v>1</ns0:v>
      </ns0:c>
      <ns0:c r="W12" s="10">
        <ns0:f>Detail!D283</ns0:f>
        <ns0:v>0</ns0:v>
      </ns0:c>
      <ns0:c r="X12" s="10">
        <ns0:f>Detail!D284</ns0:f>
        <ns0:v>1</ns0:v>
      </ns0:c>
      <ns0:c r="Y12" s="10">
        <ns0:f>Detail!D285</ns0:f>
        <ns0:v>2</ns0:v>
      </ns0:c>
      <ns0:c r="Z12" s="10">
        <ns0:f>Detail!D286</ns0:f>
        <ns0:v>0</ns0:v>
      </ns0:c>
      <ns0:c r="AA12" s="10">
        <ns0:f>Detail!D287</ns0:f>
        <ns0:v>2</ns0:v>
      </ns0:c>
      <ns0:c r="AB12" s="10">
        <ns0:f>Detail!D288</ns0:f>
        <ns0:v>2</ns0:v>
      </ns0:c>
      <ns0:c r="AC12" s="10">
        <ns0:f>Detail!D289</ns0:f>
        <ns0:v>1</ns0:v>
      </ns0:c>
      <ns0:c r="AD12" s="10">
        <ns0:f>Detail!D290</ns0:f>
        <ns0:v>1</ns0:v>
      </ns0:c>
      <ns0:c r="AE12" s="10">
        <ns0:f>Detail!D291</ns0:f>
        <ns0:v>0</ns0:v>
      </ns0:c>
      <ns0:c r="AF12" s="11">
        <ns0:f>SUM(B12:AE12)</ns0:f>
        <ns0:v>34</ns0:v>
      </ns0:c>
    </ns0:row>
    <ns0:row r="13">
      <ns0:c r="A13" s="8" t="inlineStr">
        <ns0:is>
          <ns0:t>Houston Rockets</ns0:t>
        </ns0:is>
      </ns0:c>
      <ns0:c r="B13" s="10">
        <ns0:f>Detail!D292</ns0:f>
        <ns0:v>0</ns0:v>
      </ns0:c>
      <ns0:c r="C13" s="10">
        <ns0:f>Detail!D293</ns0:f>
        <ns0:v>1</ns0:v>
      </ns0:c>
      <ns0:c r="D13" s="10">
        <ns0:f>Detail!D294</ns0:f>
        <ns0:v>2</ns0:v>
      </ns0:c>
      <ns0:c r="E13" s="10">
        <ns0:f>Detail!D295</ns0:f>
        <ns0:v>1</ns0:v>
      </ns0:c>
      <ns0:c r="F13" s="10">
        <ns0:f>Detail!D296</ns0:f>
        <ns0:v>0</ns0:v>
      </ns0:c>
      <ns0:c r="G13" s="10">
        <ns0:f>Detail!D297</ns0:f>
        <ns0:v>0</ns0:v>
      </ns0:c>
      <ns0:c r="H13" s="10">
        <ns0:f>Detail!D298</ns0:f>
        <ns0:v>1</ns0:v>
      </ns0:c>
      <ns0:c r="I13" s="10">
        <ns0:f>Detail!D299</ns0:f>
        <ns0:v>2</ns0:v>
      </ns0:c>
      <ns0:c r="J13" s="10">
        <ns0:f>Detail!D300</ns0:f>
        <ns0:v>1</ns0:v>
      </ns0:c>
      <ns0:c r="K13" s="10">
        <ns0:f>Detail!D301</ns0:f>
        <ns0:v>3</ns0:v>
      </ns0:c>
      <ns0:c r="L13" s="9" t="inlineStr">
        <ns0:is>
          <ns0:t>-</ns0:t>
        </ns0:is>
      </ns0:c>
      <ns0:c r="M13" s="10">
        <ns0:f>Detail!D302</ns0:f>
        <ns0:v>1</ns0:v>
      </ns0:c>
      <ns0:c r="N13" s="10">
        <ns0:f>Detail!D303</ns0:f>
        <ns0:v>1</ns0:v>
      </ns0:c>
      <ns0:c r="O13" s="10">
        <ns0:f>Detail!D304</ns0:f>
        <ns0:v>2</ns0:v>
      </ns0:c>
      <ns0:c r="P13" s="10">
        <ns0:f>Detail!D305</ns0:f>
        <ns0:v>1</ns0:v>
      </ns0:c>
      <ns0:c r="Q13" s="10">
        <ns0:f>Detail!D306</ns0:f>
        <ns0:v>1</ns0:v>
      </ns0:c>
      <ns0:c r="R13" s="10">
        <ns0:f>Detail!D307</ns0:f>
        <ns0:v>1</ns0:v>
      </ns0:c>
      <ns0:c r="S13" s="10">
        <ns0:f>Detail!D308</ns0:f>
        <ns0:v>2</ns0:v>
      </ns0:c>
      <ns0:c r="T13" s="10">
        <ns0:f>Detail!D309</ns0:f>
        <ns0:v>0</ns0:v>
      </ns0:c>
      <ns0:c r="U13" s="10">
        <ns0:f>Detail!D310</ns0:f>
        <ns0:v>1</ns0:v>
      </ns0:c>
      <ns0:c r="V13" s="10">
        <ns0:f>Detail!D311</ns0:f>
        <ns0:v>3</ns0:v>
      </ns0:c>
      <ns0:c r="W13" s="10">
        <ns0:f>Detail!D312</ns0:f>
        <ns0:v>0</ns0:v>
      </ns0:c>
      <ns0:c r="X13" s="10">
        <ns0:f>Detail!D313</ns0:f>
        <ns0:v>0</ns0:v>
      </ns0:c>
      <ns0:c r="Y13" s="10">
        <ns0:f>Detail!D314</ns0:f>
        <ns0:v>0</ns0:v>
      </ns0:c>
      <ns0:c r="Z13" s="10">
        <ns0:f>Detail!D315</ns0:f>
        <ns0:v>1</ns0:v>
      </ns0:c>
      <ns0:c r="AA13" s="10">
        <ns0:f>Detail!D316</ns0:f>
        <ns0:v>3</ns0:v>
      </ns0:c>
      <ns0:c r="AB13" s="10">
        <ns0:f>Detail!D317</ns0:f>
        <ns0:v>1</ns0:v>
      </ns0:c>
      <ns0:c r="AC13" s="10">
        <ns0:f>Detail!D318</ns0:f>
        <ns0:v>0</ns0:v>
      </ns0:c>
      <ns0:c r="AD13" s="10">
        <ns0:f>Detail!D319</ns0:f>
        <ns0:v>1</ns0:v>
      </ns0:c>
      <ns0:c r="AE13" s="10">
        <ns0:f>Detail!D320</ns0:f>
        <ns0:v>0</ns0:v>
      </ns0:c>
      <ns0:c r="AF13" s="11">
        <ns0:f>SUM(B13:AE13)</ns0:f>
        <ns0:v>30</ns0:v>
      </ns0:c>
    </ns0:row>
    <ns0:row r="14">
      <ns0:c r="A14" s="8" t="inlineStr">
        <ns0:is>
          <ns0:t>Indiana Pacers</ns0:t>
        </ns0:is>
      </ns0:c>
      <ns0:c r="B14" s="10">
        <ns0:f>Detail!D321</ns0:f>
        <ns0:v>2</ns0:v>
      </ns0:c>
      <ns0:c r="C14" s="10">
        <ns0:f>Detail!D322</ns0:f>
        <ns0:v>1</ns0:v>
      </ns0:c>
      <ns0:c r="D14" s="10">
        <ns0:f>Detail!D323</ns0:f>
        <ns0:v>1</ns0:v>
      </ns0:c>
      <ns0:c r="E14" s="10">
        <ns0:f>Detail!D324</ns0:f>
        <ns0:v>2</ns0:v>
      </ns0:c>
      <ns0:c r="F14" s="10">
        <ns0:f>Detail!D325</ns0:f>
        <ns0:v>1</ns0:v>
      </ns0:c>
      <ns0:c r="G14" s="10">
        <ns0:f>Detail!D326</ns0:f>
        <ns0:v>1</ns0:v>
      </ns0:c>
      <ns0:c r="H14" s="10">
        <ns0:f>Detail!D327</ns0:f>
        <ns0:v>0</ns0:v>
      </ns0:c>
      <ns0:c r="I14" s="10">
        <ns0:f>Detail!D328</ns0:f>
        <ns0:v>1</ns0:v>
      </ns0:c>
      <ns0:c r="J14" s="10">
        <ns0:f>Detail!D329</ns0:f>
        <ns0:v>1</ns0:v>
      </ns0:c>
      <ns0:c r="K14" s="10">
        <ns0:f>Detail!D330</ns0:f>
        <ns0:v>0</ns0:v>
      </ns0:c>
      <ns0:c r="L14" s="10">
        <ns0:f>Detail!D331</ns0:f>
        <ns0:v>1</ns0:v>
      </ns0:c>
      <ns0:c r="M14" s="9" t="inlineStr">
        <ns0:is>
          <ns0:t>-</ns0:t>
        </ns0:is>
      </ns0:c>
      <ns0:c r="N14" s="10">
        <ns0:f>Detail!D332</ns0:f>
        <ns0:v>0</ns0:v>
      </ns0:c>
      <ns0:c r="O14" s="10">
        <ns0:f>Detail!D333</ns0:f>
        <ns0:v>2</ns0:v>
      </ns0:c>
      <ns0:c r="P14" s="10">
        <ns0:f>Detail!D334</ns0:f>
        <ns0:v>1</ns0:v>
      </ns0:c>
      <ns0:c r="Q14" s="10">
        <ns0:f>Detail!D335</ns0:f>
        <ns0:v>2</ns0:v>
      </ns0:c>
      <ns0:c r="R14" s="10">
        <ns0:f>Detail!D336</ns0:f>
        <ns0:v>3</ns0:v>
      </ns0:c>
      <ns0:c r="S14" s="10">
        <ns0:f>Detail!D337</ns0:f>
        <ns0:v>0</ns0:v>
      </ns0:c>
      <ns0:c r="T14" s="10">
        <ns0:f>Detail!D338</ns0:f>
        <ns0:v>1</ns0:v>
      </ns0:c>
      <ns0:c r="U14" s="10">
        <ns0:f>Detail!D339</ns0:f>
        <ns0:v>2</ns0:v>
      </ns0:c>
      <ns0:c r="V14" s="10">
        <ns0:f>Detail!D340</ns0:f>
        <ns0:v>2</ns0:v>
      </ns0:c>
      <ns0:c r="W14" s="10">
        <ns0:f>Detail!D341</ns0:f>
        <ns0:v>3</ns0:v>
      </ns0:c>
      <ns0:c r="X14" s="10">
        <ns0:f>Detail!D342</ns0:f>
        <ns0:v>1</ns0:v>
      </ns0:c>
      <ns0:c r="Y14" s="10">
        <ns0:f>Detail!D343</ns0:f>
        <ns0:v>0</ns0:v>
      </ns0:c>
      <ns0:c r="Z14" s="10">
        <ns0:f>Detail!D344</ns0:f>
        <ns0:v>1</ns0:v>
      </ns0:c>
      <ns0:c r="AA14" s="10">
        <ns0:f>Detail!D345</ns0:f>
        <ns0:v>0</ns0:v>
      </ns0:c>
      <ns0:c r="AB14" s="10">
        <ns0:f>Detail!D346</ns0:f>
        <ns0:v>1</ns0:v>
      </ns0:c>
      <ns0:c r="AC14" s="10">
        <ns0:f>Detail!D347</ns0:f>
        <ns0:v>2</ns0:v>
      </ns0:c>
      <ns0:c r="AD14" s="10">
        <ns0:f>Detail!D348</ns0:f>
        <ns0:v>0</ns0:v>
      </ns0:c>
      <ns0:c r="AE14" s="10">
        <ns0:f>Detail!D349</ns0:f>
        <ns0:v>0</ns0:v>
      </ns0:c>
      <ns0:c r="AF14" s="11">
        <ns0:f>SUM(B14:AE14)</ns0:f>
        <ns0:v>32</ns0:v>
      </ns0:c>
    </ns0:row>
    <ns0:row r="15">
      <ns0:c r="A15" s="8" t="inlineStr">
        <ns0:is>
          <ns0:t>LA Clippers</ns0:t>
        </ns0:is>
      </ns0:c>
      <ns0:c r="B15" s="10">
        <ns0:f>Detail!D350</ns0:f>
        <ns0:v>0</ns0:v>
      </ns0:c>
      <ns0:c r="C15" s="10">
        <ns0:f>Detail!D351</ns0:f>
        <ns0:v>2</ns0:v>
      </ns0:c>
      <ns0:c r="D15" s="10">
        <ns0:f>Detail!D352</ns0:f>
        <ns0:v>0</ns0:v>
      </ns0:c>
      <ns0:c r="E15" s="10">
        <ns0:f>Detail!D353</ns0:f>
        <ns0:v>0</ns0:v>
      </ns0:c>
      <ns0:c r="F15" s="10">
        <ns0:f>Detail!D354</ns0:f>
        <ns0:v>1</ns0:v>
      </ns0:c>
      <ns0:c r="G15" s="10">
        <ns0:f>Detail!D355</ns0:f>
        <ns0:v>1</ns0:v>
      </ns0:c>
      <ns0:c r="H15" s="10">
        <ns0:f>Detail!D356</ns0:f>
        <ns0:v>1</ns0:v>
      </ns0:c>
      <ns0:c r="I15" s="10">
        <ns0:f>Detail!D357</ns0:f>
        <ns0:v>2</ns0:v>
      </ns0:c>
      <ns0:c r="J15" s="10">
        <ns0:f>Detail!D358</ns0:f>
        <ns0:v>1</ns0:v>
      </ns0:c>
      <ns0:c r="K15" s="10">
        <ns0:f>Detail!D359</ns0:f>
        <ns0:v>0</ns0:v>
      </ns0:c>
      <ns0:c r="L15" s="10">
        <ns0:f>Detail!D360</ns0:f>
        <ns0:v>3</ns0:v>
      </ns0:c>
      <ns0:c r="M15" s="10">
        <ns0:f>Detail!D361</ns0:f>
        <ns0:v>2</ns0:v>
      </ns0:c>
      <ns0:c r="N15" s="9" t="inlineStr">
        <ns0:is>
          <ns0:t>-</ns0:t>
        </ns0:is>
      </ns0:c>
      <ns0:c r="O15" s="10">
        <ns0:f>Detail!D362</ns0:f>
        <ns0:v>3</ns0:v>
      </ns0:c>
      <ns0:c r="P15" s="10">
        <ns0:f>Detail!D363</ns0:f>
        <ns0:v>0</ns0:v>
      </ns0:c>
      <ns0:c r="Q15" s="10">
        <ns0:f>Detail!D364</ns0:f>
        <ns0:v>0</ns0:v>
      </ns0:c>
      <ns0:c r="R15" s="10">
        <ns0:f>Detail!D365</ns0:f>
        <ns0:v>1</ns0:v>
      </ns0:c>
      <ns0:c r="S15" s="10">
        <ns0:f>Detail!D366</ns0:f>
        <ns0:v>3</ns0:v>
      </ns0:c>
      <ns0:c r="T15" s="10">
        <ns0:f>Detail!D367</ns0:f>
        <ns0:v>1</ns0:v>
      </ns0:c>
      <ns0:c r="U15" s="10">
        <ns0:f>Detail!D368</ns0:f>
        <ns0:v>0</ns0:v>
      </ns0:c>
      <ns0:c r="V15" s="10">
        <ns0:f>Detail!D369</ns0:f>
        <ns0:v>4</ns0:v>
      </ns0:c>
      <ns0:c r="W15" s="10">
        <ns0:f>Detail!D370</ns0:f>
        <ns0:v>0</ns0:v>
      </ns0:c>
      <ns0:c r="X15" s="10">
        <ns0:f>Detail!D371</ns0:f>
        <ns0:v>0</ns0:v>
      </ns0:c>
      <ns0:c r="Y15" s="10">
        <ns0:f>Detail!D372</ns0:f>
        <ns0:v>4</ns0:v>
      </ns0:c>
      <ns0:c r="Z15" s="10">
        <ns0:f>Detail!D373</ns0:f>
        <ns0:v>1</ns0:v>
      </ns0:c>
      <ns0:c r="AA15" s="10">
        <ns0:f>Detail!D374</ns0:f>
        <ns0:v>0</ns0:v>
      </ns0:c>
      <ns0:c r="AB15" s="10">
        <ns0:f>Detail!D375</ns0:f>
        <ns0:v>1</ns0:v>
      </ns0:c>
      <ns0:c r="AC15" s="10">
        <ns0:f>Detail!D376</ns0:f>
        <ns0:v>1</ns0:v>
      </ns0:c>
      <ns0:c r="AD15" s="10">
        <ns0:f>Detail!D377</ns0:f>
        <ns0:v>0</ns0:v>
      </ns0:c>
      <ns0:c r="AE15" s="10">
        <ns0:f>Detail!D378</ns0:f>
        <ns0:v>0</ns0:v>
      </ns0:c>
      <ns0:c r="AF15" s="11">
        <ns0:f>SUM(B15:AE15)</ns0:f>
        <ns0:v>32</ns0:v>
      </ns0:c>
    </ns0:row>
    <ns0:row r="16">
      <ns0:c r="A16" s="8" t="inlineStr">
        <ns0:is>
          <ns0:t>Los Angeles Lakers</ns0:t>
        </ns0:is>
      </ns0:c>
      <ns0:c r="B16" s="10">
        <ns0:f>Detail!D379</ns0:f>
        <ns0:v>1</ns0:v>
      </ns0:c>
      <ns0:c r="C16" s="10">
        <ns0:f>Detail!D380</ns0:f>
        <ns0:v>1</ns0:v>
      </ns0:c>
      <ns0:c r="D16" s="10">
        <ns0:f>Detail!D381</ns0:f>
        <ns0:v>1</ns0:v>
      </ns0:c>
      <ns0:c r="E16" s="10">
        <ns0:f>Detail!D382</ns0:f>
        <ns0:v>1</ns0:v>
      </ns0:c>
      <ns0:c r="F16" s="10">
        <ns0:f>Detail!D383</ns0:f>
        <ns0:v>2</ns0:v>
      </ns0:c>
      <ns0:c r="G16" s="10">
        <ns0:f>Detail!D384</ns0:f>
        <ns0:v>2</ns0:v>
      </ns0:c>
      <ns0:c r="H16" s="10">
        <ns0:f>Detail!D385</ns0:f>
        <ns0:v>1</ns0:v>
      </ns0:c>
      <ns0:c r="I16" s="10">
        <ns0:f>Detail!D386</ns0:f>
        <ns0:v>2</ns0:v>
      </ns0:c>
      <ns0:c r="J16" s="10">
        <ns0:f>Detail!D387</ns0:f>
        <ns0:v>2</ns0:v>
      </ns0:c>
      <ns0:c r="K16" s="10">
        <ns0:f>Detail!D388</ns0:f>
        <ns0:v>1</ns0:v>
      </ns0:c>
      <ns0:c r="L16" s="10">
        <ns0:f>Detail!D389</ns0:f>
        <ns0:v>1</ns0:v>
      </ns0:c>
      <ns0:c r="M16" s="10">
        <ns0:f>Detail!D390</ns0:f>
        <ns0:v>0</ns0:v>
      </ns0:c>
      <ns0:c r="N16" s="10">
        <ns0:f>Detail!D391</ns0:f>
        <ns0:v>1</ns0:v>
      </ns0:c>
      <ns0:c r="O16" s="9" t="inlineStr">
        <ns0:is>
          <ns0:t>-</ns0:t>
        </ns0:is>
      </ns0:c>
      <ns0:c r="P16" s="10">
        <ns0:f>Detail!D392</ns0:f>
        <ns0:v>1</ns0:v>
      </ns0:c>
      <ns0:c r="Q16" s="10">
        <ns0:f>Detail!D393</ns0:f>
        <ns0:v>1</ns0:v>
      </ns0:c>
      <ns0:c r="R16" s="10">
        <ns0:f>Detail!D394</ns0:f>
        <ns0:v>2</ns0:v>
      </ns0:c>
      <ns0:c r="S16" s="10">
        <ns0:f>Detail!D395</ns0:f>
        <ns0:v>2</ns0:v>
      </ns0:c>
      <ns0:c r="T16" s="10">
        <ns0:f>Detail!D396</ns0:f>
        <ns0:v>0</ns0:v>
      </ns0:c>
      <ns0:c r="U16" s="10">
        <ns0:f>Detail!D397</ns0:f>
        <ns0:v>0</ns0:v>
      </ns0:c>
      <ns0:c r="V16" s="10">
        <ns0:f>Detail!D398</ns0:f>
        <ns0:v>2</ns0:v>
      </ns0:c>
      <ns0:c r="W16" s="10">
        <ns0:f>Detail!D399</ns0:f>
        <ns0:v>2</ns0:v>
      </ns0:c>
      <ns0:c r="X16" s="10">
        <ns0:f>Detail!D400</ns0:f>
        <ns0:v>1</ns0:v>
      </ns0:c>
      <ns0:c r="Y16" s="10">
        <ns0:f>Detail!D401</ns0:f>
        <ns0:v>2</ns0:v>
      </ns0:c>
      <ns0:c r="Z16" s="10">
        <ns0:f>Detail!D402</ns0:f>
        <ns0:v>1</ns0:v>
      </ns0:c>
      <ns0:c r="AA16" s="10">
        <ns0:f>Detail!D403</ns0:f>
        <ns0:v>0</ns0:v>
      </ns0:c>
      <ns0:c r="AB16" s="10">
        <ns0:f>Detail!D404</ns0:f>
        <ns0:v>1</ns0:v>
      </ns0:c>
      <ns0:c r="AC16" s="10">
        <ns0:f>Detail!D405</ns0:f>
        <ns0:v>0</ns0:v>
      </ns0:c>
      <ns0:c r="AD16" s="10">
        <ns0:f>Detail!D406</ns0:f>
        <ns0:v>1</ns0:v>
      </ns0:c>
      <ns0:c r="AE16" s="10">
        <ns0:f>Detail!D407</ns0:f>
        <ns0:v>0</ns0:v>
      </ns0:c>
      <ns0:c r="AF16" s="11">
        <ns0:f>SUM(B16:AE16)</ns0:f>
        <ns0:v>32</ns0:v>
      </ns0:c>
    </ns0:row>
    <ns0:row r="17">
      <ns0:c r="A17" s="8" t="inlineStr">
        <ns0:is>
          <ns0:t>Memphis Grizzlies</ns0:t>
        </ns0:is>
      </ns0:c>
      <ns0:c r="B17" s="10">
        <ns0:f>Detail!D408</ns0:f>
        <ns0:v>1</ns0:v>
      </ns0:c>
      <ns0:c r="C17" s="10">
        <ns0:f>Detail!D409</ns0:f>
        <ns0:v>1</ns0:v>
      </ns0:c>
      <ns0:c r="D17" s="10">
        <ns0:f>Detail!D410</ns0:f>
        <ns0:v>2</ns0:v>
      </ns0:c>
      <ns0:c r="E17" s="10">
        <ns0:f>Detail!D411</ns0:f>
        <ns0:v>0</ns0:v>
      </ns0:c>
      <ns0:c r="F17" s="10">
        <ns0:f>Detail!D412</ns0:f>
        <ns0:v>1</ns0:v>
      </ns0:c>
      <ns0:c r="G17" s="10">
        <ns0:f>Detail!D413</ns0:f>
        <ns0:v>2</ns0:v>
      </ns0:c>
      <ns0:c r="H17" s="10">
        <ns0:f>Detail!D414</ns0:f>
        <ns0:v>1</ns0:v>
      </ns0:c>
      <ns0:c r="I17" s="10">
        <ns0:f>Detail!D415</ns0:f>
        <ns0:v>2</ns0:v>
      </ns0:c>
      <ns0:c r="J17" s="10">
        <ns0:f>Detail!D416</ns0:f>
        <ns0:v>0</ns0:v>
      </ns0:c>
      <ns0:c r="K17" s="10">
        <ns0:f>Detail!D417</ns0:f>
        <ns0:v>3</ns0:v>
      </ns0:c>
      <ns0:c r="L17" s="10">
        <ns0:f>Detail!D418</ns0:f>
        <ns0:v>3</ns0:v>
      </ns0:c>
      <ns0:c r="M17" s="10">
        <ns0:f>Detail!D419</ns0:f>
        <ns0:v>1</ns0:v>
      </ns0:c>
      <ns0:c r="N17" s="10">
        <ns0:f>Detail!D420</ns0:f>
        <ns0:v>3</ns0:v>
      </ns0:c>
      <ns0:c r="O17" s="10">
        <ns0:f>Detail!D421</ns0:f>
        <ns0:v>3</ns0:v>
      </ns0:c>
      <ns0:c r="P17" s="9" t="inlineStr">
        <ns0:is>
          <ns0:t>-</ns0:t>
        </ns0:is>
      </ns0:c>
      <ns0:c r="Q17" s="10">
        <ns0:f>Detail!D422</ns0:f>
        <ns0:v>0</ns0:v>
      </ns0:c>
      <ns0:c r="R17" s="10">
        <ns0:f>Detail!D423</ns0:f>
        <ns0:v>0</ns0:v>
      </ns0:c>
      <ns0:c r="S17" s="10">
        <ns0:f>Detail!D424</ns0:f>
        <ns0:v>1</ns0:v>
      </ns0:c>
      <ns0:c r="T17" s="10">
        <ns0:f>Detail!D425</ns0:f>
        <ns0:v>0</ns0:v>
      </ns0:c>
      <ns0:c r="U17" s="10">
        <ns0:f>Detail!D426</ns0:f>
        <ns0:v>2</ns0:v>
      </ns0:c>
      <ns0:c r="V17" s="10">
        <ns0:f>Detail!D427</ns0:f>
        <ns0:v>4</ns0:v>
      </ns0:c>
      <ns0:c r="W17" s="10">
        <ns0:f>Detail!D428</ns0:f>
        <ns0:v>0</ns0:v>
      </ns0:c>
      <ns0:c r="X17" s="10">
        <ns0:f>Detail!D429</ns0:f>
        <ns0:v>0</ns0:v>
      </ns0:c>
      <ns0:c r="Y17" s="10">
        <ns0:f>Detail!D430</ns0:f>
        <ns0:v>0</ns0:v>
      </ns0:c>
      <ns0:c r="Z17" s="10">
        <ns0:f>Detail!D431</ns0:f>
        <ns0:v>1</ns0:v>
      </ns0:c>
      <ns0:c r="AA17" s="10">
        <ns0:f>Detail!D432</ns0:f>
        <ns0:v>2</ns0:v>
      </ns0:c>
      <ns0:c r="AB17" s="10">
        <ns0:f>Detail!D433</ns0:f>
        <ns0:v>1</ns0:v>
      </ns0:c>
      <ns0:c r="AC17" s="10">
        <ns0:f>Detail!D434</ns0:f>
        <ns0:v>0</ns0:v>
      </ns0:c>
      <ns0:c r="AD17" s="10">
        <ns0:f>Detail!D435</ns0:f>
        <ns0:v>0</ns0:v>
      </ns0:c>
      <ns0:c r="AE17" s="10">
        <ns0:f>Detail!D436</ns0:f>
        <ns0:v>0</ns0:v>
      </ns0:c>
      <ns0:c r="AF17" s="11">
        <ns0:f>SUM(B17:AE17)</ns0:f>
        <ns0:v>34</ns0:v>
      </ns0:c>
    </ns0:row>
    <ns0:row r="18">
      <ns0:c r="A18" s="8" t="inlineStr">
        <ns0:is>
          <ns0:t>Miami Heat</ns0:t>
        </ns0:is>
      </ns0:c>
      <ns0:c r="B18" s="10">
        <ns0:f>Detail!D437</ns0:f>
        <ns0:v>2</ns0:v>
      </ns0:c>
      <ns0:c r="C18" s="10">
        <ns0:f>Detail!D438</ns0:f>
        <ns0:v>3</ns0:v>
      </ns0:c>
      <ns0:c r="D18" s="10">
        <ns0:f>Detail!D439</ns0:f>
        <ns0:v>1</ns0:v>
      </ns0:c>
      <ns0:c r="E18" s="10">
        <ns0:f>Detail!D440</ns0:f>
        <ns0:v>1</ns0:v>
      </ns0:c>
      <ns0:c r="F18" s="10">
        <ns0:f>Detail!D441</ns0:f>
        <ns0:v>3</ns0:v>
      </ns0:c>
      <ns0:c r="G18" s="10">
        <ns0:f>Detail!D442</ns0:f>
        <ns0:v>2</ns0:v>
      </ns0:c>
      <ns0:c r="H18" s="10">
        <ns0:f>Detail!D443</ns0:f>
        <ns0:v>1</ns0:v>
      </ns0:c>
      <ns0:c r="I18" s="10">
        <ns0:f>Detail!D444</ns0:f>
        <ns0:v>2</ns0:v>
      </ns0:c>
      <ns0:c r="J18" s="10">
        <ns0:f>Detail!D445</ns0:f>
        <ns0:v>3</ns0:v>
      </ns0:c>
      <ns0:c r="K18" s="10">
        <ns0:f>Detail!D446</ns0:f>
        <ns0:v>0</ns0:v>
      </ns0:c>
      <ns0:c r="L18" s="10">
        <ns0:f>Detail!D447</ns0:f>
        <ns0:v>1</ns0:v>
      </ns0:c>
      <ns0:c r="M18" s="10">
        <ns0:f>Detail!D448</ns0:f>
        <ns0:v>2</ns0:v>
      </ns0:c>
      <ns0:c r="N18" s="10">
        <ns0:f>Detail!D449</ns0:f>
        <ns0:v>2</ns0:v>
      </ns0:c>
      <ns0:c r="O18" s="10">
        <ns0:f>Detail!D450</ns0:f>
        <ns0:v>1</ns0:v>
      </ns0:c>
      <ns0:c r="P18" s="10">
        <ns0:f>Detail!D451</ns0:f>
        <ns0:v>2</ns0:v>
      </ns0:c>
      <ns0:c r="Q18" s="9" t="inlineStr">
        <ns0:is>
          <ns0:t>-</ns0:t>
        </ns0:is>
      </ns0:c>
      <ns0:c r="R18" s="10">
        <ns0:f>Detail!D452</ns0:f>
        <ns0:v>4</ns0:v>
      </ns0:c>
      <ns0:c r="S18" s="10">
        <ns0:f>Detail!D453</ns0:f>
        <ns0:v>1</ns0:v>
      </ns0:c>
      <ns0:c r="T18" s="10">
        <ns0:f>Detail!D454</ns0:f>
        <ns0:v>0</ns0:v>
      </ns0:c>
      <ns0:c r="U18" s="10">
        <ns0:f>Detail!D455</ns0:f>
        <ns0:v>3</ns0:v>
      </ns0:c>
      <ns0:c r="V18" s="10">
        <ns0:f>Detail!D456</ns0:f>
        <ns0:v>2</ns0:v>
      </ns0:c>
      <ns0:c r="W18" s="10">
        <ns0:f>Detail!D457</ns0:f>
        <ns0:v>2</ns0:v>
      </ns0:c>
      <ns0:c r="X18" s="10">
        <ns0:f>Detail!D458</ns0:f>
        <ns0:v>0</ns0:v>
      </ns0:c>
      <ns0:c r="Y18" s="10">
        <ns0:f>Detail!D459</ns0:f>
        <ns0:v>1</ns0:v>
      </ns0:c>
      <ns0:c r="Z18" s="10">
        <ns0:f>Detail!D460</ns0:f>
        <ns0:v>1</ns0:v>
      </ns0:c>
      <ns0:c r="AA18" s="10">
        <ns0:f>Detail!D461</ns0:f>
        <ns0:v>2</ns0:v>
      </ns0:c>
      <ns0:c r="AB18" s="10">
        <ns0:f>Detail!D462</ns0:f>
        <ns0:v>0</ns0:v>
      </ns0:c>
      <ns0:c r="AC18" s="10">
        <ns0:f>Detail!D463</ns0:f>
        <ns0:v>1</ns0:v>
      </ns0:c>
      <ns0:c r="AD18" s="10">
        <ns0:f>Detail!D464</ns0:f>
        <ns0:v>1</ns0:v>
      </ns0:c>
      <ns0:c r="AE18" s="10">
        <ns0:f>Detail!D465</ns0:f>
        <ns0:v>1</ns0:v>
      </ns0:c>
      <ns0:c r="AF18" s="11">
        <ns0:f>SUM(B18:AE18)</ns0:f>
        <ns0:v>45</ns0:v>
      </ns0:c>
    </ns0:row>
    <ns0:row r="19">
      <ns0:c r="A19" s="8" t="inlineStr">
        <ns0:is>
          <ns0:t>Milwaukee Bucks</ns0:t>
        </ns0:is>
      </ns0:c>
      <ns0:c r="B19" s="10">
        <ns0:f>Detail!D466</ns0:f>
        <ns0:v>3</ns0:v>
      </ns0:c>
      <ns0:c r="C19" s="10">
        <ns0:f>Detail!D467</ns0:f>
        <ns0:v>3</ns0:v>
      </ns0:c>
      <ns0:c r="D19" s="10">
        <ns0:f>Detail!D468</ns0:f>
        <ns0:v>3</ns0:v>
      </ns0:c>
      <ns0:c r="E19" s="10">
        <ns0:f>Detail!D469</ns0:f>
        <ns0:v>1</ns0:v>
      </ns0:c>
      <ns0:c r="F19" s="10">
        <ns0:f>Detail!D470</ns0:f>
        <ns0:v>2</ns0:v>
      </ns0:c>
      <ns0:c r="G19" s="10">
        <ns0:f>Detail!D471</ns0:f>
        <ns0:v>4</ns0:v>
      </ns0:c>
      <ns0:c r="H19" s="10">
        <ns0:f>Detail!D472</ns0:f>
        <ns0:v>0</ns0:v>
      </ns0:c>
      <ns0:c r="I19" s="10">
        <ns0:f>Detail!D473</ns0:f>
        <ns0:v>1</ns0:v>
      </ns0:c>
      <ns0:c r="J19" s="10">
        <ns0:f>Detail!D474</ns0:f>
        <ns0:v>0</ns0:v>
      </ns0:c>
      <ns0:c r="K19" s="10">
        <ns0:f>Detail!D475</ns0:f>
        <ns0:v>2</ns0:v>
      </ns0:c>
      <ns0:c r="L19" s="10">
        <ns0:f>Detail!D476</ns0:f>
        <ns0:v>1</ns0:v>
      </ns0:c>
      <ns0:c r="M19" s="10">
        <ns0:f>Detail!D477</ns0:f>
        <ns0:v>1</ns0:v>
      </ns0:c>
      <ns0:c r="N19" s="10">
        <ns0:f>Detail!D478</ns0:f>
        <ns0:v>1</ns0:v>
      </ns0:c>
      <ns0:c r="O19" s="10">
        <ns0:f>Detail!D479</ns0:f>
        <ns0:v>0</ns0:v>
      </ns0:c>
      <ns0:c r="P19" s="10">
        <ns0:f>Detail!D480</ns0:f>
        <ns0:v>2</ns0:v>
      </ns0:c>
      <ns0:c r="Q19" s="10">
        <ns0:f>Detail!D481</ns0:f>
        <ns0:v>0</ns0:v>
      </ns0:c>
      <ns0:c r="R19" s="9" t="inlineStr">
        <ns0:is>
          <ns0:t>-</ns0:t>
        </ns0:is>
      </ns0:c>
      <ns0:c r="S19" s="10">
        <ns0:f>Detail!D482</ns0:f>
        <ns0:v>0</ns0:v>
      </ns0:c>
      <ns0:c r="T19" s="10">
        <ns0:f>Detail!D483</ns0:f>
        <ns0:v>0</ns0:v>
      </ns0:c>
      <ns0:c r="U19" s="10">
        <ns0:f>Detail!D484</ns0:f>
        <ns0:v>3</ns0:v>
      </ns0:c>
      <ns0:c r="V19" s="10">
        <ns0:f>Detail!D485</ns0:f>
        <ns0:v>2</ns0:v>
      </ns0:c>
      <ns0:c r="W19" s="10">
        <ns0:f>Detail!D486</ns0:f>
        <ns0:v>1</ns0:v>
      </ns0:c>
      <ns0:c r="X19" s="10">
        <ns0:f>Detail!D487</ns0:f>
        <ns0:v>0</ns0:v>
      </ns0:c>
      <ns0:c r="Y19" s="10">
        <ns0:f>Detail!D488</ns0:f>
        <ns0:v>1</ns0:v>
      </ns0:c>
      <ns0:c r="Z19" s="10">
        <ns0:f>Detail!D489</ns0:f>
        <ns0:v>2</ns0:v>
      </ns0:c>
      <ns0:c r="AA19" s="10">
        <ns0:f>Detail!D490</ns0:f>
        <ns0:v>0</ns0:v>
      </ns0:c>
      <ns0:c r="AB19" s="10">
        <ns0:f>Detail!D491</ns0:f>
        <ns0:v>1</ns0:v>
      </ns0:c>
      <ns0:c r="AC19" s="10">
        <ns0:f>Detail!D492</ns0:f>
        <ns0:v>0</ns0:v>
      </ns0:c>
      <ns0:c r="AD19" s="10">
        <ns0:f>Detail!D493</ns0:f>
        <ns0:v>0</ns0:v>
      </ns0:c>
      <ns0:c r="AE19" s="10">
        <ns0:f>Detail!D494</ns0:f>
        <ns0:v>0</ns0:v>
      </ns0:c>
      <ns0:c r="AF19" s="11">
        <ns0:f>SUM(B19:AE19)</ns0:f>
        <ns0:v>34</ns0:v>
      </ns0:c>
    </ns0:row>
    <ns0:row r="20">
      <ns0:c r="A20" s="8" t="inlineStr">
        <ns0:is>
          <ns0:t>Minnesota Timberwolves</ns0:t>
        </ns0:is>
      </ns0:c>
      <ns0:c r="B20" s="10">
        <ns0:f>Detail!D495</ns0:f>
        <ns0:v>1</ns0:v>
      </ns0:c>
      <ns0:c r="C20" s="10">
        <ns0:f>Detail!D496</ns0:f>
        <ns0:v>2</ns0:v>
      </ns0:c>
      <ns0:c r="D20" s="10">
        <ns0:f>Detail!D497</ns0:f>
        <ns0:v>0</ns0:v>
      </ns0:c>
      <ns0:c r="E20" s="10">
        <ns0:f>Detail!D498</ns0:f>
        <ns0:v>0</ns0:v>
      </ns0:c>
      <ns0:c r="F20" s="10">
        <ns0:f>Detail!D499</ns0:f>
        <ns0:v>0</ns0:v>
      </ns0:c>
      <ns0:c r="G20" s="10">
        <ns0:f>Detail!D500</ns0:f>
        <ns0:v>2</ns0:v>
      </ns0:c>
      <ns0:c r="H20" s="10">
        <ns0:f>Detail!D501</ns0:f>
        <ns0:v>1</ns0:v>
      </ns0:c>
      <ns0:c r="I20" s="10">
        <ns0:f>Detail!D502</ns0:f>
        <ns0:v>0</ns0:v>
      </ns0:c>
      <ns0:c r="J20" s="10">
        <ns0:f>Detail!D503</ns0:f>
        <ns0:v>1</ns0:v>
      </ns0:c>
      <ns0:c r="K20" s="10">
        <ns0:f>Detail!D504</ns0:f>
        <ns0:v>3</ns0:v>
      </ns0:c>
      <ns0:c r="L20" s="10">
        <ns0:f>Detail!D505</ns0:f>
        <ns0:v>2</ns0:v>
      </ns0:c>
      <ns0:c r="M20" s="10">
        <ns0:f>Detail!D506</ns0:f>
        <ns0:v>2</ns0:v>
      </ns0:c>
      <ns0:c r="N20" s="10">
        <ns0:f>Detail!D507</ns0:f>
        <ns0:v>0</ns0:v>
      </ns0:c>
      <ns0:c r="O20" s="10">
        <ns0:f>Detail!D508</ns0:f>
        <ns0:v>2</ns0:v>
      </ns0:c>
      <ns0:c r="P20" s="10">
        <ns0:f>Detail!D509</ns0:f>
        <ns0:v>2</ns0:v>
      </ns0:c>
      <ns0:c r="Q20" s="10">
        <ns0:f>Detail!D510</ns0:f>
        <ns0:v>1</ns0:v>
      </ns0:c>
      <ns0:c r="R20" s="10">
        <ns0:f>Detail!D511</ns0:f>
        <ns0:v>2</ns0:v>
      </ns0:c>
      <ns0:c r="S20" s="9" t="inlineStr">
        <ns0:is>
          <ns0:t>-</ns0:t>
        </ns0:is>
      </ns0:c>
      <ns0:c r="T20" s="10">
        <ns0:f>Detail!D512</ns0:f>
        <ns0:v>1</ns0:v>
      </ns0:c>
      <ns0:c r="U20" s="10">
        <ns0:f>Detail!D513</ns0:f>
        <ns0:v>1</ns0:v>
      </ns0:c>
      <ns0:c r="V20" s="10">
        <ns0:f>Detail!D514</ns0:f>
        <ns0:v>2</ns0:v>
      </ns0:c>
      <ns0:c r="W20" s="10">
        <ns0:f>Detail!D515</ns0:f>
        <ns0:v>0</ns0:v>
      </ns0:c>
      <ns0:c r="X20" s="10">
        <ns0:f>Detail!D516</ns0:f>
        <ns0:v>0</ns0:v>
      </ns0:c>
      <ns0:c r="Y20" s="10">
        <ns0:f>Detail!D517</ns0:f>
        <ns0:v>0</ns0:v>
      </ns0:c>
      <ns0:c r="Z20" s="10">
        <ns0:f>Detail!D518</ns0:f>
        <ns0:v>2</ns0:v>
      </ns0:c>
      <ns0:c r="AA20" s="10">
        <ns0:f>Detail!D519</ns0:f>
        <ns0:v>2</ns0:v>
      </ns0:c>
      <ns0:c r="AB20" s="10">
        <ns0:f>Detail!D520</ns0:f>
        <ns0:v>1</ns0:v>
      </ns0:c>
      <ns0:c r="AC20" s="10">
        <ns0:f>Detail!D521</ns0:f>
        <ns0:v>1</ns0:v>
      </ns0:c>
      <ns0:c r="AD20" s="10">
        <ns0:f>Detail!D522</ns0:f>
        <ns0:v>1</ns0:v>
      </ns0:c>
      <ns0:c r="AE20" s="10">
        <ns0:f>Detail!D523</ns0:f>
        <ns0:v>1</ns0:v>
      </ns0:c>
      <ns0:c r="AF20" s="11">
        <ns0:f>SUM(B20:AE20)</ns0:f>
        <ns0:v>33</ns0:v>
      </ns0:c>
    </ns0:row>
    <ns0:row r="21">
      <ns0:c r="A21" s="8" t="inlineStr">
        <ns0:is>
          <ns0:t>New Orleans Pelicans</ns0:t>
        </ns0:is>
      </ns0:c>
      <ns0:c r="B21" s="10">
        <ns0:f>Detail!D524</ns0:f>
        <ns0:v>2</ns0:v>
      </ns0:c>
      <ns0:c r="C21" s="10">
        <ns0:f>Detail!D525</ns0:f>
        <ns0:v>2</ns0:v>
      </ns0:c>
      <ns0:c r="D21" s="10">
        <ns0:f>Detail!D526</ns0:f>
        <ns0:v>2</ns0:v>
      </ns0:c>
      <ns0:c r="E21" s="10">
        <ns0:f>Detail!D527</ns0:f>
        <ns0:v>1</ns0:v>
      </ns0:c>
      <ns0:c r="F21" s="10">
        <ns0:f>Detail!D528</ns0:f>
        <ns0:v>0</ns0:v>
      </ns0:c>
      <ns0:c r="G21" s="10">
        <ns0:f>Detail!D529</ns0:f>
        <ns0:v>2</ns0:v>
      </ns0:c>
      <ns0:c r="H21" s="10">
        <ns0:f>Detail!D530</ns0:f>
        <ns0:v>3</ns0:v>
      </ns0:c>
      <ns0:c r="I21" s="10">
        <ns0:f>Detail!D531</ns0:f>
        <ns0:v>3</ns0:v>
      </ns0:c>
      <ns0:c r="J21" s="10">
        <ns0:f>Detail!D532</ns0:f>
        <ns0:v>2</ns0:v>
      </ns0:c>
      <ns0:c r="K21" s="10">
        <ns0:f>Detail!D533</ns0:f>
        <ns0:v>4</ns0:v>
      </ns0:c>
      <ns0:c r="L21" s="10">
        <ns0:f>Detail!D534</ns0:f>
        <ns0:v>4</ns0:v>
      </ns0:c>
      <ns0:c r="M21" s="10">
        <ns0:f>Detail!D535</ns0:f>
        <ns0:v>2</ns0:v>
      </ns0:c>
      <ns0:c r="N21" s="10">
        <ns0:f>Detail!D536</ns0:f>
        <ns0:v>2</ns0:v>
      </ns0:c>
      <ns0:c r="O21" s="10">
        <ns0:f>Detail!D537</ns0:f>
        <ns0:v>3</ns0:v>
      </ns0:c>
      <ns0:c r="P21" s="10">
        <ns0:f>Detail!D538</ns0:f>
        <ns0:v>4</ns0:v>
      </ns0:c>
      <ns0:c r="Q21" s="10">
        <ns0:f>Detail!D539</ns0:f>
        <ns0:v>2</ns0:v>
      </ns0:c>
      <ns0:c r="R21" s="10">
        <ns0:f>Detail!D540</ns0:f>
        <ns0:v>2</ns0:v>
      </ns0:c>
      <ns0:c r="S21" s="10">
        <ns0:f>Detail!D541</ns0:f>
        <ns0:v>2</ns0:v>
      </ns0:c>
      <ns0:c r="T21" s="9" t="inlineStr">
        <ns0:is>
          <ns0:t>-</ns0:t>
        </ns0:is>
      </ns0:c>
      <ns0:c r="U21" s="10">
        <ns0:f>Detail!D542</ns0:f>
        <ns0:v>2</ns0:v>
      </ns0:c>
      <ns0:c r="V21" s="10">
        <ns0:f>Detail!D543</ns0:f>
        <ns0:v>4</ns0:v>
      </ns0:c>
      <ns0:c r="W21" s="10">
        <ns0:f>Detail!D544</ns0:f>
        <ns0:v>2</ns0:v>
      </ns0:c>
      <ns0:c r="X21" s="10">
        <ns0:f>Detail!D545</ns0:f>
        <ns0:v>0</ns0:v>
      </ns0:c>
      <ns0:c r="Y21" s="10">
        <ns0:f>Detail!D546</ns0:f>
        <ns0:v>1</ns0:v>
      </ns0:c>
      <ns0:c r="Z21" s="10">
        <ns0:f>Detail!D547</ns0:f>
        <ns0:v>3</ns0:v>
      </ns0:c>
      <ns0:c r="AA21" s="10">
        <ns0:f>Detail!D548</ns0:f>
        <ns0:v>3</ns0:v>
      </ns0:c>
      <ns0:c r="AB21" s="10">
        <ns0:f>Detail!D549</ns0:f>
        <ns0:v>2</ns0:v>
      </ns0:c>
      <ns0:c r="AC21" s="10">
        <ns0:f>Detail!D550</ns0:f>
        <ns0:v>2</ns0:v>
      </ns0:c>
      <ns0:c r="AD21" s="10">
        <ns0:f>Detail!D551</ns0:f>
        <ns0:v>0</ns0:v>
      </ns0:c>
      <ns0:c r="AE21" s="10">
        <ns0:f>Detail!D552</ns0:f>
        <ns0:v>0</ns0:v>
      </ns0:c>
      <ns0:c r="AF21" s="11">
        <ns0:f>SUM(B21:AE21)</ns0:f>
        <ns0:v>61</ns0:v>
      </ns0:c>
    </ns0:row>
    <ns0:row r="22">
      <ns0:c r="A22" s="8" t="inlineStr">
        <ns0:is>
          <ns0:t>New York Knicks</ns0:t>
        </ns0:is>
      </ns0:c>
      <ns0:c r="B22" s="10">
        <ns0:f>Detail!D553</ns0:f>
        <ns0:v>2</ns0:v>
      </ns0:c>
      <ns0:c r="C22" s="10">
        <ns0:f>Detail!D554</ns0:f>
        <ns0:v>4</ns0:v>
      </ns0:c>
      <ns0:c r="D22" s="10">
        <ns0:f>Detail!D555</ns0:f>
        <ns0:v>0</ns0:v>
      </ns0:c>
      <ns0:c r="E22" s="10">
        <ns0:f>Detail!D556</ns0:f>
        <ns0:v>1</ns0:v>
      </ns0:c>
      <ns0:c r="F22" s="10">
        <ns0:f>Detail!D557</ns0:f>
        <ns0:v>2</ns0:v>
      </ns0:c>
      <ns0:c r="G22" s="10">
        <ns0:f>Detail!D558</ns0:f>
        <ns0:v>4</ns0:v>
      </ns0:c>
      <ns0:c r="H22" s="10">
        <ns0:f>Detail!D559</ns0:f>
        <ns0:v>1</ns0:v>
      </ns0:c>
      <ns0:c r="I22" s="10">
        <ns0:f>Detail!D560</ns0:f>
        <ns0:v>0</ns0:v>
      </ns0:c>
      <ns0:c r="J22" s="10">
        <ns0:f>Detail!D561</ns0:f>
        <ns0:v>3</ns0:v>
      </ns0:c>
      <ns0:c r="K22" s="10">
        <ns0:f>Detail!D562</ns0:f>
        <ns0:v>2</ns0:v>
      </ns0:c>
      <ns0:c r="L22" s="10">
        <ns0:f>Detail!D563</ns0:f>
        <ns0:v>1</ns0:v>
      </ns0:c>
      <ns0:c r="M22" s="10">
        <ns0:f>Detail!D564</ns0:f>
        <ns0:v>1</ns0:v>
      </ns0:c>
      <ns0:c r="N22" s="10">
        <ns0:f>Detail!D565</ns0:f>
        <ns0:v>2</ns0:v>
      </ns0:c>
      <ns0:c r="O22" s="10">
        <ns0:f>Detail!D566</ns0:f>
        <ns0:v>2</ns0:v>
      </ns0:c>
      <ns0:c r="P22" s="10">
        <ns0:f>Detail!D567</ns0:f>
        <ns0:v>0</ns0:v>
      </ns0:c>
      <ns0:c r="Q22" s="10">
        <ns0:f>Detail!D568</ns0:f>
        <ns0:v>0</ns0:v>
      </ns0:c>
      <ns0:c r="R22" s="10">
        <ns0:f>Detail!D569</ns0:f>
        <ns0:v>0</ns0:v>
      </ns0:c>
      <ns0:c r="S22" s="10">
        <ns0:f>Detail!D570</ns0:f>
        <ns0:v>1</ns0:v>
      </ns0:c>
      <ns0:c r="T22" s="10">
        <ns0:f>Detail!D571</ns0:f>
        <ns0:v>0</ns0:v>
      </ns0:c>
      <ns0:c r="U22" s="9" t="inlineStr">
        <ns0:is>
          <ns0:t>-</ns0:t>
        </ns0:is>
      </ns0:c>
      <ns0:c r="V22" s="10">
        <ns0:f>Detail!D572</ns0:f>
        <ns0:v>2</ns0:v>
      </ns0:c>
      <ns0:c r="W22" s="10">
        <ns0:f>Detail!D573</ns0:f>
        <ns0:v>1</ns0:v>
      </ns0:c>
      <ns0:c r="X22" s="10">
        <ns0:f>Detail!D574</ns0:f>
        <ns0:v>0</ns0:v>
      </ns0:c>
      <ns0:c r="Y22" s="10">
        <ns0:f>Detail!D575</ns0:f>
        <ns0:v>0</ns0:v>
      </ns0:c>
      <ns0:c r="Z22" s="10">
        <ns0:f>Detail!D576</ns0:f>
        <ns0:v>0</ns0:v>
      </ns0:c>
      <ns0:c r="AA22" s="10">
        <ns0:f>Detail!D577</ns0:f>
        <ns0:v>0</ns0:v>
      </ns0:c>
      <ns0:c r="AB22" s="10">
        <ns0:f>Detail!D578</ns0:f>
        <ns0:v>1</ns0:v>
      </ns0:c>
      <ns0:c r="AC22" s="10">
        <ns0:f>Detail!D579</ns0:f>
        <ns0:v>0</ns0:v>
      </ns0:c>
      <ns0:c r="AD22" s="10">
        <ns0:f>Detail!D580</ns0:f>
        <ns0:v>1</ns0:v>
      </ns0:c>
      <ns0:c r="AE22" s="10">
        <ns0:f>Detail!D581</ns0:f>
        <ns0:v>0</ns0:v>
      </ns0:c>
      <ns0:c r="AF22" s="11">
        <ns0:f>SUM(B22:AE22)</ns0:f>
        <ns0:v>31</ns0:v>
      </ns0:c>
    </ns0:row>
    <ns0:row r="23">
      <ns0:c r="A23" s="8" t="inlineStr">
        <ns0:is>
          <ns0:t>Oklahoma City Thunder</ns0:t>
        </ns0:is>
      </ns0:c>
      <ns0:c r="B23" s="10">
        <ns0:f>Detail!D582</ns0:f>
        <ns0:v>0</ns0:v>
      </ns0:c>
      <ns0:c r="C23" s="10">
        <ns0:f>Detail!D583</ns0:f>
        <ns0:v>0</ns0:v>
      </ns0:c>
      <ns0:c r="D23" s="10">
        <ns0:f>Detail!D584</ns0:f>
        <ns0:v>0</ns0:v>
      </ns0:c>
      <ns0:c r="E23" s="10">
        <ns0:f>Detail!D585</ns0:f>
        <ns0:v>0</ns0:v>
      </ns0:c>
      <ns0:c r="F23" s="10">
        <ns0:f>Detail!D586</ns0:f>
        <ns0:v>0</ns0:v>
      </ns0:c>
      <ns0:c r="G23" s="10">
        <ns0:f>Detail!D587</ns0:f>
        <ns0:v>1</ns0:v>
      </ns0:c>
      <ns0:c r="H23" s="10">
        <ns0:f>Detail!D588</ns0:f>
        <ns0:v>3</ns0:v>
      </ns0:c>
      <ns0:c r="I23" s="10">
        <ns0:f>Detail!D589</ns0:f>
        <ns0:v>2</ns0:v>
      </ns0:c>
      <ns0:c r="J23" s="10">
        <ns0:f>Detail!D590</ns0:f>
        <ns0:v>0</ns0:v>
      </ns0:c>
      <ns0:c r="K23" s="10">
        <ns0:f>Detail!D591</ns0:f>
        <ns0:v>2</ns0:v>
      </ns0:c>
      <ns0:c r="L23" s="10">
        <ns0:f>Detail!D592</ns0:f>
        <ns0:v>2</ns0:v>
      </ns0:c>
      <ns0:c r="M23" s="10">
        <ns0:f>Detail!D593</ns0:f>
        <ns0:v>0</ns0:v>
      </ns0:c>
      <ns0:c r="N23" s="10">
        <ns0:f>Detail!D594</ns0:f>
        <ns0:v>0</ns0:v>
      </ns0:c>
      <ns0:c r="O23" s="10">
        <ns0:f>Detail!D595</ns0:f>
        <ns0:v>1</ns0:v>
      </ns0:c>
      <ns0:c r="P23" s="10">
        <ns0:f>Detail!D596</ns0:f>
        <ns0:v>0</ns0:v>
      </ns0:c>
      <ns0:c r="Q23" s="10">
        <ns0:f>Detail!D597</ns0:f>
        <ns0:v>0</ns0:v>
      </ns0:c>
      <ns0:c r="R23" s="10">
        <ns0:f>Detail!D598</ns0:f>
        <ns0:v>0</ns0:v>
      </ns0:c>
      <ns0:c r="S23" s="10">
        <ns0:f>Detail!D599</ns0:f>
        <ns0:v>2</ns0:v>
      </ns0:c>
      <ns0:c r="T23" s="10">
        <ns0:f>Detail!D600</ns0:f>
        <ns0:v>0</ns0:v>
      </ns0:c>
      <ns0:c r="U23" s="10">
        <ns0:f>Detail!D601</ns0:f>
        <ns0:v>0</ns0:v>
      </ns0:c>
      <ns0:c r="V23" s="9" t="inlineStr">
        <ns0:is>
          <ns0:t>-</ns0:t>
        </ns0:is>
      </ns0:c>
      <ns0:c r="W23" s="10">
        <ns0:f>Detail!D602</ns0:f>
        <ns0:v>0</ns0:v>
      </ns0:c>
      <ns0:c r="X23" s="10">
        <ns0:f>Detail!D603</ns0:f>
        <ns0:v>0</ns0:v>
      </ns0:c>
      <ns0:c r="Y23" s="10">
        <ns0:f>Detail!D604</ns0:f>
        <ns0:v>0</ns0:v>
      </ns0:c>
      <ns0:c r="Z23" s="10">
        <ns0:f>Detail!D605</ns0:f>
        <ns0:v>0</ns0:v>
      </ns0:c>
      <ns0:c r="AA23" s="10">
        <ns0:f>Detail!D606</ns0:f>
        <ns0:v>0</ns0:v>
      </ns0:c>
      <ns0:c r="AB23" s="10">
        <ns0:f>Detail!D607</ns0:f>
        <ns0:v>1</ns0:v>
      </ns0:c>
      <ns0:c r="AC23" s="10">
        <ns0:f>Detail!D608</ns0:f>
        <ns0:v>0</ns0:v>
      </ns0:c>
      <ns0:c r="AD23" s="10">
        <ns0:f>Detail!D609</ns0:f>
        <ns0:v>0</ns0:v>
      </ns0:c>
      <ns0:c r="AE23" s="10">
        <ns0:f>Detail!D610</ns0:f>
        <ns0:v>0</ns0:v>
      </ns0:c>
      <ns0:c r="AF23" s="11">
        <ns0:f>SUM(B23:AE23)</ns0:f>
        <ns0:v>14</ns0:v>
      </ns0:c>
    </ns0:row>
    <ns0:row r="24">
      <ns0:c r="A24" s="8" t="inlineStr">
        <ns0:is>
          <ns0:t>Orlando Magic</ns0:t>
        </ns0:is>
      </ns0:c>
      <ns0:c r="B24" s="10">
        <ns0:f>Detail!D611</ns0:f>
        <ns0:v>2</ns0:v>
      </ns0:c>
      <ns0:c r="C24" s="10">
        <ns0:f>Detail!D612</ns0:f>
        <ns0:v>1</ns0:v>
      </ns0:c>
      <ns0:c r="D24" s="10">
        <ns0:f>Detail!D613</ns0:f>
        <ns0:v>0</ns0:v>
      </ns0:c>
      <ns0:c r="E24" s="10">
        <ns0:f>Detail!D614</ns0:f>
        <ns0:v>0</ns0:v>
      </ns0:c>
      <ns0:c r="F24" s="10">
        <ns0:f>Detail!D615</ns0:f>
        <ns0:v>2</ns0:v>
      </ns0:c>
      <ns0:c r="G24" s="10">
        <ns0:f>Detail!D616</ns0:f>
        <ns0:v>2</ns0:v>
      </ns0:c>
      <ns0:c r="H24" s="10">
        <ns0:f>Detail!D617</ns0:f>
        <ns0:v>2</ns0:v>
      </ns0:c>
      <ns0:c r="I24" s="10">
        <ns0:f>Detail!D618</ns0:f>
        <ns0:v>2</ns0:v>
      </ns0:c>
      <ns0:c r="J24" s="10">
        <ns0:f>Detail!D619</ns0:f>
        <ns0:v>1</ns0:v>
      </ns0:c>
      <ns0:c r="K24" s="10">
        <ns0:f>Detail!D620</ns0:f>
        <ns0:v>2</ns0:v>
      </ns0:c>
      <ns0:c r="L24" s="10">
        <ns0:f>Detail!D621</ns0:f>
        <ns0:v>2</ns0:v>
      </ns0:c>
      <ns0:c r="M24" s="10">
        <ns0:f>Detail!D622</ns0:f>
        <ns0:v>1</ns0:v>
      </ns0:c>
      <ns0:c r="N24" s="10">
        <ns0:f>Detail!D623</ns0:f>
        <ns0:v>2</ns0:v>
      </ns0:c>
      <ns0:c r="O24" s="10">
        <ns0:f>Detail!D624</ns0:f>
        <ns0:v>0</ns0:v>
      </ns0:c>
      <ns0:c r="P24" s="10">
        <ns0:f>Detail!D625</ns0:f>
        <ns0:v>2</ns0:v>
      </ns0:c>
      <ns0:c r="Q24" s="10">
        <ns0:f>Detail!D626</ns0:f>
        <ns0:v>2</ns0:v>
      </ns0:c>
      <ns0:c r="R24" s="10">
        <ns0:f>Detail!D627</ns0:f>
        <ns0:v>3</ns0:v>
      </ns0:c>
      <ns0:c r="S24" s="10">
        <ns0:f>Detail!D628</ns0:f>
        <ns0:v>2</ns0:v>
      </ns0:c>
      <ns0:c r="T24" s="10">
        <ns0:f>Detail!D629</ns0:f>
        <ns0:v>0</ns0:v>
      </ns0:c>
      <ns0:c r="U24" s="10">
        <ns0:f>Detail!D630</ns0:f>
        <ns0:v>3</ns0:v>
      </ns0:c>
      <ns0:c r="V24" s="10">
        <ns0:f>Detail!D631</ns0:f>
        <ns0:v>2</ns0:v>
      </ns0:c>
      <ns0:c r="W24" s="9" t="inlineStr">
        <ns0:is>
          <ns0:t>-</ns0:t>
        </ns0:is>
      </ns0:c>
      <ns0:c r="X24" s="10">
        <ns0:f>Detail!D632</ns0:f>
        <ns0:v>1</ns0:v>
      </ns0:c>
      <ns0:c r="Y24" s="10">
        <ns0:f>Detail!D633</ns0:f>
        <ns0:v>0</ns0:v>
      </ns0:c>
      <ns0:c r="Z24" s="10">
        <ns0:f>Detail!D634</ns0:f>
        <ns0:v>2</ns0:v>
      </ns0:c>
      <ns0:c r="AA24" s="10">
        <ns0:f>Detail!D635</ns0:f>
        <ns0:v>0</ns0:v>
      </ns0:c>
      <ns0:c r="AB24" s="10">
        <ns0:f>Detail!D636</ns0:f>
        <ns0:v>0</ns0:v>
      </ns0:c>
      <ns0:c r="AC24" s="10">
        <ns0:f>Detail!D637</ns0:f>
        <ns0:v>3</ns0:v>
      </ns0:c>
      <ns0:c r="AD24" s="10">
        <ns0:f>Detail!D638</ns0:f>
        <ns0:v>2</ns0:v>
      </ns0:c>
      <ns0:c r="AE24" s="10">
        <ns0:f>Detail!D639</ns0:f>
        <ns0:v>0</ns0:v>
      </ns0:c>
      <ns0:c r="AF24" s="11">
        <ns0:f>SUM(B24:AE24)</ns0:f>
        <ns0:v>41</ns0:v>
      </ns0:c>
    </ns0:row>
    <ns0:row r="25">
      <ns0:c r="A25" s="8" t="inlineStr">
        <ns0:is>
          <ns0:t>Philadelphia 76ers</ns0:t>
        </ns0:is>
      </ns0:c>
      <ns0:c r="B25" s="10">
        <ns0:f>Detail!D640</ns0:f>
        <ns0:v>3</ns0:v>
      </ns0:c>
      <ns0:c r="C25" s="10">
        <ns0:f>Detail!D641</ns0:f>
        <ns0:v>3</ns0:v>
      </ns0:c>
      <ns0:c r="D25" s="10">
        <ns0:f>Detail!D642</ns0:f>
        <ns0:v>2</ns0:v>
      </ns0:c>
      <ns0:c r="E25" s="10">
        <ns0:f>Detail!D643</ns0:f>
        <ns0:v>0</ns0:v>
      </ns0:c>
      <ns0:c r="F25" s="10">
        <ns0:f>Detail!D644</ns0:f>
        <ns0:v>2</ns0:v>
      </ns0:c>
      <ns0:c r="G25" s="10">
        <ns0:f>Detail!D645</ns0:f>
        <ns0:v>2</ns0:v>
      </ns0:c>
      <ns0:c r="H25" s="10">
        <ns0:f>Detail!D646</ns0:f>
        <ns0:v>0</ns0:v>
      </ns0:c>
      <ns0:c r="I25" s="10">
        <ns0:f>Detail!D647</ns0:f>
        <ns0:v>2</ns0:v>
      </ns0:c>
      <ns0:c r="J25" s="10">
        <ns0:f>Detail!D648</ns0:f>
        <ns0:v>2</ns0:v>
      </ns0:c>
      <ns0:c r="K25" s="10">
        <ns0:f>Detail!D649</ns0:f>
        <ns0:v>1</ns0:v>
      </ns0:c>
      <ns0:c r="L25" s="10">
        <ns0:f>Detail!D650</ns0:f>
        <ns0:v>2</ns0:v>
      </ns0:c>
      <ns0:c r="M25" s="10">
        <ns0:f>Detail!D651</ns0:f>
        <ns0:v>3</ns0:v>
      </ns0:c>
      <ns0:c r="N25" s="10">
        <ns0:f>Detail!D652</ns0:f>
        <ns0:v>2</ns0:v>
      </ns0:c>
      <ns0:c r="O25" s="10">
        <ns0:f>Detail!D653</ns0:f>
        <ns0:v>1</ns0:v>
      </ns0:c>
      <ns0:c r="P25" s="10">
        <ns0:f>Detail!D654</ns0:f>
        <ns0:v>2</ns0:v>
      </ns0:c>
      <ns0:c r="Q25" s="10">
        <ns0:f>Detail!D655</ns0:f>
        <ns0:v>4</ns0:v>
      </ns0:c>
      <ns0:c r="R25" s="10">
        <ns0:f>Detail!D656</ns0:f>
        <ns0:v>4</ns0:v>
      </ns0:c>
      <ns0:c r="S25" s="10">
        <ns0:f>Detail!D657</ns0:f>
        <ns0:v>2</ns0:v>
      </ns0:c>
      <ns0:c r="T25" s="10">
        <ns0:f>Detail!D658</ns0:f>
        <ns0:v>2</ns0:v>
      </ns0:c>
      <ns0:c r="U25" s="10">
        <ns0:f>Detail!D659</ns0:f>
        <ns0:v>4</ns0:v>
      </ns0:c>
      <ns0:c r="V25" s="10">
        <ns0:f>Detail!D660</ns0:f>
        <ns0:v>2</ns0:v>
      </ns0:c>
      <ns0:c r="W25" s="10">
        <ns0:f>Detail!D661</ns0:f>
        <ns0:v>3</ns0:v>
      </ns0:c>
      <ns0:c r="X25" s="9" t="inlineStr">
        <ns0:is>
          <ns0:t>-</ns0:t>
        </ns0:is>
      </ns0:c>
      <ns0:c r="Y25" s="10">
        <ns0:f>Detail!D662</ns0:f>
        <ns0:v>2</ns0:v>
      </ns0:c>
      <ns0:c r="Z25" s="10">
        <ns0:f>Detail!D663</ns0:f>
        <ns0:v>1</ns0:v>
      </ns0:c>
      <ns0:c r="AA25" s="10">
        <ns0:f>Detail!D664</ns0:f>
        <ns0:v>1</ns0:v>
      </ns0:c>
      <ns0:c r="AB25" s="10">
        <ns0:f>Detail!D665</ns0:f>
        <ns0:v>1</ns0:v>
      </ns0:c>
      <ns0:c r="AC25" s="10">
        <ns0:f>Detail!D666</ns0:f>
        <ns0:v>4</ns0:v>
      </ns0:c>
      <ns0:c r="AD25" s="10">
        <ns0:f>Detail!D667</ns0:f>
        <ns0:v>0</ns0:v>
      </ns0:c>
      <ns0:c r="AE25" s="10">
        <ns0:f>Detail!D668</ns0:f>
        <ns0:v>1</ns0:v>
      </ns0:c>
      <ns0:c r="AF25" s="11">
        <ns0:f>SUM(B25:AE25)</ns0:f>
        <ns0:v>58</ns0:v>
      </ns0:c>
    </ns0:row>
    <ns0:row r="26">
      <ns0:c r="A26" s="8" t="inlineStr">
        <ns0:is>
          <ns0:t>Phoenix Suns</ns0:t>
        </ns0:is>
      </ns0:c>
      <ns0:c r="B26" s="10">
        <ns0:f>Detail!D669</ns0:f>
        <ns0:v>1</ns0:v>
      </ns0:c>
      <ns0:c r="C26" s="10">
        <ns0:f>Detail!D670</ns0:f>
        <ns0:v>2</ns0:v>
      </ns0:c>
      <ns0:c r="D26" s="10">
        <ns0:f>Detail!D671</ns0:f>
        <ns0:v>1</ns0:v>
      </ns0:c>
      <ns0:c r="E26" s="10">
        <ns0:f>Detail!D672</ns0:f>
        <ns0:v>1</ns0:v>
      </ns0:c>
      <ns0:c r="F26" s="10">
        <ns0:f>Detail!D673</ns0:f>
        <ns0:v>0</ns0:v>
      </ns0:c>
      <ns0:c r="G26" s="10">
        <ns0:f>Detail!D674</ns0:f>
        <ns0:v>1</ns0:v>
      </ns0:c>
      <ns0:c r="H26" s="10">
        <ns0:f>Detail!D675</ns0:f>
        <ns0:v>1</ns0:v>
      </ns0:c>
      <ns0:c r="I26" s="10">
        <ns0:f>Detail!D676</ns0:f>
        <ns0:v>3</ns0:v>
      </ns0:c>
      <ns0:c r="J26" s="10">
        <ns0:f>Detail!D677</ns0:f>
        <ns0:v>1</ns0:v>
      </ns0:c>
      <ns0:c r="K26" s="10">
        <ns0:f>Detail!D678</ns0:f>
        <ns0:v>2</ns0:v>
      </ns0:c>
      <ns0:c r="L26" s="10">
        <ns0:f>Detail!D679</ns0:f>
        <ns0:v>3</ns0:v>
      </ns0:c>
      <ns0:c r="M26" s="10">
        <ns0:f>Detail!D680</ns0:f>
        <ns0:v>2</ns0:v>
      </ns0:c>
      <ns0:c r="N26" s="10">
        <ns0:f>Detail!D681</ns0:f>
        <ns0:v>0</ns0:v>
      </ns0:c>
      <ns0:c r="O26" s="10">
        <ns0:f>Detail!D682</ns0:f>
        <ns0:v>2</ns0:v>
      </ns0:c>
      <ns0:c r="P26" s="10">
        <ns0:f>Detail!D683</ns0:f>
        <ns0:v>4</ns0:v>
      </ns0:c>
      <ns0:c r="Q26" s="10">
        <ns0:f>Detail!D684</ns0:f>
        <ns0:v>1</ns0:v>
      </ns0:c>
      <ns0:c r="R26" s="10">
        <ns0:f>Detail!D685</ns0:f>
        <ns0:v>1</ns0:v>
      </ns0:c>
      <ns0:c r="S26" s="10">
        <ns0:f>Detail!D686</ns0:f>
        <ns0:v>4</ns0:v>
      </ns0:c>
      <ns0:c r="T26" s="10">
        <ns0:f>Detail!D687</ns0:f>
        <ns0:v>2</ns0:v>
      </ns0:c>
      <ns0:c r="U26" s="10">
        <ns0:f>Detail!D688</ns0:f>
        <ns0:v>2</ns0:v>
      </ns0:c>
      <ns0:c r="V26" s="10">
        <ns0:f>Detail!D689</ns0:f>
        <ns0:v>3</ns0:v>
      </ns0:c>
      <ns0:c r="W26" s="10">
        <ns0:f>Detail!D690</ns0:f>
        <ns0:v>2</ns0:v>
      </ns0:c>
      <ns0:c r="X26" s="10">
        <ns0:f>Detail!D691</ns0:f>
        <ns0:v>0</ns0:v>
      </ns0:c>
      <ns0:c r="Y26" s="9" t="inlineStr">
        <ns0:is>
          <ns0:t>-</ns0:t>
        </ns0:is>
      </ns0:c>
      <ns0:c r="Z26" s="10">
        <ns0:f>Detail!D692</ns0:f>
        <ns0:v>2</ns0:v>
      </ns0:c>
      <ns0:c r="AA26" s="10">
        <ns0:f>Detail!D693</ns0:f>
        <ns0:v>3</ns0:v>
      </ns0:c>
      <ns0:c r="AB26" s="10">
        <ns0:f>Detail!D694</ns0:f>
        <ns0:v>1</ns0:v>
      </ns0:c>
      <ns0:c r="AC26" s="10">
        <ns0:f>Detail!D695</ns0:f>
        <ns0:v>1</ns0:v>
      </ns0:c>
      <ns0:c r="AD26" s="10">
        <ns0:f>Detail!D696</ns0:f>
        <ns0:v>0</ns0:v>
      </ns0:c>
      <ns0:c r="AE26" s="10">
        <ns0:f>Detail!D697</ns0:f>
        <ns0:v>0</ns0:v>
      </ns0:c>
      <ns0:c r="AF26" s="11">
        <ns0:f>SUM(B26:AE26)</ns0:f>
        <ns0:v>46</ns0:v>
      </ns0:c>
    </ns0:row>
    <ns0:row r="27">
      <ns0:c r="A27" s="8" t="inlineStr">
        <ns0:is>
          <ns0:t>Portland Trail Blazers</ns0:t>
        </ns0:is>
      </ns0:c>
      <ns0:c r="B27" s="10">
        <ns0:f>Detail!D698</ns0:f>
        <ns0:v>0</ns0:v>
      </ns0:c>
      <ns0:c r="C27" s="10">
        <ns0:f>Detail!D699</ns0:f>
        <ns0:v>2</ns0:v>
      </ns0:c>
      <ns0:c r="D27" s="10">
        <ns0:f>Detail!D700</ns0:f>
        <ns0:v>1</ns0:v>
      </ns0:c>
      <ns0:c r="E27" s="10">
        <ns0:f>Detail!D701</ns0:f>
        <ns0:v>0</ns0:v>
      </ns0:c>
      <ns0:c r="F27" s="10">
        <ns0:f>Detail!D702</ns0:f>
        <ns0:v>1</ns0:v>
      </ns0:c>
      <ns0:c r="G27" s="10">
        <ns0:f>Detail!D703</ns0:f>
        <ns0:v>2</ns0:v>
      </ns0:c>
      <ns0:c r="H27" s="10">
        <ns0:f>Detail!D704</ns0:f>
        <ns0:v>3</ns0:v>
      </ns0:c>
      <ns0:c r="I27" s="10">
        <ns0:f>Detail!D705</ns0:f>
        <ns0:v>2</ns0:v>
      </ns0:c>
      <ns0:c r="J27" s="10">
        <ns0:f>Detail!D706</ns0:f>
        <ns0:v>2</ns0:v>
      </ns0:c>
      <ns0:c r="K27" s="10">
        <ns0:f>Detail!D707</ns0:f>
        <ns0:v>3</ns0:v>
      </ns0:c>
      <ns0:c r="L27" s="10">
        <ns0:f>Detail!D708</ns0:f>
        <ns0:v>2</ns0:v>
      </ns0:c>
      <ns0:c r="M27" s="10">
        <ns0:f>Detail!D709</ns0:f>
        <ns0:v>1</ns0:v>
      </ns0:c>
      <ns0:c r="N27" s="10">
        <ns0:f>Detail!D710</ns0:f>
        <ns0:v>2</ns0:v>
      </ns0:c>
      <ns0:c r="O27" s="10">
        <ns0:f>Detail!D711</ns0:f>
        <ns0:v>3</ns0:v>
      </ns0:c>
      <ns0:c r="P27" s="10">
        <ns0:f>Detail!D712</ns0:f>
        <ns0:v>2</ns0:v>
      </ns0:c>
      <ns0:c r="Q27" s="10">
        <ns0:f>Detail!D713</ns0:f>
        <ns0:v>1</ns0:v>
      </ns0:c>
      <ns0:c r="R27" s="10">
        <ns0:f>Detail!D714</ns0:f>
        <ns0:v>0</ns0:v>
      </ns0:c>
      <ns0:c r="S27" s="10">
        <ns0:f>Detail!D715</ns0:f>
        <ns0:v>2</ns0:v>
      </ns0:c>
      <ns0:c r="T27" s="10">
        <ns0:f>Detail!D716</ns0:f>
        <ns0:v>1</ns0:v>
      </ns0:c>
      <ns0:c r="U27" s="10">
        <ns0:f>Detail!D717</ns0:f>
        <ns0:v>2</ns0:v>
      </ns0:c>
      <ns0:c r="V27" s="10">
        <ns0:f>Detail!D718</ns0:f>
        <ns0:v>4</ns0:v>
      </ns0:c>
      <ns0:c r="W27" s="10">
        <ns0:f>Detail!D719</ns0:f>
        <ns0:v>0</ns0:v>
      </ns0:c>
      <ns0:c r="X27" s="10">
        <ns0:f>Detail!D720</ns0:f>
        <ns0:v>1</ns0:v>
      </ns0:c>
      <ns0:c r="Y27" s="10">
        <ns0:f>Detail!D721</ns0:f>
        <ns0:v>2</ns0:v>
      </ns0:c>
      <ns0:c r="Z27" s="9" t="inlineStr">
        <ns0:is>
          <ns0:t>-</ns0:t>
        </ns0:is>
      </ns0:c>
      <ns0:c r="AA27" s="10">
        <ns0:f>Detail!D722</ns0:f>
        <ns0:v>2</ns0:v>
      </ns0:c>
      <ns0:c r="AB27" s="10">
        <ns0:f>Detail!D723</ns0:f>
        <ns0:v>3</ns0:v>
      </ns0:c>
      <ns0:c r="AC27" s="10">
        <ns0:f>Detail!D724</ns0:f>
        <ns0:v>0</ns0:v>
      </ns0:c>
      <ns0:c r="AD27" s="10">
        <ns0:f>Detail!D725</ns0:f>
        <ns0:v>2</ns0:v>
      </ns0:c>
      <ns0:c r="AE27" s="10">
        <ns0:f>Detail!D726</ns0:f>
        <ns0:v>0</ns0:v>
      </ns0:c>
      <ns0:c r="AF27" s="11">
        <ns0:f>SUM(B27:AE27)</ns0:f>
        <ns0:v>46</ns0:v>
      </ns0:c>
    </ns0:row>
    <ns0:row r="28">
      <ns0:c r="A28" s="8" t="inlineStr">
        <ns0:is>
          <ns0:t>Sacramento Kings</ns0:t>
        </ns0:is>
      </ns0:c>
      <ns0:c r="B28" s="10">
        <ns0:f>Detail!D727</ns0:f>
        <ns0:v>1</ns0:v>
      </ns0:c>
      <ns0:c r="C28" s="10">
        <ns0:f>Detail!D728</ns0:f>
        <ns0:v>1</ns0:v>
      </ns0:c>
      <ns0:c r="D28" s="10">
        <ns0:f>Detail!D729</ns0:f>
        <ns0:v>1</ns0:v>
      </ns0:c>
      <ns0:c r="E28" s="10">
        <ns0:f>Detail!D730</ns0:f>
        <ns0:v>0</ns0:v>
      </ns0:c>
      <ns0:c r="F28" s="10">
        <ns0:f>Detail!D731</ns0:f>
        <ns0:v>1</ns0:v>
      </ns0:c>
      <ns0:c r="G28" s="10">
        <ns0:f>Detail!D732</ns0:f>
        <ns0:v>0</ns0:v>
      </ns0:c>
      <ns0:c r="H28" s="10">
        <ns0:f>Detail!D733</ns0:f>
        <ns0:v>0</ns0:v>
      </ns0:c>
      <ns0:c r="I28" s="10">
        <ns0:f>Detail!D734</ns0:f>
        <ns0:v>4</ns0:v>
      </ns0:c>
      <ns0:c r="J28" s="10">
        <ns0:f>Detail!D735</ns0:f>
        <ns0:v>1</ns0:v>
      </ns0:c>
      <ns0:c r="K28" s="10">
        <ns0:f>Detail!D736</ns0:f>
        <ns0:v>2</ns0:v>
      </ns0:c>
      <ns0:c r="L28" s="10">
        <ns0:f>Detail!D737</ns0:f>
        <ns0:v>0</ns0:v>
      </ns0:c>
      <ns0:c r="M28" s="10">
        <ns0:f>Detail!D738</ns0:f>
        <ns0:v>2</ns0:v>
      </ns0:c>
      <ns0:c r="N28" s="10">
        <ns0:f>Detail!D739</ns0:f>
        <ns0:v>4</ns0:v>
      </ns0:c>
      <ns0:c r="O28" s="10">
        <ns0:f>Detail!D740</ns0:f>
        <ns0:v>4</ns0:v>
      </ns0:c>
      <ns0:c r="P28" s="10">
        <ns0:f>Detail!D741</ns0:f>
        <ns0:v>1</ns0:v>
      </ns0:c>
      <ns0:c r="Q28" s="10">
        <ns0:f>Detail!D742</ns0:f>
        <ns0:v>0</ns0:v>
      </ns0:c>
      <ns0:c r="R28" s="10">
        <ns0:f>Detail!D743</ns0:f>
        <ns0:v>2</ns0:v>
      </ns0:c>
      <ns0:c r="S28" s="10">
        <ns0:f>Detail!D744</ns0:f>
        <ns0:v>2</ns0:v>
      </ns0:c>
      <ns0:c r="T28" s="10">
        <ns0:f>Detail!D745</ns0:f>
        <ns0:v>1</ns0:v>
      </ns0:c>
      <ns0:c r="U28" s="10">
        <ns0:f>Detail!D746</ns0:f>
        <ns0:v>2</ns0:v>
      </ns0:c>
      <ns0:c r="V28" s="10">
        <ns0:f>Detail!D747</ns0:f>
        <ns0:v>3</ns0:v>
      </ns0:c>
      <ns0:c r="W28" s="10">
        <ns0:f>Detail!D748</ns0:f>
        <ns0:v>2</ns0:v>
      </ns0:c>
      <ns0:c r="X28" s="10">
        <ns0:f>Detail!D749</ns0:f>
        <ns0:v>1</ns0:v>
      </ns0:c>
      <ns0:c r="Y28" s="10">
        <ns0:f>Detail!D750</ns0:f>
        <ns0:v>1</ns0:v>
      </ns0:c>
      <ns0:c r="Z28" s="10">
        <ns0:f>Detail!D751</ns0:f>
        <ns0:v>2</ns0:v>
      </ns0:c>
      <ns0:c r="AA28" s="9" t="inlineStr">
        <ns0:is>
          <ns0:t>-</ns0:t>
        </ns0:is>
      </ns0:c>
      <ns0:c r="AB28" s="10">
        <ns0:f>Detail!D752</ns0:f>
        <ns0:v>2</ns0:v>
      </ns0:c>
      <ns0:c r="AC28" s="10">
        <ns0:f>Detail!D753</ns0:f>
        <ns0:v>1</ns0:v>
      </ns0:c>
      <ns0:c r="AD28" s="10">
        <ns0:f>Detail!D754</ns0:f>
        <ns0:v>0</ns0:v>
      </ns0:c>
      <ns0:c r="AE28" s="10">
        <ns0:f>Detail!D755</ns0:f>
        <ns0:v>1</ns0:v>
      </ns0:c>
      <ns0:c r="AF28" s="11">
        <ns0:f>SUM(B28:AE28)</ns0:f>
        <ns0:v>42</ns0:v>
      </ns0:c>
    </ns0:row>
    <ns0:row r="29">
      <ns0:c r="A29" s="8" t="inlineStr">
        <ns0:is>
          <ns0:t>San Antonio Spurs</ns0:t>
        </ns0:is>
      </ns0:c>
      <ns0:c r="B29" s="10">
        <ns0:f>Detail!D756</ns0:f>
        <ns0:v>0</ns0:v>
      </ns0:c>
      <ns0:c r="C29" s="10">
        <ns0:f>Detail!D757</ns0:f>
        <ns0:v>2</ns0:v>
      </ns0:c>
      <ns0:c r="D29" s="10">
        <ns0:f>Detail!D758</ns0:f>
        <ns0:v>0</ns0:v>
      </ns0:c>
      <ns0:c r="E29" s="10">
        <ns0:f>Detail!D759</ns0:f>
        <ns0:v>2</ns0:v>
      </ns0:c>
      <ns0:c r="F29" s="10">
        <ns0:f>Detail!D760</ns0:f>
        <ns0:v>2</ns0:v>
      </ns0:c>
      <ns0:c r="G29" s="10">
        <ns0:f>Detail!D761</ns0:f>
        <ns0:v>2</ns0:v>
      </ns0:c>
      <ns0:c r="H29" s="10">
        <ns0:f>Detail!D762</ns0:f>
        <ns0:v>3</ns0:v>
      </ns0:c>
      <ns0:c r="I29" s="10">
        <ns0:f>Detail!D763</ns0:f>
        <ns0:v>1</ns0:v>
      </ns0:c>
      <ns0:c r="J29" s="10">
        <ns0:f>Detail!D764</ns0:f>
        <ns0:v>2</ns0:v>
      </ns0:c>
      <ns0:c r="K29" s="10">
        <ns0:f>Detail!D765</ns0:f>
        <ns0:v>1</ns0:v>
      </ns0:c>
      <ns0:c r="L29" s="10">
        <ns0:f>Detail!D766</ns0:f>
        <ns0:v>3</ns0:v>
      </ns0:c>
      <ns0:c r="M29" s="10">
        <ns0:f>Detail!D767</ns0:f>
        <ns0:v>1</ns0:v>
      </ns0:c>
      <ns0:c r="N29" s="10">
        <ns0:f>Detail!D768</ns0:f>
        <ns0:v>3</ns0:v>
      </ns0:c>
      <ns0:c r="O29" s="10">
        <ns0:f>Detail!D769</ns0:f>
        <ns0:v>3</ns0:v>
      </ns0:c>
      <ns0:c r="P29" s="10">
        <ns0:f>Detail!D770</ns0:f>
        <ns0:v>3</ns0:v>
      </ns0:c>
      <ns0:c r="Q29" s="10">
        <ns0:f>Detail!D771</ns0:f>
        <ns0:v>2</ns0:v>
      </ns0:c>
      <ns0:c r="R29" s="10">
        <ns0:f>Detail!D772</ns0:f>
        <ns0:v>1</ns0:v>
      </ns0:c>
      <ns0:c r="S29" s="10">
        <ns0:f>Detail!D773</ns0:f>
        <ns0:v>3</ns0:v>
      </ns0:c>
      <ns0:c r="T29" s="10">
        <ns0:f>Detail!D774</ns0:f>
        <ns0:v>2</ns0:v>
      </ns0:c>
      <ns0:c r="U29" s="10">
        <ns0:f>Detail!D775</ns0:f>
        <ns0:v>1</ns0:v>
      </ns0:c>
      <ns0:c r="V29" s="10">
        <ns0:f>Detail!D776</ns0:f>
        <ns0:v>2</ns0:v>
      </ns0:c>
      <ns0:c r="W29" s="10">
        <ns0:f>Detail!D777</ns0:f>
        <ns0:v>2</ns0:v>
      </ns0:c>
      <ns0:c r="X29" s="10">
        <ns0:f>Detail!D778</ns0:f>
        <ns0:v>1</ns0:v>
      </ns0:c>
      <ns0:c r="Y29" s="10">
        <ns0:f>Detail!D779</ns0:f>
        <ns0:v>2</ns0:v>
      </ns0:c>
      <ns0:c r="Z29" s="10">
        <ns0:f>Detail!D780</ns0:f>
        <ns0:v>1</ns0:v>
      </ns0:c>
      <ns0:c r="AA29" s="10">
        <ns0:f>Detail!D781</ns0:f>
        <ns0:v>2</ns0:v>
      </ns0:c>
      <ns0:c r="AB29" s="9" t="inlineStr">
        <ns0:is>
          <ns0:t>-</ns0:t>
        </ns0:is>
      </ns0:c>
      <ns0:c r="AC29" s="10">
        <ns0:f>Detail!D782</ns0:f>
        <ns0:v>0</ns0:v>
      </ns0:c>
      <ns0:c r="AD29" s="10">
        <ns0:f>Detail!D783</ns0:f>
        <ns0:v>1</ns0:v>
      </ns0:c>
      <ns0:c r="AE29" s="10">
        <ns0:f>Detail!D784</ns0:f>
        <ns0:v>0</ns0:v>
      </ns0:c>
      <ns0:c r="AF29" s="11">
        <ns0:f>SUM(B29:AE29)</ns0:f>
        <ns0:v>48</ns0:v>
      </ns0:c>
    </ns0:row>
    <ns0:row r="30">
      <ns0:c r="A30" s="8" t="inlineStr">
        <ns0:is>
          <ns0:t>Toronto Raptors</ns0:t>
        </ns0:is>
      </ns0:c>
      <ns0:c r="B30" s="10">
        <ns0:f>Detail!D785</ns0:f>
        <ns0:v>1</ns0:v>
      </ns0:c>
      <ns0:c r="C30" s="10">
        <ns0:f>Detail!D786</ns0:f>
        <ns0:v>3</ns0:v>
      </ns0:c>
      <ns0:c r="D30" s="10">
        <ns0:f>Detail!D787</ns0:f>
        <ns0:v>1</ns0:v>
      </ns0:c>
      <ns0:c r="E30" s="10">
        <ns0:f>Detail!D788</ns0:f>
        <ns0:v>1</ns0:v>
      </ns0:c>
      <ns0:c r="F30" s="10">
        <ns0:f>Detail!D789</ns0:f>
        <ns0:v>4</ns0:v>
      </ns0:c>
      <ns0:c r="G30" s="10">
        <ns0:f>Detail!D790</ns0:f>
        <ns0:v>4</ns0:v>
      </ns0:c>
      <ns0:c r="H30" s="10">
        <ns0:f>Detail!D791</ns0:f>
        <ns0:v>2</ns0:v>
      </ns0:c>
      <ns0:c r="I30" s="10">
        <ns0:f>Detail!D792</ns0:f>
        <ns0:v>2</ns0:v>
      </ns0:c>
      <ns0:c r="J30" s="10">
        <ns0:f>Detail!D793</ns0:f>
        <ns0:v>4</ns0:v>
      </ns0:c>
      <ns0:c r="K30" s="10">
        <ns0:f>Detail!D794</ns0:f>
        <ns0:v>1</ns0:v>
      </ns0:c>
      <ns0:c r="L30" s="10">
        <ns0:f>Detail!D795</ns0:f>
        <ns0:v>2</ns0:v>
      </ns0:c>
      <ns0:c r="M30" s="10">
        <ns0:f>Detail!D796</ns0:f>
        <ns0:v>1</ns0:v>
      </ns0:c>
      <ns0:c r="N30" s="10">
        <ns0:f>Detail!D797</ns0:f>
        <ns0:v>1</ns0:v>
      </ns0:c>
      <ns0:c r="O30" s="10">
        <ns0:f>Detail!D798</ns0:f>
        <ns0:v>2</ns0:v>
      </ns0:c>
      <ns0:c r="P30" s="10">
        <ns0:f>Detail!D799</ns0:f>
        <ns0:v>2</ns0:v>
      </ns0:c>
      <ns0:c r="Q30" s="10">
        <ns0:f>Detail!D800</ns0:f>
        <ns0:v>3</ns0:v>
      </ns0:c>
      <ns0:c r="R30" s="10">
        <ns0:f>Detail!D801</ns0:f>
        <ns0:v>3</ns0:v>
      </ns0:c>
      <ns0:c r="S30" s="10">
        <ns0:f>Detail!D802</ns0:f>
        <ns0:v>1</ns0:v>
      </ns0:c>
      <ns0:c r="T30" s="10">
        <ns0:f>Detail!D803</ns0:f>
        <ns0:v>0</ns0:v>
      </ns0:c>
      <ns0:c r="U30" s="10">
        <ns0:f>Detail!D804</ns0:f>
        <ns0:v>4</ns0:v>
      </ns0:c>
      <ns0:c r="V30" s="10">
        <ns0:f>Detail!D805</ns0:f>
        <ns0:v>2</ns0:v>
      </ns0:c>
      <ns0:c r="W30" s="10">
        <ns0:f>Detail!D806</ns0:f>
        <ns0:v>1</ns0:v>
      </ns0:c>
      <ns0:c r="X30" s="10">
        <ns0:f>Detail!D807</ns0:f>
        <ns0:v>0</ns0:v>
      </ns0:c>
      <ns0:c r="Y30" s="10">
        <ns0:f>Detail!D808</ns0:f>
        <ns0:v>1</ns0:v>
      </ns0:c>
      <ns0:c r="Z30" s="10">
        <ns0:f>Detail!D809</ns0:f>
        <ns0:v>2</ns0:v>
      </ns0:c>
      <ns0:c r="AA30" s="10">
        <ns0:f>Detail!D810</ns0:f>
        <ns0:v>1</ns0:v>
      </ns0:c>
      <ns0:c r="AB30" s="10">
        <ns0:f>Detail!D811</ns0:f>
        <ns0:v>2</ns0:v>
      </ns0:c>
      <ns0:c r="AC30" s="9" t="inlineStr">
        <ns0:is>
          <ns0:t>-</ns0:t>
        </ns0:is>
      </ns0:c>
      <ns0:c r="AD30" s="10">
        <ns0:f>Detail!D812</ns0:f>
        <ns0:v>0</ns0:v>
      </ns0:c>
      <ns0:c r="AE30" s="10">
        <ns0:f>Detail!D813</ns0:f>
        <ns0:v>1</ns0:v>
      </ns0:c>
      <ns0:c r="AF30" s="11">
        <ns0:f>SUM(B30:AE30)</ns0:f>
        <ns0:v>52</ns0:v>
      </ns0:c>
    </ns0:row>
    <ns0:row r="31">
      <ns0:c r="A31" s="8" t="inlineStr">
        <ns0:is>
          <ns0:t>Utah Jazz</ns0:t>
        </ns0:is>
      </ns0:c>
      <ns0:c r="B31" s="10">
        <ns0:f>Detail!D814</ns0:f>
        <ns0:v>2</ns0:v>
      </ns0:c>
      <ns0:c r="C31" s="10">
        <ns0:f>Detail!D815</ns0:f>
        <ns0:v>2</ns0:v>
      </ns0:c>
      <ns0:c r="D31" s="10">
        <ns0:f>Detail!D816</ns0:f>
        <ns0:v>0</ns0:v>
      </ns0:c>
      <ns0:c r="E31" s="10">
        <ns0:f>Detail!D817</ns0:f>
        <ns0:v>2</ns0:v>
      </ns0:c>
      <ns0:c r="F31" s="10">
        <ns0:f>Detail!D818</ns0:f>
        <ns0:v>1</ns0:v>
      </ns0:c>
      <ns0:c r="G31" s="10">
        <ns0:f>Detail!D819</ns0:f>
        <ns0:v>2</ns0:v>
      </ns0:c>
      <ns0:c r="H31" s="10">
        <ns0:f>Detail!D820</ns0:f>
        <ns0:v>2</ns0:v>
      </ns0:c>
      <ns0:c r="I31" s="10">
        <ns0:f>Detail!D821</ns0:f>
        <ns0:v>4</ns0:v>
      </ns0:c>
      <ns0:c r="J31" s="10">
        <ns0:f>Detail!D822</ns0:f>
        <ns0:v>1</ns0:v>
      </ns0:c>
      <ns0:c r="K31" s="10">
        <ns0:f>Detail!D823</ns0:f>
        <ns0:v>2</ns0:v>
      </ns0:c>
      <ns0:c r="L31" s="10">
        <ns0:f>Detail!D824</ns0:f>
        <ns0:v>2</ns0:v>
      </ns0:c>
      <ns0:c r="M31" s="10">
        <ns0:f>Detail!D825</ns0:f>
        <ns0:v>2</ns0:v>
      </ns0:c>
      <ns0:c r="N31" s="10">
        <ns0:f>Detail!D826</ns0:f>
        <ns0:v>4</ns0:v>
      </ns0:c>
      <ns0:c r="O31" s="10">
        <ns0:f>Detail!D827</ns0:f>
        <ns0:v>3</ns0:v>
      </ns0:c>
      <ns0:c r="P31" s="10">
        <ns0:f>Detail!D828</ns0:f>
        <ns0:v>4</ns0:v>
      </ns0:c>
      <ns0:c r="Q31" s="10">
        <ns0:f>Detail!D829</ns0:f>
        <ns0:v>1</ns0:v>
      </ns0:c>
      <ns0:c r="R31" s="10">
        <ns0:f>Detail!D830</ns0:f>
        <ns0:v>2</ns0:v>
      </ns0:c>
      <ns0:c r="S31" s="10">
        <ns0:f>Detail!D831</ns0:f>
        <ns0:v>3</ns0:v>
      </ns0:c>
      <ns0:c r="T31" s="10">
        <ns0:f>Detail!D832</ns0:f>
        <ns0:v>3</ns0:v>
      </ns0:c>
      <ns0:c r="U31" s="10">
        <ns0:f>Detail!D833</ns0:f>
        <ns0:v>1</ns0:v>
      </ns0:c>
      <ns0:c r="V31" s="10">
        <ns0:f>Detail!D834</ns0:f>
        <ns0:v>4</ns0:v>
      </ns0:c>
      <ns0:c r="W31" s="10">
        <ns0:f>Detail!D835</ns0:f>
        <ns0:v>0</ns0:v>
      </ns0:c>
      <ns0:c r="X31" s="10">
        <ns0:f>Detail!D836</ns0:f>
        <ns0:v>2</ns0:v>
      </ns0:c>
      <ns0:c r="Y31" s="10">
        <ns0:f>Detail!D837</ns0:f>
        <ns0:v>4</ns0:v>
      </ns0:c>
      <ns0:c r="Z31" s="10">
        <ns0:f>Detail!D838</ns0:f>
        <ns0:v>2</ns0:v>
      </ns0:c>
      <ns0:c r="AA31" s="10">
        <ns0:f>Detail!D839</ns0:f>
        <ns0:v>4</ns0:v>
      </ns0:c>
      <ns0:c r="AB31" s="10">
        <ns0:f>Detail!D840</ns0:f>
        <ns0:v>3</ns0:v>
      </ns0:c>
      <ns0:c r="AC31" s="10">
        <ns0:f>Detail!D841</ns0:f>
        <ns0:v>2</ns0:v>
      </ns0:c>
      <ns0:c r="AD31" s="9" t="inlineStr">
        <ns0:is>
          <ns0:t>-</ns0:t>
        </ns0:is>
      </ns0:c>
      <ns0:c r="AE31" s="10">
        <ns0:f>Detail!D842</ns0:f>
        <ns0:v>1</ns0:v>
      </ns0:c>
      <ns0:c r="AF31" s="11">
        <ns0:f>SUM(B31:AE31)</ns0:f>
        <ns0:v>65</ns0:v>
      </ns0:c>
    </ns0:row>
    <ns0:row r="32">
      <ns0:c r="A32" s="8" t="inlineStr">
        <ns0:is>
          <ns0:t>Washington Wizards</ns0:t>
        </ns0:is>
      </ns0:c>
      <ns0:c r="B32" s="10">
        <ns0:f>Detail!D843</ns0:f>
        <ns0:v>2</ns0:v>
      </ns0:c>
      <ns0:c r="C32" s="10">
        <ns0:f>Detail!D844</ns0:f>
        <ns0:v>4</ns0:v>
      </ns0:c>
      <ns0:c r="D32" s="10">
        <ns0:f>Detail!D845</ns0:f>
        <ns0:v>1</ns0:v>
      </ns0:c>
      <ns0:c r="E32" s="10">
        <ns0:f>Detail!D846</ns0:f>
        <ns0:v>0</ns0:v>
      </ns0:c>
      <ns0:c r="F32" s="10">
        <ns0:f>Detail!D847</ns0:f>
        <ns0:v>3</ns0:v>
      </ns0:c>
      <ns0:c r="G32" s="10">
        <ns0:f>Detail!D848</ns0:f>
        <ns0:v>4</ns0:v>
      </ns0:c>
      <ns0:c r="H32" s="10">
        <ns0:f>Detail!D849</ns0:f>
        <ns0:v>2</ns0:v>
      </ns0:c>
      <ns0:c r="I32" s="10">
        <ns0:f>Detail!D850</ns0:f>
        <ns0:v>0</ns0:v>
      </ns0:c>
      <ns0:c r="J32" s="10">
        <ns0:f>Detail!D851</ns0:f>
        <ns0:v>2</ns0:v>
      </ns0:c>
      <ns0:c r="K32" s="10">
        <ns0:f>Detail!D852</ns0:f>
        <ns0:v>2</ns0:v>
      </ns0:c>
      <ns0:c r="L32" s="10">
        <ns0:f>Detail!D853</ns0:f>
        <ns0:v>2</ns0:v>
      </ns0:c>
      <ns0:c r="M32" s="10">
        <ns0:f>Detail!D854</ns0:f>
        <ns0:v>4</ns0:v>
      </ns0:c>
      <ns0:c r="N32" s="10">
        <ns0:f>Detail!D855</ns0:f>
        <ns0:v>2</ns0:v>
      </ns0:c>
      <ns0:c r="O32" s="10">
        <ns0:f>Detail!D856</ns0:f>
        <ns0:v>2</ns0:v>
      </ns0:c>
      <ns0:c r="P32" s="10">
        <ns0:f>Detail!D857</ns0:f>
        <ns0:v>2</ns0:v>
      </ns0:c>
      <ns0:c r="Q32" s="10">
        <ns0:f>Detail!D858</ns0:f>
        <ns0:v>3</ns0:v>
      </ns0:c>
      <ns0:c r="R32" s="10">
        <ns0:f>Detail!D859</ns0:f>
        <ns0:v>3</ns0:v>
      </ns0:c>
      <ns0:c r="S32" s="10">
        <ns0:f>Detail!D860</ns0:f>
        <ns0:v>1</ns0:v>
      </ns0:c>
      <ns0:c r="T32" s="10">
        <ns0:f>Detail!D861</ns0:f>
        <ns0:v>2</ns0:v>
      </ns0:c>
      <ns0:c r="U32" s="10">
        <ns0:f>Detail!D862</ns0:f>
        <ns0:v>4</ns0:v>
      </ns0:c>
      <ns0:c r="V32" s="10">
        <ns0:f>Detail!D863</ns0:f>
        <ns0:v>2</ns0:v>
      </ns0:c>
      <ns0:c r="W32" s="10">
        <ns0:f>Detail!D864</ns0:f>
        <ns0:v>4</ns0:v>
      </ns0:c>
      <ns0:c r="X32" s="10">
        <ns0:f>Detail!D865</ns0:f>
        <ns0:v>2</ns0:v>
      </ns0:c>
      <ns0:c r="Y32" s="10">
        <ns0:f>Detail!D866</ns0:f>
        <ns0:v>2</ns0:v>
      </ns0:c>
      <ns0:c r="Z32" s="10">
        <ns0:f>Detail!D867</ns0:f>
        <ns0:v>2</ns0:v>
      </ns0:c>
      <ns0:c r="AA32" s="10">
        <ns0:f>Detail!D868</ns0:f>
        <ns0:v>1</ns0:v>
      </ns0:c>
      <ns0:c r="AB32" s="10">
        <ns0:f>Detail!D869</ns0:f>
        <ns0:v>2</ns0:v>
      </ns0:c>
      <ns0:c r="AC32" s="10">
        <ns0:f>Detail!D870</ns0:f>
        <ns0:v>3</ns0:v>
      </ns0:c>
      <ns0:c r="AD32" s="10">
        <ns0:f>Detail!D871</ns0:f>
        <ns0:v>1</ns0:v>
      </ns0:c>
      <ns0:c r="AE32" s="9" t="inlineStr">
        <ns0:is>
          <ns0:t>-</ns0:t>
        </ns0:is>
      </ns0:c>
      <ns0:c r="AF32" s="11">
        <ns0:f>SUM(B32:AE32)</ns0:f>
        <ns0:v>64</ns0:v>
      </ns0:c>
    </ns0:row>
    <ns0:row r="33">
      <ns0:c r="A33" s="4" t="inlineStr">
        <ns0:is>
          <ns0:t>Total</ns0:t>
        </ns0:is>
      </ns0:c>
      <ns0:c r="B33" s="12">
        <ns0:f>SUM(B3:B32)</ns0:f>
        <ns0:v>40</ns0:v>
      </ns0:c>
      <ns0:c r="C33" s="12">
        <ns0:f>SUM(C3:C32)</ns0:f>
        <ns0:v>61</ns0:v>
      </ns0:c>
      <ns0:c r="D33" s="12">
        <ns0:f>SUM(D3:D32)</ns0:f>
        <ns0:v>26</ns0:v>
      </ns0:c>
      <ns0:c r="E33" s="12">
        <ns0:f>SUM(E3:E32)</ns0:f>
        <ns0:v>19</ns0:v>
      </ns0:c>
      <ns0:c r="F33" s="12">
        <ns0:f>SUM(F3:F32)</ns0:f>
        <ns0:v>39</ns0:v>
      </ns0:c>
      <ns0:c r="G33" s="12">
        <ns0:f>SUM(G3:G32)</ns0:f>
        <ns0:v>64</ns0:v>
      </ns0:c>
      <ns0:c r="H33" s="12">
        <ns0:f>SUM(H3:H32)</ns0:f>
        <ns0:v>39</ns0:v>
      </ns0:c>
      <ns0:c r="I33" s="12">
        <ns0:f>SUM(I3:I32)</ns0:f>
        <ns0:v>50</ns0:v>
      </ns0:c>
      <ns0:c r="J33" s="12">
        <ns0:f>SUM(J3:J32)</ns0:f>
        <ns0:v>44</ns0:v>
      </ns0:c>
      <ns0:c r="K33" s="12">
        <ns0:f>SUM(K3:K32)</ns0:f>
        <ns0:v>48</ns0:v>
      </ns0:c>
      <ns0:c r="L33" s="12">
        <ns0:f>SUM(L3:L32)</ns0:f>
        <ns0:v>52</ns0:v>
      </ns0:c>
      <ns0:c r="M33" s="12">
        <ns0:f>SUM(M3:M32)</ns0:f>
        <ns0:v>50</ns0:v>
      </ns0:c>
      <ns0:c r="N33" s="12">
        <ns0:f>SUM(N3:N32)</ns0:f>
        <ns0:v>50</ns0:v>
      </ns0:c>
      <ns0:c r="O33" s="12">
        <ns0:f>SUM(O3:O32)</ns0:f>
        <ns0:v>50</ns0:v>
      </ns0:c>
      <ns0:c r="P33" s="12">
        <ns0:f>SUM(P3:P32)</ns0:f>
        <ns0:v>48</ns0:v>
      </ns0:c>
      <ns0:c r="Q33" s="12">
        <ns0:f>SUM(Q3:Q32)</ns0:f>
        <ns0:v>37</ns0:v>
      </ns0:c>
      <ns0:c r="R33" s="12">
        <ns0:f>SUM(R3:R32)</ns0:f>
        <ns0:v>48</ns0:v>
      </ns0:c>
      <ns0:c r="S33" s="12">
        <ns0:f>SUM(S3:S32)</ns0:f>
        <ns0:v>49</ns0:v>
      </ns0:c>
      <ns0:c r="T33" s="12">
        <ns0:f>SUM(T3:T32)</ns0:f>
        <ns0:v>21</ns0:v>
      </ns0:c>
      <ns0:c r="U33" s="12">
        <ns0:f>SUM(U3:U32)</ns0:f>
        <ns0:v>51</ns0:v>
      </ns0:c>
      <ns0:c r="V33" s="12">
        <ns0:f>SUM(V3:V32)</ns0:f>
        <ns0:v>68</ns0:v>
      </ns0:c>
      <ns0:c r="W33" s="12">
        <ns0:f>SUM(W3:W32)</ns0:f>
        <ns0:v>41</ns0:v>
      </ns0:c>
      <ns0:c r="X33" s="12">
        <ns0:f>SUM(X3:X32)</ns0:f>
        <ns0:v>24</ns0:v>
      </ns0:c>
      <ns0:c r="Y33" s="12">
        <ns0:f>SUM(Y3:Y32)</ns0:f>
        <ns0:v>36</ns0:v>
      </ns0:c>
      <ns0:c r="Z33" s="12">
        <ns0:f>SUM(Z3:Z32)</ns0:f>
        <ns0:v>36</ns0:v>
      </ns0:c>
      <ns0:c r="AA33" s="12">
        <ns0:f>SUM(AA3:AA32)</ns0:f>
        <ns0:v>40</ns0:v>
      </ns0:c>
      <ns0:c r="AB33" s="12">
        <ns0:f>SUM(AB3:AB32)</ns0:f>
        <ns0:v>34</ns0:v>
      </ns0:c>
      <ns0:c r="AC33" s="12">
        <ns0:f>SUM(AC3:AC32)</ns0:f>
        <ns0:v>30</ns0:v>
      </ns0:c>
      <ns0:c r="AD33" s="12">
        <ns0:f>SUM(AD3:AD32)</ns0:f>
        <ns0:v>17</ns0:v>
      </ns0:c>
      <ns0:c r="AE33" s="12">
        <ns0:f>SUM(AE3:AE32)</ns0:f>
        <ns0:v>18</ns0:v>
      </ns0:c>
      <ns0:c r="AF33" s="13" t="inlineStr"/>
    </ns0:row>
  </ns0:sheetData>
  <ns0:mergeCells count="1">
    <ns0:mergeCell ref="A1:AF1"/>
  </ns0:mergeCells>
  <ns0:conditionalFormatting sqref="B3:AE32">
    <ns0:cfRule type="cellIs" priority="1" operator="greaterThan" dxfId="0">
      <ns0:formula>3</ns0:formula>
    </ns0:cfRule>
  </ns0:conditionalFormatting>
  <ns0:pageMargins left="0.75" right="0.75" top="1" bottom="1" header="0.5" footer="0.5"/>
</ns0:worksheet>
</file>

<file path=xl/worksheets/sheet7.xml><?xml version="1.0" encoding="utf-8"?>
<ns0:worksheet xmlns:ns0="http://schemas.openxmlformats.org/spreadsheetml/2006/main">
  <ns0:sheetPr>
    <ns0:outlinePr summaryBelow="1" summaryRight="1"/>
    <ns0:pageSetUpPr/>
  </ns0:sheetPr>
  <ns0:dimension ref="A1:AF33"/>
  <ns0:sheetViews>
    <ns0:sheetView workbookViewId="0">
      <ns0:pane xSplit="1" ySplit="2" topLeftCell="B3" activePane="bottomRight" state="frozen"/>
      <ns0:selection pane="topRight"/>
      <ns0:selection pane="bottomLeft"/>
      <ns0:selection pane="bottomRight" activeCell="A1" sqref="A1"/>
    </ns0:sheetView>
  </ns0:sheetViews>
  <ns0:sheetFormatPr baseColWidth="8" defaultRowHeight="15"/>
  <ns0:cols>
    <ns0:col width="22" customWidth="1" min="1" max="1"/>
    <ns0:col width="14" customWidth="1" min="2" max="2"/>
    <ns0:col width="14" customWidth="1" min="3" max="3"/>
    <ns0:col width="14" customWidth="1" min="4" max="4"/>
    <ns0:col width="14" customWidth="1" min="5" max="5"/>
    <ns0:col width="14" customWidth="1" min="6" max="6"/>
    <ns0:col width="14" customWidth="1" min="7" max="7"/>
    <ns0:col width="14" customWidth="1" min="8" max="8"/>
    <ns0:col width="14" customWidth="1" min="9" max="9"/>
    <ns0:col width="14" customWidth="1" min="10" max="10"/>
    <ns0:col width="14" customWidth="1" min="11" max="11"/>
    <ns0:col width="14" customWidth="1" min="12" max="12"/>
    <ns0:col width="14" customWidth="1" min="13" max="13"/>
    <ns0:col width="14" customWidth="1" min="14" max="14"/>
    <ns0:col width="14" customWidth="1" min="15" max="15"/>
    <ns0:col width="14" customWidth="1" min="16" max="16"/>
    <ns0:col width="14" customWidth="1" min="17" max="17"/>
    <ns0:col width="14" customWidth="1" min="18" max="18"/>
    <ns0:col width="14" customWidth="1" min="19" max="19"/>
    <ns0:col width="14" customWidth="1" min="20" max="20"/>
    <ns0:col width="14" customWidth="1" min="21" max="21"/>
    <ns0:col width="14" customWidth="1" min="22" max="22"/>
    <ns0:col width="14" customWidth="1" min="23" max="23"/>
    <ns0:col width="14" customWidth="1" min="24" max="24"/>
    <ns0:col width="14" customWidth="1" min="25" max="25"/>
    <ns0:col width="14" customWidth="1" min="26" max="26"/>
    <ns0:col width="14" customWidth="1" min="27" max="27"/>
    <ns0:col width="14" customWidth="1" min="28" max="28"/>
    <ns0:col width="14" customWidth="1" min="29" max="29"/>
    <ns0:col width="14" customWidth="1" min="30" max="30"/>
    <ns0:col width="14" customWidth="1" min="31" max="31"/>
    <ns0:col width="12" customWidth="1" min="32" max="32"/>
  </ns0:cols>
  <ns0:sheetData>
    <ns0:row r="1">
      <ns0:c r="A1" s="6" t="inlineStr">
        <ns0:is>
          <ns0:t>Series (W-L) vs Opponent</ns0:t>
        </ns0:is>
      </ns0:c>
    </ns0:row>
    <ns0:row r="2">
      <ns0:c r="A2" s="4" t="inlineStr">
        <ns0:is>
          <ns0:t>Team \ Opponent</ns0:t>
        </ns0:is>
      </ns0:c>
      <ns0:c r="B2" s="7" t="inlineStr">
        <ns0:is>
          <ns0:t>Atlanta Hawks</ns0:t>
        </ns0:is>
      </ns0:c>
      <ns0:c r="C2" s="7" t="inlineStr">
        <ns0:is>
          <ns0:t>Boston Celtics</ns0:t>
        </ns0:is>
      </ns0:c>
      <ns0:c r="D2" s="7" t="inlineStr">
        <ns0:is>
          <ns0:t>Brooklyn Nets</ns0:t>
        </ns0:is>
      </ns0:c>
      <ns0:c r="E2" s="7" t="inlineStr">
        <ns0:is>
          <ns0:t>Charlotte Hornets</ns0:t>
        </ns0:is>
      </ns0:c>
      <ns0:c r="F2" s="7" t="inlineStr">
        <ns0:is>
          <ns0:t>Chicago Bulls</ns0:t>
        </ns0:is>
      </ns0:c>
      <ns0:c r="G2" s="7" t="inlineStr">
        <ns0:is>
          <ns0:t>Cleveland Cavaliers</ns0:t>
        </ns0:is>
      </ns0:c>
      <ns0:c r="H2" s="7" t="inlineStr">
        <ns0:is>
          <ns0:t>Dallas Mavericks</ns0:t>
        </ns0:is>
      </ns0:c>
      <ns0:c r="I2" s="7" t="inlineStr">
        <ns0:is>
          <ns0:t>Denver Nuggets</ns0:t>
        </ns0:is>
      </ns0:c>
      <ns0:c r="J2" s="7" t="inlineStr">
        <ns0:is>
          <ns0:t>Detroit Pistons</ns0:t>
        </ns0:is>
      </ns0:c>
      <ns0:c r="K2" s="7" t="inlineStr">
        <ns0:is>
          <ns0:t>Golden State Warriors</ns0:t>
        </ns0:is>
      </ns0:c>
      <ns0:c r="L2" s="7" t="inlineStr">
        <ns0:is>
          <ns0:t>Houston Rockets</ns0:t>
        </ns0:is>
      </ns0:c>
      <ns0:c r="M2" s="7" t="inlineStr">
        <ns0:is>
          <ns0:t>Indiana Pacers</ns0:t>
        </ns0:is>
      </ns0:c>
      <ns0:c r="N2" s="7" t="inlineStr">
        <ns0:is>
          <ns0:t>LA Clippers</ns0:t>
        </ns0:is>
      </ns0:c>
      <ns0:c r="O2" s="7" t="inlineStr">
        <ns0:is>
          <ns0:t>Los Angeles Lakers</ns0:t>
        </ns0:is>
      </ns0:c>
      <ns0:c r="P2" s="7" t="inlineStr">
        <ns0:is>
          <ns0:t>Memphis Grizzlies</ns0:t>
        </ns0:is>
      </ns0:c>
      <ns0:c r="Q2" s="7" t="inlineStr">
        <ns0:is>
          <ns0:t>Miami Heat</ns0:t>
        </ns0:is>
      </ns0:c>
      <ns0:c r="R2" s="7" t="inlineStr">
        <ns0:is>
          <ns0:t>Milwaukee Bucks</ns0:t>
        </ns0:is>
      </ns0:c>
      <ns0:c r="S2" s="7" t="inlineStr">
        <ns0:is>
          <ns0:t>Minnesota Timberwolves</ns0:t>
        </ns0:is>
      </ns0:c>
      <ns0:c r="T2" s="7" t="inlineStr">
        <ns0:is>
          <ns0:t>New Orleans Pelicans</ns0:t>
        </ns0:is>
      </ns0:c>
      <ns0:c r="U2" s="7" t="inlineStr">
        <ns0:is>
          <ns0:t>New York Knicks</ns0:t>
        </ns0:is>
      </ns0:c>
      <ns0:c r="V2" s="7" t="inlineStr">
        <ns0:is>
          <ns0:t>Oklahoma City Thunder</ns0:t>
        </ns0:is>
      </ns0:c>
      <ns0:c r="W2" s="7" t="inlineStr">
        <ns0:is>
          <ns0:t>Orlando Magic</ns0:t>
        </ns0:is>
      </ns0:c>
      <ns0:c r="X2" s="7" t="inlineStr">
        <ns0:is>
          <ns0:t>Philadelphia 76ers</ns0:t>
        </ns0:is>
      </ns0:c>
      <ns0:c r="Y2" s="7" t="inlineStr">
        <ns0:is>
          <ns0:t>Phoenix Suns</ns0:t>
        </ns0:is>
      </ns0:c>
      <ns0:c r="Z2" s="7" t="inlineStr">
        <ns0:is>
          <ns0:t>Portland Trail Blazers</ns0:t>
        </ns0:is>
      </ns0:c>
      <ns0:c r="AA2" s="7" t="inlineStr">
        <ns0:is>
          <ns0:t>Sacramento Kings</ns0:t>
        </ns0:is>
      </ns0:c>
      <ns0:c r="AB2" s="7" t="inlineStr">
        <ns0:is>
          <ns0:t>San Antonio Spurs</ns0:t>
        </ns0:is>
      </ns0:c>
      <ns0:c r="AC2" s="7" t="inlineStr">
        <ns0:is>
          <ns0:t>Toronto Raptors</ns0:t>
        </ns0:is>
      </ns0:c>
      <ns0:c r="AD2" s="7" t="inlineStr">
        <ns0:is>
          <ns0:t>Utah Jazz</ns0:t>
        </ns0:is>
      </ns0:c>
      <ns0:c r="AE2" s="7" t="inlineStr">
        <ns0:is>
          <ns0:t>Washington Wizards</ns0:t>
        </ns0:is>
      </ns0:c>
      <ns0:c r="AF2" s="4" t="inlineStr">
        <ns0:is>
          <ns0:t>Total</ns0:t>
        </ns0:is>
      </ns0:c>
    </ns0:row>
    <ns0:row r="3">
      <ns0:c r="A3" s="8" t="inlineStr">
        <ns0:is>
          <ns0:t>Atlanta Hawks</ns0:t>
        </ns0:is>
      </ns0:c>
      <ns0:c r="B3" s="9" t="inlineStr">
        <ns0:is>
          <ns0:t>-</ns0:t>
        </ns0:is>
      </ns0:c>
      <ns0:c r="C3" s="10" t="str">
        <ns0:f>Detail!E2</ns0:f>
        <ns0:v>2-1</ns0:v>
      </ns0:c>
      <ns0:c r="D3" s="10" t="str">
        <ns0:f>Detail!E3</ns0:f>
        <ns0:v>2-1</ns0:v>
      </ns0:c>
      <ns0:c r="E3" s="10" t="str">
        <ns0:f>Detail!E4</ns0:f>
        <ns0:v>4-0</ns0:v>
      </ns0:c>
      <ns0:c r="F3" s="10" t="str">
        <ns0:f>Detail!E5</ns0:f>
        <ns0:v>2-2</ns0:v>
      </ns0:c>
      <ns0:c r="G3" s="10" t="str">
        <ns0:f>Detail!E6</ns0:f>
        <ns0:v>2-1</ns0:v>
      </ns0:c>
      <ns0:c r="H3" s="10" t="str">
        <ns0:f>Detail!E7</ns0:f>
        <ns0:v>0-2</ns0:v>
      </ns0:c>
      <ns0:c r="I3" s="10" t="str">
        <ns0:f>Detail!E8</ns0:f>
        <ns0:v>0-2</ns0:v>
      </ns0:c>
      <ns0:c r="J3" s="10" t="str">
        <ns0:f>Detail!E9</ns0:f>
        <ns0:v>1-3</ns0:v>
      </ns0:c>
      <ns0:c r="K3" s="10" t="str">
        <ns0:f>Detail!E10</ns0:f>
        <ns0:v>1-1</ns0:v>
      </ns0:c>
      <ns0:c r="L3" s="10" t="str">
        <ns0:f>Detail!E11</ns0:f>
        <ns0:v>0-2</ns0:v>
      </ns0:c>
      <ns0:c r="M3" s="10" t="str">
        <ns0:f>Detail!E12</ns0:f>
        <ns0:v>2-1</ns0:v>
      </ns0:c>
      <ns0:c r="N3" s="10" t="str">
        <ns0:f>Detail!E13</ns0:f>
        <ns0:v>0-2</ns0:v>
      </ns0:c>
      <ns0:c r="O3" s="10" t="str">
        <ns0:f>Detail!E14</ns0:f>
        <ns0:v>1-1</ns0:v>
      </ns0:c>
      <ns0:c r="P3" s="10" t="str">
        <ns0:f>Detail!E15</ns0:f>
        <ns0:v>1-1</ns0:v>
      </ns0:c>
      <ns0:c r="Q3" s="10" t="str">
        <ns0:f>Detail!E16</ns0:f>
        <ns0:v>2-2</ns0:v>
      </ns0:c>
      <ns0:c r="R3" s="10" t="str">
        <ns0:f>Detail!E17</ns0:f>
        <ns0:v>3-2</ns0:v>
      </ns0:c>
      <ns0:c r="S3" s="10" t="str">
        <ns0:f>Detail!E18</ns0:f>
        <ns0:v>1-1</ns0:v>
      </ns0:c>
      <ns0:c r="T3" s="10" t="str">
        <ns0:f>Detail!E19</ns0:f>
        <ns0:v>2-0</ns0:v>
      </ns0:c>
      <ns0:c r="U3" s="10" t="str">
        <ns0:f>Detail!E20</ns0:f>
        <ns0:v>2-3</ns0:v>
      </ns0:c>
      <ns0:c r="V3" s="10" t="str">
        <ns0:f>Detail!E21</ns0:f>
        <ns0:v>0-2</ns0:v>
      </ns0:c>
      <ns0:c r="W3" s="10" t="str">
        <ns0:f>Detail!E22</ns0:f>
        <ns0:v>2-2</ns0:v>
      </ns0:c>
      <ns0:c r="X3" s="10" t="str">
        <ns0:f>Detail!E23</ns0:f>
        <ns0:v>3-0</ns0:v>
      </ns0:c>
      <ns0:c r="Y3" s="10" t="str">
        <ns0:f>Detail!E24</ns0:f>
        <ns0:v>1-1</ns0:v>
      </ns0:c>
      <ns0:c r="Z3" s="10" t="str">
        <ns0:f>Detail!E25</ns0:f>
        <ns0:v>0-2</ns0:v>
      </ns0:c>
      <ns0:c r="AA3" s="10" t="str">
        <ns0:f>Detail!E26</ns0:f>
        <ns0:v>1-1</ns0:v>
      </ns0:c>
      <ns0:c r="AB3" s="10" t="str">
        <ns0:f>Detail!E27</ns0:f>
        <ns0:v>0-2</ns0:v>
      </ns0:c>
      <ns0:c r="AC3" s="10" t="str">
        <ns0:f>Detail!E28</ns0:f>
        <ns0:v>1-2</ns0:v>
      </ns0:c>
      <ns0:c r="AD3" s="10" t="str">
        <ns0:f>Detail!E29</ns0:f>
        <ns0:v>2-0</ns0:v>
      </ns0:c>
      <ns0:c r="AE3" s="10" t="str">
        <ns0:f>Detail!E30</ns0:f>
        <ns0:v>2-2</ns0:v>
      </ns0:c>
      <ns0:c r="AF3" s="11" t="str">
        <ns0:f>Validation!C2&amp;"-"&amp;Validation!D2</ns0:f>
        <ns0:v>40-42</ns0:v>
      </ns0:c>
    </ns0:row>
    <ns0:row r="4">
      <ns0:c r="A4" s="8" t="inlineStr">
        <ns0:is>
          <ns0:t>Boston Celtics</ns0:t>
        </ns0:is>
      </ns0:c>
      <ns0:c r="B4" s="10" t="str">
        <ns0:f>Detail!E31</ns0:f>
        <ns0:v>1-2</ns0:v>
      </ns0:c>
      <ns0:c r="C4" s="9" t="inlineStr">
        <ns0:is>
          <ns0:t>-</ns0:t>
        </ns0:is>
      </ns0:c>
      <ns0:c r="D4" s="10" t="str">
        <ns0:f>Detail!E32</ns0:f>
        <ns0:v>4-0</ns0:v>
      </ns0:c>
      <ns0:c r="E4" s="10" t="str">
        <ns0:f>Detail!E33</ns0:f>
        <ns0:v>4-0</ns0:v>
      </ns0:c>
      <ns0:c r="F4" s="10" t="str">
        <ns0:f>Detail!E34</ns0:f>
        <ns0:v>3-1</ns0:v>
      </ns0:c>
      <ns0:c r="G4" s="10" t="str">
        <ns0:f>Detail!E35</ns0:f>
        <ns0:v>2-2</ns0:v>
      </ns0:c>
      <ns0:c r="H4" s="10" t="str">
        <ns0:f>Detail!E36</ns0:f>
        <ns0:v>1-1</ns0:v>
      </ns0:c>
      <ns0:c r="I4" s="10" t="str">
        <ns0:f>Detail!E37</ns0:f>
        <ns0:v>2-0</ns0:v>
      </ns0:c>
      <ns0:c r="J4" s="10" t="str">
        <ns0:f>Detail!E38</ns0:f>
        <ns0:v>3-1</ns0:v>
      </ns0:c>
      <ns0:c r="K4" s="10" t="str">
        <ns0:f>Detail!E39</ns0:f>
        <ns0:v>1-1</ns0:v>
      </ns0:c>
      <ns0:c r="L4" s="10" t="str">
        <ns0:f>Detail!E40</ns0:f>
        <ns0:v>1-1</ns0:v>
      </ns0:c>
      <ns0:c r="M4" s="10" t="str">
        <ns0:f>Detail!E41</ns0:f>
        <ns0:v>1-2</ns0:v>
      </ns0:c>
      <ns0:c r="N4" s="10" t="str">
        <ns0:f>Detail!E42</ns0:f>
        <ns0:v>2-0</ns0:v>
      </ns0:c>
      <ns0:c r="O4" s="10" t="str">
        <ns0:f>Detail!E43</ns0:f>
        <ns0:v>1-1</ns0:v>
      </ns0:c>
      <ns0:c r="P4" s="10" t="str">
        <ns0:f>Detail!E44</ns0:f>
        <ns0:v>1-1</ns0:v>
      </ns0:c>
      <ns0:c r="Q4" s="10" t="str">
        <ns0:f>Detail!E45</ns0:f>
        <ns0:v>3-1</ns0:v>
      </ns0:c>
      <ns0:c r="R4" s="10" t="str">
        <ns0:f>Detail!E46</ns0:f>
        <ns0:v>3-0</ns0:v>
      </ns0:c>
      <ns0:c r="S4" s="10" t="str">
        <ns0:f>Detail!E47</ns0:f>
        <ns0:v>2-0</ns0:v>
      </ns0:c>
      <ns0:c r="T4" s="10" t="str">
        <ns0:f>Detail!E48</ns0:f>
        <ns0:v>2-0</ns0:v>
      </ns0:c>
      <ns0:c r="U4" s="10" t="str">
        <ns0:f>Detail!E49</ns0:f>
        <ns0:v>4-0</ns0:v>
      </ns0:c>
      <ns0:c r="V4" s="10" t="str">
        <ns0:f>Detail!E50</ns0:f>
        <ns0:v>0-2</ns0:v>
      </ns0:c>
      <ns0:c r="W4" s="10" t="str">
        <ns0:f>Detail!E51</ns0:f>
        <ns0:v>1-2</ns0:v>
      </ns0:c>
      <ns0:c r="X4" s="10" t="str">
        <ns0:f>Detail!E52</ns0:f>
        <ns0:v>3-1</ns0:v>
      </ns0:c>
      <ns0:c r="Y4" s="10" t="str">
        <ns0:f>Detail!E53</ns0:f>
        <ns0:v>2-0</ns0:v>
      </ns0:c>
      <ns0:c r="Z4" s="10" t="str">
        <ns0:f>Detail!E54</ns0:f>
        <ns0:v>2-0</ns0:v>
      </ns0:c>
      <ns0:c r="AA4" s="10" t="str">
        <ns0:f>Detail!E55</ns0:f>
        <ns0:v>1-1</ns0:v>
      </ns0:c>
      <ns0:c r="AB4" s="10" t="str">
        <ns0:f>Detail!E56</ns0:f>
        <ns0:v>2-0</ns0:v>
      </ns0:c>
      <ns0:c r="AC4" s="10" t="str">
        <ns0:f>Detail!E57</ns0:f>
        <ns0:v>3-1</ns0:v>
      </ns0:c>
      <ns0:c r="AD4" s="10" t="str">
        <ns0:f>Detail!E58</ns0:f>
        <ns0:v>2-0</ns0:v>
      </ns0:c>
      <ns0:c r="AE4" s="10" t="str">
        <ns0:f>Detail!E59</ns0:f>
        <ns0:v>4-0</ns0:v>
      </ns0:c>
      <ns0:c r="AF4" s="11" t="str">
        <ns0:f>Validation!C3&amp;"-"&amp;Validation!D3</ns0:f>
        <ns0:v>61-21</ns0:v>
      </ns0:c>
    </ns0:row>
    <ns0:row r="5">
      <ns0:c r="A5" s="8" t="inlineStr">
        <ns0:is>
          <ns0:t>Brooklyn Nets</ns0:t>
        </ns0:is>
      </ns0:c>
      <ns0:c r="B5" s="10" t="str">
        <ns0:f>Detail!E60</ns0:f>
        <ns0:v>1-2</ns0:v>
      </ns0:c>
      <ns0:c r="C5" s="10" t="str">
        <ns0:f>Detail!E61</ns0:f>
        <ns0:v>0-4</ns0:v>
      </ns0:c>
      <ns0:c r="D5" s="9" t="inlineStr">
        <ns0:is>
          <ns0:t>-</ns0:t>
        </ns0:is>
      </ns0:c>
      <ns0:c r="E5" s="10" t="str">
        <ns0:f>Detail!E62</ns0:f>
        <ns0:v>3-1</ns0:v>
      </ns0:c>
      <ns0:c r="F5" s="10" t="str">
        <ns0:f>Detail!E63</ns0:f>
        <ns0:v>1-2</ns0:v>
      </ns0:c>
      <ns0:c r="G5" s="10" t="str">
        <ns0:f>Detail!E64</ns0:f>
        <ns0:v>0-4</ns0:v>
      </ns0:c>
      <ns0:c r="H5" s="10" t="str">
        <ns0:f>Detail!E65</ns0:f>
        <ns0:v>1-1</ns0:v>
      </ns0:c>
      <ns0:c r="I5" s="10" t="str">
        <ns0:f>Detail!E66</ns0:f>
        <ns0:v>0-2</ns0:v>
      </ns0:c>
      <ns0:c r="J5" s="10" t="str">
        <ns0:f>Detail!E67</ns0:f>
        <ns0:v>0-3</ns0:v>
      </ns0:c>
      <ns0:c r="K5" s="10" t="str">
        <ns0:f>Detail!E68</ns0:f>
        <ns0:v>1-1</ns0:v>
      </ns0:c>
      <ns0:c r="L5" s="10" t="str">
        <ns0:f>Detail!E69</ns0:f>
        <ns0:v>2-0</ns0:v>
      </ns0:c>
      <ns0:c r="M5" s="10" t="str">
        <ns0:f>Detail!E70</ns0:f>
        <ns0:v>1-3</ns0:v>
      </ns0:c>
      <ns0:c r="N5" s="10" t="str">
        <ns0:f>Detail!E71</ns0:f>
        <ns0:v>0-2</ns0:v>
      </ns0:c>
      <ns0:c r="O5" s="10" t="str">
        <ns0:f>Detail!E72</ns0:f>
        <ns0:v>1-1</ns0:v>
      </ns0:c>
      <ns0:c r="P5" s="10" t="str">
        <ns0:f>Detail!E73</ns0:f>
        <ns0:v>2-1</ns0:v>
      </ns0:c>
      <ns0:c r="Q5" s="10" t="str">
        <ns0:f>Detail!E74</ns0:f>
        <ns0:v>1-2</ns0:v>
      </ns0:c>
      <ns0:c r="R5" s="10" t="str">
        <ns0:f>Detail!E75</ns0:f>
        <ns0:v>3-1</ns0:v>
      </ns0:c>
      <ns0:c r="S5" s="10" t="str">
        <ns0:f>Detail!E76</ns0:f>
        <ns0:v>0-2</ns0:v>
      </ns0:c>
      <ns0:c r="T5" s="10" t="str">
        <ns0:f>Detail!E77</ns0:f>
        <ns0:v>2-0</ns0:v>
      </ns0:c>
      <ns0:c r="U5" s="10" t="str">
        <ns0:f>Detail!E78</ns0:f>
        <ns0:v>0-4</ns0:v>
      </ns0:c>
      <ns0:c r="V5" s="10" t="str">
        <ns0:f>Detail!E79</ns0:f>
        <ns0:v>0-2</ns0:v>
      </ns0:c>
      <ns0:c r="W5" s="10" t="str">
        <ns0:f>Detail!E80</ns0:f>
        <ns0:v>0-4</ns0:v>
      </ns0:c>
      <ns0:c r="X5" s="10" t="str">
        <ns0:f>Detail!E81</ns0:f>
        <ns0:v>2-2</ns0:v>
      </ns0:c>
      <ns0:c r="Y5" s="10" t="str">
        <ns0:f>Detail!E82</ns0:f>
        <ns0:v>1-1</ns0:v>
      </ns0:c>
      <ns0:c r="Z5" s="10" t="str">
        <ns0:f>Detail!E83</ns0:f>
        <ns0:v>1-1</ns0:v>
      </ns0:c>
      <ns0:c r="AA5" s="10" t="str">
        <ns0:f>Detail!E84</ns0:f>
        <ns0:v>1-1</ns0:v>
      </ns0:c>
      <ns0:c r="AB5" s="10" t="str">
        <ns0:f>Detail!E85</ns0:f>
        <ns0:v>0-2</ns0:v>
      </ns0:c>
      <ns0:c r="AC5" s="10" t="str">
        <ns0:f>Detail!E86</ns0:f>
        <ns0:v>1-3</ns0:v>
      </ns0:c>
      <ns0:c r="AD5" s="10" t="str">
        <ns0:f>Detail!E87</ns0:f>
        <ns0:v>0-2</ns0:v>
      </ns0:c>
      <ns0:c r="AE5" s="10" t="str">
        <ns0:f>Detail!E88</ns0:f>
        <ns0:v>1-2</ns0:v>
      </ns0:c>
      <ns0:c r="AF5" s="11" t="str">
        <ns0:f>Validation!C4&amp;"-"&amp;Validation!D4</ns0:f>
        <ns0:v>26-56</ns0:v>
      </ns0:c>
    </ns0:row>
    <ns0:row r="6">
      <ns0:c r="A6" s="8" t="inlineStr">
        <ns0:is>
          <ns0:t>Charlotte Hornets</ns0:t>
        </ns0:is>
      </ns0:c>
      <ns0:c r="B6" s="10" t="str">
        <ns0:f>Detail!E89</ns0:f>
        <ns0:v>0-4</ns0:v>
      </ns0:c>
      <ns0:c r="C6" s="10" t="str">
        <ns0:f>Detail!E90</ns0:f>
        <ns0:v>0-4</ns0:v>
      </ns0:c>
      <ns0:c r="D6" s="10" t="str">
        <ns0:f>Detail!E91</ns0:f>
        <ns0:v>1-3</ns0:v>
      </ns0:c>
      <ns0:c r="E6" s="9" t="inlineStr">
        <ns0:is>
          <ns0:t>-</ns0:t>
        </ns0:is>
      </ns0:c>
      <ns0:c r="F6" s="10" t="str">
        <ns0:f>Detail!E92</ns0:f>
        <ns0:v>1-3</ns0:v>
      </ns0:c>
      <ns0:c r="G6" s="10" t="str">
        <ns0:f>Detail!E93</ns0:f>
        <ns0:v>0-4</ns0:v>
      </ns0:c>
      <ns0:c r="H6" s="10" t="str">
        <ns0:f>Detail!E94</ns0:f>
        <ns0:v>1-1</ns0:v>
      </ns0:c>
      <ns0:c r="I6" s="10" t="str">
        <ns0:f>Detail!E95</ns0:f>
        <ns0:v>0-2</ns0:v>
      </ns0:c>
      <ns0:c r="J6" s="10" t="str">
        <ns0:f>Detail!E96</ns0:f>
        <ns0:v>2-2</ns0:v>
      </ns0:c>
      <ns0:c r="K6" s="10" t="str">
        <ns0:f>Detail!E97</ns0:f>
        <ns0:v>0-2</ns0:v>
      </ns0:c>
      <ns0:c r="L6" s="10" t="str">
        <ns0:f>Detail!E98</ns0:f>
        <ns0:v>1-1</ns0:v>
      </ns0:c>
      <ns0:c r="M6" s="10" t="str">
        <ns0:f>Detail!E99</ns0:f>
        <ns0:v>2-1</ns0:v>
      </ns0:c>
      <ns0:c r="N6" s="10" t="str">
        <ns0:f>Detail!E100</ns0:f>
        <ns0:v>0-2</ns0:v>
      </ns0:c>
      <ns0:c r="O6" s="10" t="str">
        <ns0:f>Detail!E101</ns0:f>
        <ns0:v>1-1</ns0:v>
      </ns0:c>
      <ns0:c r="P6" s="10" t="str">
        <ns0:f>Detail!E102</ns0:f>
        <ns0:v>0-2</ns0:v>
      </ns0:c>
      <ns0:c r="Q6" s="10" t="str">
        <ns0:f>Detail!E103</ns0:f>
        <ns0:v>1-3</ns0:v>
      </ns0:c>
      <ns0:c r="R6" s="10" t="str">
        <ns0:f>Detail!E104</ns0:f>
        <ns0:v>1-2</ns0:v>
      </ns0:c>
      <ns0:c r="S6" s="10" t="str">
        <ns0:f>Detail!E105</ns0:f>
        <ns0:v>0-2</ns0:v>
      </ns0:c>
      <ns0:c r="T6" s="10" t="str">
        <ns0:f>Detail!E106</ns0:f>
        <ns0:v>1-1</ns0:v>
      </ns0:c>
      <ns0:c r="U6" s="10" t="str">
        <ns0:f>Detail!E107</ns0:f>
        <ns0:v>1-2</ns0:v>
      </ns0:c>
      <ns0:c r="V6" s="10" t="str">
        <ns0:f>Detail!E108</ns0:f>
        <ns0:v>0-2</ns0:v>
      </ns0:c>
      <ns0:c r="W6" s="10" t="str">
        <ns0:f>Detail!E109</ns0:f>
        <ns0:v>0-4</ns0:v>
      </ns0:c>
      <ns0:c r="X6" s="10" t="str">
        <ns0:f>Detail!E110</ns0:f>
        <ns0:v>0-4</ns0:v>
      </ns0:c>
      <ns0:c r="Y6" s="10" t="str">
        <ns0:f>Detail!E111</ns0:f>
        <ns0:v>1-1</ns0:v>
      </ns0:c>
      <ns0:c r="Z6" s="10" t="str">
        <ns0:f>Detail!E112</ns0:f>
        <ns0:v>0-2</ns0:v>
      </ns0:c>
      <ns0:c r="AA6" s="10" t="str">
        <ns0:f>Detail!E113</ns0:f>
        <ns0:v>0-2</ns0:v>
      </ns0:c>
      <ns0:c r="AB6" s="10" t="str">
        <ns0:f>Detail!E114</ns0:f>
        <ns0:v>2-0</ns0:v>
      </ns0:c>
      <ns0:c r="AC6" s="10" t="str">
        <ns0:f>Detail!E115</ns0:f>
        <ns0:v>1-2</ns0:v>
      </ns0:c>
      <ns0:c r="AD6" s="10" t="str">
        <ns0:f>Detail!E116</ns0:f>
        <ns0:v>2-0</ns0:v>
      </ns0:c>
      <ns0:c r="AE6" s="10" t="str">
        <ns0:f>Detail!E117</ns0:f>
        <ns0:v>0-4</ns0:v>
      </ns0:c>
      <ns0:c r="AF6" s="11" t="str">
        <ns0:f>Validation!C5&amp;"-"&amp;Validation!D5</ns0:f>
        <ns0:v>19-63</ns0:v>
      </ns0:c>
    </ns0:row>
    <ns0:row r="7">
      <ns0:c r="A7" s="8" t="inlineStr">
        <ns0:is>
          <ns0:t>Chicago Bulls</ns0:t>
        </ns0:is>
      </ns0:c>
      <ns0:c r="B7" s="10" t="str">
        <ns0:f>Detail!E118</ns0:f>
        <ns0:v>2-2</ns0:v>
      </ns0:c>
      <ns0:c r="C7" s="10" t="str">
        <ns0:f>Detail!E119</ns0:f>
        <ns0:v>1-3</ns0:v>
      </ns0:c>
      <ns0:c r="D7" s="10" t="str">
        <ns0:f>Detail!E120</ns0:f>
        <ns0:v>2-1</ns0:v>
      </ns0:c>
      <ns0:c r="E7" s="10" t="str">
        <ns0:f>Detail!E121</ns0:f>
        <ns0:v>3-1</ns0:v>
      </ns0:c>
      <ns0:c r="F7" s="9" t="inlineStr">
        <ns0:is>
          <ns0:t>-</ns0:t>
        </ns0:is>
      </ns0:c>
      <ns0:c r="G7" s="10" t="str">
        <ns0:f>Detail!E122</ns0:f>
        <ns0:v>0-4</ns0:v>
      </ns0:c>
      <ns0:c r="H7" s="10" t="str">
        <ns0:f>Detail!E123</ns0:f>
        <ns0:v>0-2</ns0:v>
      </ns0:c>
      <ns0:c r="I7" s="10" t="str">
        <ns0:f>Detail!E124</ns0:f>
        <ns0:v>2-0</ns0:v>
      </ns0:c>
      <ns0:c r="J7" s="10" t="str">
        <ns0:f>Detail!E125</ns0:f>
        <ns0:v>1-3</ns0:v>
      </ns0:c>
      <ns0:c r="K7" s="10" t="str">
        <ns0:f>Detail!E126</ns0:f>
        <ns0:v>0-2</ns0:v>
      </ns0:c>
      <ns0:c r="L7" s="10" t="str">
        <ns0:f>Detail!E127</ns0:f>
        <ns0:v>0-2</ns0:v>
      </ns0:c>
      <ns0:c r="M7" s="10" t="str">
        <ns0:f>Detail!E128</ns0:f>
        <ns0:v>1-3</ns0:v>
      </ns0:c>
      <ns0:c r="N7" s="10" t="str">
        <ns0:f>Detail!E129</ns0:f>
        <ns0:v>1-1</ns0:v>
      </ns0:c>
      <ns0:c r="O7" s="10" t="str">
        <ns0:f>Detail!E130</ns0:f>
        <ns0:v>2-0</ns0:v>
      </ns0:c>
      <ns0:c r="P7" s="10" t="str">
        <ns0:f>Detail!E131</ns0:f>
        <ns0:v>1-1</ns0:v>
      </ns0:c>
      <ns0:c r="Q7" s="10" t="str">
        <ns0:f>Detail!E132</ns0:f>
        <ns0:v>3-0</ns0:v>
      </ns0:c>
      <ns0:c r="R7" s="10" t="str">
        <ns0:f>Detail!E133</ns0:f>
        <ns0:v>2-2</ns0:v>
      </ns0:c>
      <ns0:c r="S7" s="10" t="str">
        <ns0:f>Detail!E134</ns0:f>
        <ns0:v>0-2</ns0:v>
      </ns0:c>
      <ns0:c r="T7" s="10" t="str">
        <ns0:f>Detail!E135</ns0:f>
        <ns0:v>0-2</ns0:v>
      </ns0:c>
      <ns0:c r="U7" s="10" t="str">
        <ns0:f>Detail!E136</ns0:f>
        <ns0:v>2-1</ns0:v>
      </ns0:c>
      <ns0:c r="V7" s="10" t="str">
        <ns0:f>Detail!E137</ns0:f>
        <ns0:v>0-2</ns0:v>
      </ns0:c>
      <ns0:c r="W7" s="10" t="str">
        <ns0:f>Detail!E138</ns0:f>
        <ns0:v>2-1</ns0:v>
      </ns0:c>
      <ns0:c r="X7" s="10" t="str">
        <ns0:f>Detail!E139</ns0:f>
        <ns0:v>2-2</ns0:v>
      </ns0:c>
      <ns0:c r="Y7" s="10" t="str">
        <ns0:f>Detail!E140</ns0:f>
        <ns0:v>0-2</ns0:v>
      </ns0:c>
      <ns0:c r="Z7" s="10" t="str">
        <ns0:f>Detail!E141</ns0:f>
        <ns0:v>1-1</ns0:v>
      </ns0:c>
      <ns0:c r="AA7" s="10" t="str">
        <ns0:f>Detail!E142</ns0:f>
        <ns0:v>1-1</ns0:v>
      </ns0:c>
      <ns0:c r="AB7" s="10" t="str">
        <ns0:f>Detail!E143</ns0:f>
        <ns0:v>2-0</ns0:v>
      </ns0:c>
      <ns0:c r="AC7" s="10" t="str">
        <ns0:f>Detail!E144</ns0:f>
        <ns0:v>4-0</ns0:v>
      </ns0:c>
      <ns0:c r="AD7" s="10" t="str">
        <ns0:f>Detail!E145</ns0:f>
        <ns0:v>1-1</ns0:v>
      </ns0:c>
      <ns0:c r="AE7" s="10" t="str">
        <ns0:f>Detail!E146</ns0:f>
        <ns0:v>3-1</ns0:v>
      </ns0:c>
      <ns0:c r="AF7" s="11" t="str">
        <ns0:f>Validation!C6&amp;"-"&amp;Validation!D6</ns0:f>
        <ns0:v>39-43</ns0:v>
      </ns0:c>
    </ns0:row>
    <ns0:row r="8">
      <ns0:c r="A8" s="8" t="inlineStr">
        <ns0:is>
          <ns0:t>Cleveland Cavaliers</ns0:t>
        </ns0:is>
      </ns0:c>
      <ns0:c r="B8" s="10" t="str">
        <ns0:f>Detail!E147</ns0:f>
        <ns0:v>1-2</ns0:v>
      </ns0:c>
      <ns0:c r="C8" s="10" t="str">
        <ns0:f>Detail!E148</ns0:f>
        <ns0:v>2-2</ns0:v>
      </ns0:c>
      <ns0:c r="D8" s="10" t="str">
        <ns0:f>Detail!E149</ns0:f>
        <ns0:v>4-0</ns0:v>
      </ns0:c>
      <ns0:c r="E8" s="10" t="str">
        <ns0:f>Detail!E150</ns0:f>
        <ns0:v>4-0</ns0:v>
      </ns0:c>
      <ns0:c r="F8" s="10" t="str">
        <ns0:f>Detail!E151</ns0:f>
        <ns0:v>4-0</ns0:v>
      </ns0:c>
      <ns0:c r="G8" s="9" t="inlineStr">
        <ns0:is>
          <ns0:t>-</ns0:t>
        </ns0:is>
      </ns0:c>
      <ns0:c r="H8" s="10" t="str">
        <ns0:f>Detail!E152</ns0:f>
        <ns0:v>2-0</ns0:v>
      </ns0:c>
      <ns0:c r="I8" s="10" t="str">
        <ns0:f>Detail!E153</ns0:f>
        <ns0:v>2-0</ns0:v>
      </ns0:c>
      <ns0:c r="J8" s="10" t="str">
        <ns0:f>Detail!E154</ns0:f>
        <ns0:v>3-1</ns0:v>
      </ns0:c>
      <ns0:c r="K8" s="10" t="str">
        <ns0:f>Detail!E155</ns0:f>
        <ns0:v>2-0</ns0:v>
      </ns0:c>
      <ns0:c r="L8" s="10" t="str">
        <ns0:f>Detail!E156</ns0:f>
        <ns0:v>0-2</ns0:v>
      </ns0:c>
      <ns0:c r="M8" s="10" t="str">
        <ns0:f>Detail!E157</ns0:f>
        <ns0:v>1-3</ns0:v>
      </ns0:c>
      <ns0:c r="N8" s="10" t="str">
        <ns0:f>Detail!E158</ns0:f>
        <ns0:v>1-1</ns0:v>
      </ns0:c>
      <ns0:c r="O8" s="10" t="str">
        <ns0:f>Detail!E159</ns0:f>
        <ns0:v>2-0</ns0:v>
      </ns0:c>
      <ns0:c r="P8" s="10" t="str">
        <ns0:f>Detail!E160</ns0:f>
        <ns0:v>2-0</ns0:v>
      </ns0:c>
      <ns0:c r="Q8" s="10" t="str">
        <ns0:f>Detail!E161</ns0:f>
        <ns0:v>2-1</ns0:v>
      </ns0:c>
      <ns0:c r="R8" s="10" t="str">
        <ns0:f>Detail!E162</ns0:f>
        <ns0:v>4-0</ns0:v>
      </ns0:c>
      <ns0:c r="S8" s="10" t="str">
        <ns0:f>Detail!E163</ns0:f>
        <ns0:v>2-0</ns0:v>
      </ns0:c>
      <ns0:c r="T8" s="10" t="str">
        <ns0:f>Detail!E164</ns0:f>
        <ns0:v>2-0</ns0:v>
      </ns0:c>
      <ns0:c r="U8" s="10" t="str">
        <ns0:f>Detail!E165</ns0:f>
        <ns0:v>4-0</ns0:v>
      </ns0:c>
      <ns0:c r="V8" s="10" t="str">
        <ns0:f>Detail!E166</ns0:f>
        <ns0:v>1-1</ns0:v>
      </ns0:c>
      <ns0:c r="W8" s="10" t="str">
        <ns0:f>Detail!E167</ns0:f>
        <ns0:v>2-1</ns0:v>
      </ns0:c>
      <ns0:c r="X8" s="10" t="str">
        <ns0:f>Detail!E168</ns0:f>
        <ns0:v>2-1</ns0:v>
      </ns0:c>
      <ns0:c r="Y8" s="10" t="str">
        <ns0:f>Detail!E169</ns0:f>
        <ns0:v>1-1</ns0:v>
      </ns0:c>
      <ns0:c r="Z8" s="10" t="str">
        <ns0:f>Detail!E170</ns0:f>
        <ns0:v>2-0</ns0:v>
      </ns0:c>
      <ns0:c r="AA8" s="10" t="str">
        <ns0:f>Detail!E171</ns0:f>
        <ns0:v>0-2</ns0:v>
      </ns0:c>
      <ns0:c r="AB8" s="10" t="str">
        <ns0:f>Detail!E172</ns0:f>
        <ns0:v>2-0</ns0:v>
      </ns0:c>
      <ns0:c r="AC8" s="10" t="str">
        <ns0:f>Detail!E173</ns0:f>
        <ns0:v>4-0</ns0:v>
      </ns0:c>
      <ns0:c r="AD8" s="10" t="str">
        <ns0:f>Detail!E174</ns0:f>
        <ns0:v>2-0</ns0:v>
      </ns0:c>
      <ns0:c r="AE8" s="10" t="str">
        <ns0:f>Detail!E175</ns0:f>
        <ns0:v>4-0</ns0:v>
      </ns0:c>
      <ns0:c r="AF8" s="11" t="str">
        <ns0:f>Validation!C7&amp;"-"&amp;Validation!D7</ns0:f>
        <ns0:v>64-18</ns0:v>
      </ns0:c>
    </ns0:row>
    <ns0:row r="9">
      <ns0:c r="A9" s="8" t="inlineStr">
        <ns0:is>
          <ns0:t>Dallas Mavericks</ns0:t>
        </ns0:is>
      </ns0:c>
      <ns0:c r="B9" s="10" t="str">
        <ns0:f>Detail!E176</ns0:f>
        <ns0:v>2-0</ns0:v>
      </ns0:c>
      <ns0:c r="C9" s="10" t="str">
        <ns0:f>Detail!E177</ns0:f>
        <ns0:v>1-1</ns0:v>
      </ns0:c>
      <ns0:c r="D9" s="10" t="str">
        <ns0:f>Detail!E178</ns0:f>
        <ns0:v>1-1</ns0:v>
      </ns0:c>
      <ns0:c r="E9" s="10" t="str">
        <ns0:f>Detail!E179</ns0:f>
        <ns0:v>1-1</ns0:v>
      </ns0:c>
      <ns0:c r="F9" s="10" t="str">
        <ns0:f>Detail!E180</ns0:f>
        <ns0:v>2-0</ns0:v>
      </ns0:c>
      <ns0:c r="G9" s="10" t="str">
        <ns0:f>Detail!E181</ns0:f>
        <ns0:v>0-2</ns0:v>
      </ns0:c>
      <ns0:c r="H9" s="9" t="inlineStr">
        <ns0:is>
          <ns0:t>-</ns0:t>
        </ns0:is>
      </ns0:c>
      <ns0:c r="I9" s="10" t="str">
        <ns0:f>Detail!E182</ns0:f>
        <ns0:v>1-3</ns0:v>
      </ns0:c>
      <ns0:c r="J9" s="10" t="str">
        <ns0:f>Detail!E183</ns0:f>
        <ns0:v>1-1</ns0:v>
      </ns0:c>
      <ns0:c r="K9" s="10" t="str">
        <ns0:f>Detail!E184</ns0:f>
        <ns0:v>2-2</ns0:v>
      </ns0:c>
      <ns0:c r="L9" s="10" t="str">
        <ns0:f>Detail!E185</ns0:f>
        <ns0:v>1-3</ns0:v>
      </ns0:c>
      <ns0:c r="M9" s="10" t="str">
        <ns0:f>Detail!E186</ns0:f>
        <ns0:v>0-2</ns0:v>
      </ns0:c>
      <ns0:c r="N9" s="10" t="str">
        <ns0:f>Detail!E187</ns0:f>
        <ns0:v>1-3</ns0:v>
      </ns0:c>
      <ns0:c r="O9" s="10" t="str">
        <ns0:f>Detail!E188</ns0:f>
        <ns0:v>1-2</ns0:v>
      </ns0:c>
      <ns0:c r="P9" s="10" t="str">
        <ns0:f>Detail!E189</ns0:f>
        <ns0:v>1-3</ns0:v>
      </ns0:c>
      <ns0:c r="Q9" s="10" t="str">
        <ns0:f>Detail!E190</ns0:f>
        <ns0:v>1-1</ns0:v>
      </ns0:c>
      <ns0:c r="R9" s="10" t="str">
        <ns0:f>Detail!E191</ns0:f>
        <ns0:v>0-2</ns0:v>
      </ns0:c>
      <ns0:c r="S9" s="10" t="str">
        <ns0:f>Detail!E192</ns0:f>
        <ns0:v>1-2</ns0:v>
      </ns0:c>
      <ns0:c r="T9" s="10" t="str">
        <ns0:f>Detail!E193</ns0:f>
        <ns0:v>3-1</ns0:v>
      </ns0:c>
      <ns0:c r="U9" s="10" t="str">
        <ns0:f>Detail!E194</ns0:f>
        <ns0:v>1-1</ns0:v>
      </ns0:c>
      <ns0:c r="V9" s="10" t="str">
        <ns0:f>Detail!E195</ns0:f>
        <ns0:v>3-1</ns0:v>
      </ns0:c>
      <ns0:c r="W9" s="10" t="str">
        <ns0:f>Detail!E196</ns0:f>
        <ns0:v>2-0</ns0:v>
      </ns0:c>
      <ns0:c r="X9" s="10" t="str">
        <ns0:f>Detail!E197</ns0:f>
        <ns0:v>0-2</ns0:v>
      </ns0:c>
      <ns0:c r="Y9" s="10" t="str">
        <ns0:f>Detail!E198</ns0:f>
        <ns0:v>1-3</ns0:v>
      </ns0:c>
      <ns0:c r="Z9" s="10" t="str">
        <ns0:f>Detail!E199</ns0:f>
        <ns0:v>3-1</ns0:v>
      </ns0:c>
      <ns0:c r="AA9" s="10" t="str">
        <ns0:f>Detail!E200</ns0:f>
        <ns0:v>0-3</ns0:v>
      </ns0:c>
      <ns0:c r="AB9" s="10" t="str">
        <ns0:f>Detail!E201</ns0:f>
        <ns0:v>3-1</ns0:v>
      </ns0:c>
      <ns0:c r="AC9" s="10" t="str">
        <ns0:f>Detail!E202</ns0:f>
        <ns0:v>2-0</ns0:v>
      </ns0:c>
      <ns0:c r="AD9" s="10" t="str">
        <ns0:f>Detail!E203</ns0:f>
        <ns0:v>2-1</ns0:v>
      </ns0:c>
      <ns0:c r="AE9" s="10" t="str">
        <ns0:f>Detail!E204</ns0:f>
        <ns0:v>2-0</ns0:v>
      </ns0:c>
      <ns0:c r="AF9" s="11" t="str">
        <ns0:f>Validation!C8&amp;"-"&amp;Validation!D8</ns0:f>
        <ns0:v>39-43</ns0:v>
      </ns0:c>
    </ns0:row>
    <ns0:row r="10">
      <ns0:c r="A10" s="8" t="inlineStr">
        <ns0:is>
          <ns0:t>Denver Nuggets</ns0:t>
        </ns0:is>
      </ns0:c>
      <ns0:c r="B10" s="10" t="str">
        <ns0:f>Detail!E205</ns0:f>
        <ns0:v>2-0</ns0:v>
      </ns0:c>
      <ns0:c r="C10" s="10" t="str">
        <ns0:f>Detail!E206</ns0:f>
        <ns0:v>0-2</ns0:v>
      </ns0:c>
      <ns0:c r="D10" s="10" t="str">
        <ns0:f>Detail!E207</ns0:f>
        <ns0:v>2-0</ns0:v>
      </ns0:c>
      <ns0:c r="E10" s="10" t="str">
        <ns0:f>Detail!E208</ns0:f>
        <ns0:v>2-0</ns0:v>
      </ns0:c>
      <ns0:c r="F10" s="10" t="str">
        <ns0:f>Detail!E209</ns0:f>
        <ns0:v>0-2</ns0:v>
      </ns0:c>
      <ns0:c r="G10" s="10" t="str">
        <ns0:f>Detail!E210</ns0:f>
        <ns0:v>0-2</ns0:v>
      </ns0:c>
      <ns0:c r="H10" s="10" t="str">
        <ns0:f>Detail!E211</ns0:f>
        <ns0:v>3-1</ns0:v>
      </ns0:c>
      <ns0:c r="I10" s="9" t="inlineStr">
        <ns0:is>
          <ns0:t>-</ns0:t>
        </ns0:is>
      </ns0:c>
      <ns0:c r="J10" s="10" t="str">
        <ns0:f>Detail!E212</ns0:f>
        <ns0:v>2-0</ns0:v>
      </ns0:c>
      <ns0:c r="K10" s="10" t="str">
        <ns0:f>Detail!E213</ns0:f>
        <ns0:v>2-1</ns0:v>
      </ns0:c>
      <ns0:c r="L10" s="10" t="str">
        <ns0:f>Detail!E214</ns0:f>
        <ns0:v>2-1</ns0:v>
      </ns0:c>
      <ns0:c r="M10" s="10" t="str">
        <ns0:f>Detail!E215</ns0:f>
        <ns0:v>1-1</ns0:v>
      </ns0:c>
      <ns0:c r="N10" s="10" t="str">
        <ns0:f>Detail!E216</ns0:f>
        <ns0:v>2-2</ns0:v>
      </ns0:c>
      <ns0:c r="O10" s="10" t="str">
        <ns0:f>Detail!E217</ns0:f>
        <ns0:v>2-2</ns0:v>
      </ns0:c>
      <ns0:c r="P10" s="10" t="str">
        <ns0:f>Detail!E218</ns0:f>
        <ns0:v>2-1</ns0:v>
      </ns0:c>
      <ns0:c r="Q10" s="10" t="str">
        <ns0:f>Detail!E219</ns0:f>
        <ns0:v>2-0</ns0:v>
      </ns0:c>
      <ns0:c r="R10" s="10" t="str">
        <ns0:f>Detail!E220</ns0:f>
        <ns0:v>1-1</ns0:v>
      </ns0:c>
      <ns0:c r="S10" s="10" t="str">
        <ns0:f>Detail!E221</ns0:f>
        <ns0:v>0-4</ns0:v>
      </ns0:c>
      <ns0:c r="T10" s="10" t="str">
        <ns0:f>Detail!E222</ns0:f>
        <ns0:v>3-1</ns0:v>
      </ns0:c>
      <ns0:c r="U10" s="10" t="str">
        <ns0:f>Detail!E223</ns0:f>
        <ns0:v>0-2</ns0:v>
      </ns0:c>
      <ns0:c r="V10" s="10" t="str">
        <ns0:f>Detail!E224</ns0:f>
        <ns0:v>2-2</ns0:v>
      </ns0:c>
      <ns0:c r="W10" s="10" t="str">
        <ns0:f>Detail!E225</ns0:f>
        <ns0:v>2-0</ns0:v>
      </ns0:c>
      <ns0:c r="X10" s="10" t="str">
        <ns0:f>Detail!E226</ns0:f>
        <ns0:v>2-0</ns0:v>
      </ns0:c>
      <ns0:c r="Y10" s="10" t="str">
        <ns0:f>Detail!E227</ns0:f>
        <ns0:v>3-1</ns0:v>
      </ns0:c>
      <ns0:c r="Z10" s="10" t="str">
        <ns0:f>Detail!E228</ns0:f>
        <ns0:v>2-2</ns0:v>
      </ns0:c>
      <ns0:c r="AA10" s="10" t="str">
        <ns0:f>Detail!E229</ns0:f>
        <ns0:v>4-0</ns0:v>
      </ns0:c>
      <ns0:c r="AB10" s="10" t="str">
        <ns0:f>Detail!E230</ns0:f>
        <ns0:v>1-2</ns0:v>
      </ns0:c>
      <ns0:c r="AC10" s="10" t="str">
        <ns0:f>Detail!E231</ns0:f>
        <ns0:v>2-0</ns0:v>
      </ns0:c>
      <ns0:c r="AD10" s="10" t="str">
        <ns0:f>Detail!E232</ns0:f>
        <ns0:v>4-0</ns0:v>
      </ns0:c>
      <ns0:c r="AE10" s="10" t="str">
        <ns0:f>Detail!E233</ns0:f>
        <ns0:v>0-2</ns0:v>
      </ns0:c>
      <ns0:c r="AF10" s="11" t="str">
        <ns0:f>Validation!C9&amp;"-"&amp;Validation!D9</ns0:f>
        <ns0:v>50-32</ns0:v>
      </ns0:c>
    </ns0:row>
    <ns0:row r="11">
      <ns0:c r="A11" s="8" t="inlineStr">
        <ns0:is>
          <ns0:t>Detroit Pistons</ns0:t>
        </ns0:is>
      </ns0:c>
      <ns0:c r="B11" s="10" t="str">
        <ns0:f>Detail!E234</ns0:f>
        <ns0:v>3-1</ns0:v>
      </ns0:c>
      <ns0:c r="C11" s="10" t="str">
        <ns0:f>Detail!E235</ns0:f>
        <ns0:v>1-3</ns0:v>
      </ns0:c>
      <ns0:c r="D11" s="10" t="str">
        <ns0:f>Detail!E236</ns0:f>
        <ns0:v>3-0</ns0:v>
      </ns0:c>
      <ns0:c r="E11" s="10" t="str">
        <ns0:f>Detail!E237</ns0:f>
        <ns0:v>2-2</ns0:v>
      </ns0:c>
      <ns0:c r="F11" s="10" t="str">
        <ns0:f>Detail!E238</ns0:f>
        <ns0:v>3-1</ns0:v>
      </ns0:c>
      <ns0:c r="G11" s="10" t="str">
        <ns0:f>Detail!E239</ns0:f>
        <ns0:v>1-3</ns0:v>
      </ns0:c>
      <ns0:c r="H11" s="10" t="str">
        <ns0:f>Detail!E240</ns0:f>
        <ns0:v>1-1</ns0:v>
      </ns0:c>
      <ns0:c r="I11" s="10" t="str">
        <ns0:f>Detail!E241</ns0:f>
        <ns0:v>0-2</ns0:v>
      </ns0:c>
      <ns0:c r="J11" s="9" t="inlineStr">
        <ns0:is>
          <ns0:t>-</ns0:t>
        </ns0:is>
      </ns0:c>
      <ns0:c r="K11" s="10" t="str">
        <ns0:f>Detail!E242</ns0:f>
        <ns0:v>0-2</ns0:v>
      </ns0:c>
      <ns0:c r="L11" s="10" t="str">
        <ns0:f>Detail!E243</ns0:f>
        <ns0:v>1-1</ns0:v>
      </ns0:c>
      <ns0:c r="M11" s="10" t="str">
        <ns0:f>Detail!E244</ns0:f>
        <ns0:v>1-3</ns0:v>
      </ns0:c>
      <ns0:c r="N11" s="10" t="str">
        <ns0:f>Detail!E245</ns0:f>
        <ns0:v>1-1</ns0:v>
      </ns0:c>
      <ns0:c r="O11" s="10" t="str">
        <ns0:f>Detail!E246</ns0:f>
        <ns0:v>2-0</ns0:v>
      </ns0:c>
      <ns0:c r="P11" s="10" t="str">
        <ns0:f>Detail!E247</ns0:f>
        <ns0:v>0-2</ns0:v>
      </ns0:c>
      <ns0:c r="Q11" s="10" t="str">
        <ns0:f>Detail!E248</ns0:f>
        <ns0:v>3-1</ns0:v>
      </ns0:c>
      <ns0:c r="R11" s="10" t="str">
        <ns0:f>Detail!E249</ns0:f>
        <ns0:v>0-4</ns0:v>
      </ns0:c>
      <ns0:c r="S11" s="10" t="str">
        <ns0:f>Detail!E250</ns0:f>
        <ns0:v>1-1</ns0:v>
      </ns0:c>
      <ns0:c r="T11" s="10" t="str">
        <ns0:f>Detail!E251</ns0:f>
        <ns0:v>2-0</ns0:v>
      </ns0:c>
      <ns0:c r="U11" s="10" t="str">
        <ns0:f>Detail!E252</ns0:f>
        <ns0:v>3-1</ns0:v>
      </ns0:c>
      <ns0:c r="V11" s="10" t="str">
        <ns0:f>Detail!E253</ns0:f>
        <ns0:v>0-2</ns0:v>
      </ns0:c>
      <ns0:c r="W11" s="10" t="str">
        <ns0:f>Detail!E254</ns0:f>
        <ns0:v>1-2</ns0:v>
      </ns0:c>
      <ns0:c r="X11" s="10" t="str">
        <ns0:f>Detail!E255</ns0:f>
        <ns0:v>2-1</ns0:v>
      </ns0:c>
      <ns0:c r="Y11" s="10" t="str">
        <ns0:f>Detail!E256</ns0:f>
        <ns0:v>1-1</ns0:v>
      </ns0:c>
      <ns0:c r="Z11" s="10" t="str">
        <ns0:f>Detail!E257</ns0:f>
        <ns0:v>2-0</ns0:v>
      </ns0:c>
      <ns0:c r="AA11" s="10" t="str">
        <ns0:f>Detail!E258</ns0:f>
        <ns0:v>1-1</ns0:v>
      </ns0:c>
      <ns0:c r="AB11" s="10" t="str">
        <ns0:f>Detail!E259</ns0:f>
        <ns0:v>2-0</ns0:v>
      </ns0:c>
      <ns0:c r="AC11" s="10" t="str">
        <ns0:f>Detail!E260</ns0:f>
        <ns0:v>4-0</ns0:v>
      </ns0:c>
      <ns0:c r="AD11" s="10" t="str">
        <ns0:f>Detail!E261</ns0:f>
        <ns0:v>1-1</ns0:v>
      </ns0:c>
      <ns0:c r="AE11" s="10" t="str">
        <ns0:f>Detail!E262</ns0:f>
        <ns0:v>2-1</ns0:v>
      </ns0:c>
      <ns0:c r="AF11" s="11" t="str">
        <ns0:f>Validation!C10&amp;"-"&amp;Validation!D10</ns0:f>
        <ns0:v>44-38</ns0:v>
      </ns0:c>
    </ns0:row>
    <ns0:row r="12">
      <ns0:c r="A12" s="8" t="inlineStr">
        <ns0:is>
          <ns0:t>Golden State Warriors</ns0:t>
        </ns0:is>
      </ns0:c>
      <ns0:c r="B12" s="10" t="str">
        <ns0:f>Detail!E263</ns0:f>
        <ns0:v>1-1</ns0:v>
      </ns0:c>
      <ns0:c r="C12" s="10" t="str">
        <ns0:f>Detail!E264</ns0:f>
        <ns0:v>1-1</ns0:v>
      </ns0:c>
      <ns0:c r="D12" s="10" t="str">
        <ns0:f>Detail!E265</ns0:f>
        <ns0:v>1-1</ns0:v>
      </ns0:c>
      <ns0:c r="E12" s="10" t="str">
        <ns0:f>Detail!E266</ns0:f>
        <ns0:v>2-0</ns0:v>
      </ns0:c>
      <ns0:c r="F12" s="10" t="str">
        <ns0:f>Detail!E267</ns0:f>
        <ns0:v>2-0</ns0:v>
      </ns0:c>
      <ns0:c r="G12" s="10" t="str">
        <ns0:f>Detail!E268</ns0:f>
        <ns0:v>0-2</ns0:v>
      </ns0:c>
      <ns0:c r="H12" s="10" t="str">
        <ns0:f>Detail!E269</ns0:f>
        <ns0:v>2-2</ns0:v>
      </ns0:c>
      <ns0:c r="I12" s="10" t="str">
        <ns0:f>Detail!E270</ns0:f>
        <ns0:v>1-2</ns0:v>
      </ns0:c>
      <ns0:c r="J12" s="10" t="str">
        <ns0:f>Detail!E271</ns0:f>
        <ns0:v>2-0</ns0:v>
      </ns0:c>
      <ns0:c r="K12" s="9" t="inlineStr">
        <ns0:is>
          <ns0:t>-</ns0:t>
        </ns0:is>
      </ns0:c>
      <ns0:c r="L12" s="10" t="str">
        <ns0:f>Detail!E272</ns0:f>
        <ns0:v>3-2</ns0:v>
      </ns0:c>
      <ns0:c r="M12" s="10" t="str">
        <ns0:f>Detail!E273</ns0:f>
        <ns0:v>0-2</ns0:v>
      </ns0:c>
      <ns0:c r="N12" s="10" t="str">
        <ns0:f>Detail!E274</ns0:f>
        <ns0:v>0-4</ns0:v>
      </ns0:c>
      <ns0:c r="O12" s="10" t="str">
        <ns0:f>Detail!E275</ns0:f>
        <ns0:v>1-3</ns0:v>
      </ns0:c>
      <ns0:c r="P12" s="10" t="str">
        <ns0:f>Detail!E276</ns0:f>
        <ns0:v>3-1</ns0:v>
      </ns0:c>
      <ns0:c r="Q12" s="10" t="str">
        <ns0:f>Detail!E277</ns0:f>
        <ns0:v>0-2</ns0:v>
      </ns0:c>
      <ns0:c r="R12" s="10" t="str">
        <ns0:f>Detail!E278</ns0:f>
        <ns0:v>2-0</ns0:v>
      </ns0:c>
      <ns0:c r="S12" s="10" t="str">
        <ns0:f>Detail!E279</ns0:f>
        <ns0:v>3-1</ns0:v>
      </ns0:c>
      <ns0:c r="T12" s="10" t="str">
        <ns0:f>Detail!E280</ns0:f>
        <ns0:v>4-0</ns0:v>
      </ns0:c>
      <ns0:c r="U12" s="10" t="str">
        <ns0:f>Detail!E281</ns0:f>
        <ns0:v>2-0</ns0:v>
      </ns0:c>
      <ns0:c r="V12" s="10" t="str">
        <ns0:f>Detail!E282</ns0:f>
        <ns0:v>2-1</ns0:v>
      </ns0:c>
      <ns0:c r="W12" s="10" t="str">
        <ns0:f>Detail!E283</ns0:f>
        <ns0:v>2-0</ns0:v>
      </ns0:c>
      <ns0:c r="X12" s="10" t="str">
        <ns0:f>Detail!E284</ns0:f>
        <ns0:v>1-1</ns0:v>
      </ns0:c>
      <ns0:c r="Y12" s="10" t="str">
        <ns0:f>Detail!E285</ns0:f>
        <ns0:v>2-2</ns0:v>
      </ns0:c>
      <ns0:c r="Z12" s="10" t="str">
        <ns0:f>Detail!E286</ns0:f>
        <ns0:v>3-0</ns0:v>
      </ns0:c>
      <ns0:c r="AA12" s="10" t="str">
        <ns0:f>Detail!E287</ns0:f>
        <ns0:v>2-2</ns0:v>
      </ns0:c>
      <ns0:c r="AB12" s="10" t="str">
        <ns0:f>Detail!E288</ns0:f>
        <ns0:v>1-2</ns0:v>
      </ns0:c>
      <ns0:c r="AC12" s="10" t="str">
        <ns0:f>Detail!E289</ns0:f>
        <ns0:v>1-1</ns0:v>
      </ns0:c>
      <ns0:c r="AD12" s="10" t="str">
        <ns0:f>Detail!E290</ns0:f>
        <ns0:v>2-1</ns0:v>
      </ns0:c>
      <ns0:c r="AE12" s="10" t="str">
        <ns0:f>Detail!E291</ns0:f>
        <ns0:v>2-0</ns0:v>
      </ns0:c>
      <ns0:c r="AF12" s="11" t="str">
        <ns0:f>Validation!C11&amp;"-"&amp;Validation!D11</ns0:f>
        <ns0:v>48-34</ns0:v>
      </ns0:c>
    </ns0:row>
    <ns0:row r="13">
      <ns0:c r="A13" s="8" t="inlineStr">
        <ns0:is>
          <ns0:t>Houston Rockets</ns0:t>
        </ns0:is>
      </ns0:c>
      <ns0:c r="B13" s="10" t="str">
        <ns0:f>Detail!E292</ns0:f>
        <ns0:v>2-0</ns0:v>
      </ns0:c>
      <ns0:c r="C13" s="10" t="str">
        <ns0:f>Detail!E293</ns0:f>
        <ns0:v>1-1</ns0:v>
      </ns0:c>
      <ns0:c r="D13" s="10" t="str">
        <ns0:f>Detail!E294</ns0:f>
        <ns0:v>0-2</ns0:v>
      </ns0:c>
      <ns0:c r="E13" s="10" t="str">
        <ns0:f>Detail!E295</ns0:f>
        <ns0:v>1-1</ns0:v>
      </ns0:c>
      <ns0:c r="F13" s="10" t="str">
        <ns0:f>Detail!E296</ns0:f>
        <ns0:v>2-0</ns0:v>
      </ns0:c>
      <ns0:c r="G13" s="10" t="str">
        <ns0:f>Detail!E297</ns0:f>
        <ns0:v>2-0</ns0:v>
      </ns0:c>
      <ns0:c r="H13" s="10" t="str">
        <ns0:f>Detail!E298</ns0:f>
        <ns0:v>3-1</ns0:v>
      </ns0:c>
      <ns0:c r="I13" s="10" t="str">
        <ns0:f>Detail!E299</ns0:f>
        <ns0:v>1-2</ns0:v>
      </ns0:c>
      <ns0:c r="J13" s="10" t="str">
        <ns0:f>Detail!E300</ns0:f>
        <ns0:v>1-1</ns0:v>
      </ns0:c>
      <ns0:c r="K13" s="10" t="str">
        <ns0:f>Detail!E301</ns0:f>
        <ns0:v>2-3</ns0:v>
      </ns0:c>
      <ns0:c r="L13" s="9" t="inlineStr">
        <ns0:is>
          <ns0:t>-</ns0:t>
        </ns0:is>
      </ns0:c>
      <ns0:c r="M13" s="10" t="str">
        <ns0:f>Detail!E302</ns0:f>
        <ns0:v>1-1</ns0:v>
      </ns0:c>
      <ns0:c r="N13" s="10" t="str">
        <ns0:f>Detail!E303</ns0:f>
        <ns0:v>3-1</ns0:v>
      </ns0:c>
      <ns0:c r="O13" s="10" t="str">
        <ns0:f>Detail!E304</ns0:f>
        <ns0:v>1-2</ns0:v>
      </ns0:c>
      <ns0:c r="P13" s="10" t="str">
        <ns0:f>Detail!E305</ns0:f>
        <ns0:v>3-1</ns0:v>
      </ns0:c>
      <ns0:c r="Q13" s="10" t="str">
        <ns0:f>Detail!E306</ns0:f>
        <ns0:v>1-1</ns0:v>
      </ns0:c>
      <ns0:c r="R13" s="10" t="str">
        <ns0:f>Detail!E307</ns0:f>
        <ns0:v>1-1</ns0:v>
      </ns0:c>
      <ns0:c r="S13" s="10" t="str">
        <ns0:f>Detail!E308</ns0:f>
        <ns0:v>2-2</ns0:v>
      </ns0:c>
      <ns0:c r="T13" s="10" t="str">
        <ns0:f>Detail!E309</ns0:f>
        <ns0:v>4-0</ns0:v>
      </ns0:c>
      <ns0:c r="U13" s="10" t="str">
        <ns0:f>Detail!E310</ns0:f>
        <ns0:v>1-1</ns0:v>
      </ns0:c>
      <ns0:c r="V13" s="10" t="str">
        <ns0:f>Detail!E311</ns0:f>
        <ns0:v>2-3</ns0:v>
      </ns0:c>
      <ns0:c r="W13" s="10" t="str">
        <ns0:f>Detail!E312</ns0:f>
        <ns0:v>2-0</ns0:v>
      </ns0:c>
      <ns0:c r="X13" s="10" t="str">
        <ns0:f>Detail!E313</ns0:f>
        <ns0:v>2-0</ns0:v>
      </ns0:c>
      <ns0:c r="Y13" s="10" t="str">
        <ns0:f>Detail!E314</ns0:f>
        <ns0:v>3-0</ns0:v>
      </ns0:c>
      <ns0:c r="Z13" s="10" t="str">
        <ns0:f>Detail!E315</ns0:f>
        <ns0:v>2-1</ns0:v>
      </ns0:c>
      <ns0:c r="AA13" s="10" t="str">
        <ns0:f>Detail!E316</ns0:f>
        <ns0:v>0-3</ns0:v>
      </ns0:c>
      <ns0:c r="AB13" s="10" t="str">
        <ns0:f>Detail!E317</ns0:f>
        <ns0:v>3-1</ns0:v>
      </ns0:c>
      <ns0:c r="AC13" s="10" t="str">
        <ns0:f>Detail!E318</ns0:f>
        <ns0:v>2-0</ns0:v>
      </ns0:c>
      <ns0:c r="AD13" s="10" t="str">
        <ns0:f>Detail!E319</ns0:f>
        <ns0:v>2-1</ns0:v>
      </ns0:c>
      <ns0:c r="AE13" s="10" t="str">
        <ns0:f>Detail!E320</ns0:f>
        <ns0:v>2-0</ns0:v>
      </ns0:c>
      <ns0:c r="AF13" s="11" t="str">
        <ns0:f>Validation!C12&amp;"-"&amp;Validation!D12</ns0:f>
        <ns0:v>52-30</ns0:v>
      </ns0:c>
    </ns0:row>
    <ns0:row r="14">
      <ns0:c r="A14" s="8" t="inlineStr">
        <ns0:is>
          <ns0:t>Indiana Pacers</ns0:t>
        </ns0:is>
      </ns0:c>
      <ns0:c r="B14" s="10" t="str">
        <ns0:f>Detail!E321</ns0:f>
        <ns0:v>1-2</ns0:v>
      </ns0:c>
      <ns0:c r="C14" s="10" t="str">
        <ns0:f>Detail!E322</ns0:f>
        <ns0:v>2-1</ns0:v>
      </ns0:c>
      <ns0:c r="D14" s="10" t="str">
        <ns0:f>Detail!E323</ns0:f>
        <ns0:v>3-1</ns0:v>
      </ns0:c>
      <ns0:c r="E14" s="10" t="str">
        <ns0:f>Detail!E324</ns0:f>
        <ns0:v>1-2</ns0:v>
      </ns0:c>
      <ns0:c r="F14" s="10" t="str">
        <ns0:f>Detail!E325</ns0:f>
        <ns0:v>3-1</ns0:v>
      </ns0:c>
      <ns0:c r="G14" s="10" t="str">
        <ns0:f>Detail!E326</ns0:f>
        <ns0:v>3-1</ns0:v>
      </ns0:c>
      <ns0:c r="H14" s="10" t="str">
        <ns0:f>Detail!E327</ns0:f>
        <ns0:v>2-0</ns0:v>
      </ns0:c>
      <ns0:c r="I14" s="10" t="str">
        <ns0:f>Detail!E328</ns0:f>
        <ns0:v>1-1</ns0:v>
      </ns0:c>
      <ns0:c r="J14" s="10" t="str">
        <ns0:f>Detail!E329</ns0:f>
        <ns0:v>3-1</ns0:v>
      </ns0:c>
      <ns0:c r="K14" s="10" t="str">
        <ns0:f>Detail!E330</ns0:f>
        <ns0:v>2-0</ns0:v>
      </ns0:c>
      <ns0:c r="L14" s="10" t="str">
        <ns0:f>Detail!E331</ns0:f>
        <ns0:v>1-1</ns0:v>
      </ns0:c>
      <ns0:c r="M14" s="9" t="inlineStr">
        <ns0:is>
          <ns0:t>-</ns0:t>
        </ns0:is>
      </ns0:c>
      <ns0:c r="N14" s="10" t="str">
        <ns0:f>Detail!E332</ns0:f>
        <ns0:v>2-0</ns0:v>
      </ns0:c>
      <ns0:c r="O14" s="10" t="str">
        <ns0:f>Detail!E333</ns0:f>
        <ns0:v>0-2</ns0:v>
      </ns0:c>
      <ns0:c r="P14" s="10" t="str">
        <ns0:f>Detail!E334</ns0:f>
        <ns0:v>1-1</ns0:v>
      </ns0:c>
      <ns0:c r="Q14" s="10" t="str">
        <ns0:f>Detail!E335</ns0:f>
        <ns0:v>2-2</ns0:v>
      </ns0:c>
      <ns0:c r="R14" s="10" t="str">
        <ns0:f>Detail!E336</ns0:f>
        <ns0:v>1-3</ns0:v>
      </ns0:c>
      <ns0:c r="S14" s="10" t="str">
        <ns0:f>Detail!E337</ns0:f>
        <ns0:v>2-0</ns0:v>
      </ns0:c>
      <ns0:c r="T14" s="10" t="str">
        <ns0:f>Detail!E338</ns0:f>
        <ns0:v>2-1</ns0:v>
      </ns0:c>
      <ns0:c r="U14" s="10" t="str">
        <ns0:f>Detail!E339</ns0:f>
        <ns0:v>1-2</ns0:v>
      </ns0:c>
      <ns0:c r="V14" s="10" t="str">
        <ns0:f>Detail!E340</ns0:f>
        <ns0:v>0-2</ns0:v>
      </ns0:c>
      <ns0:c r="W14" s="10" t="str">
        <ns0:f>Detail!E341</ns0:f>
        <ns0:v>1-3</ns0:v>
      </ns0:c>
      <ns0:c r="X14" s="10" t="str">
        <ns0:f>Detail!E342</ns0:f>
        <ns0:v>3-1</ns0:v>
      </ns0:c>
      <ns0:c r="Y14" s="10" t="str">
        <ns0:f>Detail!E343</ns0:f>
        <ns0:v>2-0</ns0:v>
      </ns0:c>
      <ns0:c r="Z14" s="10" t="str">
        <ns0:f>Detail!E344</ns0:f>
        <ns0:v>1-1</ns0:v>
      </ns0:c>
      <ns0:c r="AA14" s="10" t="str">
        <ns0:f>Detail!E345</ns0:f>
        <ns0:v>2-0</ns0:v>
      </ns0:c>
      <ns0:c r="AB14" s="10" t="str">
        <ns0:f>Detail!E346</ns0:f>
        <ns0:v>1-1</ns0:v>
      </ns0:c>
      <ns0:c r="AC14" s="10" t="str">
        <ns0:f>Detail!E347</ns0:f>
        <ns0:v>1-2</ns0:v>
      </ns0:c>
      <ns0:c r="AD14" s="10" t="str">
        <ns0:f>Detail!E348</ns0:f>
        <ns0:v>2-0</ns0:v>
      </ns0:c>
      <ns0:c r="AE14" s="10" t="str">
        <ns0:f>Detail!E349</ns0:f>
        <ns0:v>4-0</ns0:v>
      </ns0:c>
      <ns0:c r="AF14" s="11" t="str">
        <ns0:f>Validation!C13&amp;"-"&amp;Validation!D13</ns0:f>
        <ns0:v>50-32</ns0:v>
      </ns0:c>
    </ns0:row>
    <ns0:row r="15">
      <ns0:c r="A15" s="8" t="inlineStr">
        <ns0:is>
          <ns0:t>LA Clippers</ns0:t>
        </ns0:is>
      </ns0:c>
      <ns0:c r="B15" s="10" t="str">
        <ns0:f>Detail!E350</ns0:f>
        <ns0:v>2-0</ns0:v>
      </ns0:c>
      <ns0:c r="C15" s="10" t="str">
        <ns0:f>Detail!E351</ns0:f>
        <ns0:v>0-2</ns0:v>
      </ns0:c>
      <ns0:c r="D15" s="10" t="str">
        <ns0:f>Detail!E352</ns0:f>
        <ns0:v>2-0</ns0:v>
      </ns0:c>
      <ns0:c r="E15" s="10" t="str">
        <ns0:f>Detail!E353</ns0:f>
        <ns0:v>2-0</ns0:v>
      </ns0:c>
      <ns0:c r="F15" s="10" t="str">
        <ns0:f>Detail!E354</ns0:f>
        <ns0:v>1-1</ns0:v>
      </ns0:c>
      <ns0:c r="G15" s="10" t="str">
        <ns0:f>Detail!E355</ns0:f>
        <ns0:v>1-1</ns0:v>
      </ns0:c>
      <ns0:c r="H15" s="10" t="str">
        <ns0:f>Detail!E356</ns0:f>
        <ns0:v>3-1</ns0:v>
      </ns0:c>
      <ns0:c r="I15" s="10" t="str">
        <ns0:f>Detail!E357</ns0:f>
        <ns0:v>2-2</ns0:v>
      </ns0:c>
      <ns0:c r="J15" s="10" t="str">
        <ns0:f>Detail!E358</ns0:f>
        <ns0:v>1-1</ns0:v>
      </ns0:c>
      <ns0:c r="K15" s="10" t="str">
        <ns0:f>Detail!E359</ns0:f>
        <ns0:v>4-0</ns0:v>
      </ns0:c>
      <ns0:c r="L15" s="10" t="str">
        <ns0:f>Detail!E360</ns0:f>
        <ns0:v>1-3</ns0:v>
      </ns0:c>
      <ns0:c r="M15" s="10" t="str">
        <ns0:f>Detail!E361</ns0:f>
        <ns0:v>0-2</ns0:v>
      </ns0:c>
      <ns0:c r="N15" s="9" t="inlineStr">
        <ns0:is>
          <ns0:t>-</ns0:t>
        </ns0:is>
      </ns0:c>
      <ns0:c r="O15" s="10" t="str">
        <ns0:f>Detail!E362</ns0:f>
        <ns0:v>1-3</ns0:v>
      </ns0:c>
      <ns0:c r="P15" s="10" t="str">
        <ns0:f>Detail!E363</ns0:f>
        <ns0:v>3-0</ns0:v>
      </ns0:c>
      <ns0:c r="Q15" s="10" t="str">
        <ns0:f>Detail!E364</ns0:f>
        <ns0:v>2-0</ns0:v>
      </ns0:c>
      <ns0:c r="R15" s="10" t="str">
        <ns0:f>Detail!E365</ns0:f>
        <ns0:v>1-1</ns0:v>
      </ns0:c>
      <ns0:c r="S15" s="10" t="str">
        <ns0:f>Detail!E366</ns0:f>
        <ns0:v>0-3</ns0:v>
      </ns0:c>
      <ns0:c r="T15" s="10" t="str">
        <ns0:f>Detail!E367</ns0:f>
        <ns0:v>2-1</ns0:v>
      </ns0:c>
      <ns0:c r="U15" s="10" t="str">
        <ns0:f>Detail!E368</ns0:f>
        <ns0:v>2-0</ns0:v>
      </ns0:c>
      <ns0:c r="V15" s="10" t="str">
        <ns0:f>Detail!E369</ns0:f>
        <ns0:v>0-4</ns0:v>
      </ns0:c>
      <ns0:c r="W15" s="10" t="str">
        <ns0:f>Detail!E370</ns0:f>
        <ns0:v>2-0</ns0:v>
      </ns0:c>
      <ns0:c r="X15" s="10" t="str">
        <ns0:f>Detail!E371</ns0:f>
        <ns0:v>2-0</ns0:v>
      </ns0:c>
      <ns0:c r="Y15" s="10" t="str">
        <ns0:f>Detail!E372</ns0:f>
        <ns0:v>0-4</ns0:v>
      </ns0:c>
      <ns0:c r="Z15" s="10" t="str">
        <ns0:f>Detail!E373</ns0:f>
        <ns0:v>2-1</ns0:v>
      </ns0:c>
      <ns0:c r="AA15" s="10" t="str">
        <ns0:f>Detail!E374</ns0:f>
        <ns0:v>4-0</ns0:v>
      </ns0:c>
      <ns0:c r="AB15" s="10" t="str">
        <ns0:f>Detail!E375</ns0:f>
        <ns0:v>3-1</ns0:v>
      </ns0:c>
      <ns0:c r="AC15" s="10" t="str">
        <ns0:f>Detail!E376</ns0:f>
        <ns0:v>1-1</ns0:v>
      </ns0:c>
      <ns0:c r="AD15" s="10" t="str">
        <ns0:f>Detail!E377</ns0:f>
        <ns0:v>4-0</ns0:v>
      </ns0:c>
      <ns0:c r="AE15" s="10" t="str">
        <ns0:f>Detail!E378</ns0:f>
        <ns0:v>2-0</ns0:v>
      </ns0:c>
      <ns0:c r="AF15" s="11" t="str">
        <ns0:f>Validation!C14&amp;"-"&amp;Validation!D14</ns0:f>
        <ns0:v>50-32</ns0:v>
      </ns0:c>
    </ns0:row>
    <ns0:row r="16">
      <ns0:c r="A16" s="8" t="inlineStr">
        <ns0:is>
          <ns0:t>Los Angeles Lakers</ns0:t>
        </ns0:is>
      </ns0:c>
      <ns0:c r="B16" s="10" t="str">
        <ns0:f>Detail!E379</ns0:f>
        <ns0:v>1-1</ns0:v>
      </ns0:c>
      <ns0:c r="C16" s="10" t="str">
        <ns0:f>Detail!E380</ns0:f>
        <ns0:v>1-1</ns0:v>
      </ns0:c>
      <ns0:c r="D16" s="10" t="str">
        <ns0:f>Detail!E381</ns0:f>
        <ns0:v>1-1</ns0:v>
      </ns0:c>
      <ns0:c r="E16" s="10" t="str">
        <ns0:f>Detail!E382</ns0:f>
        <ns0:v>1-1</ns0:v>
      </ns0:c>
      <ns0:c r="F16" s="10" t="str">
        <ns0:f>Detail!E383</ns0:f>
        <ns0:v>0-2</ns0:v>
      </ns0:c>
      <ns0:c r="G16" s="10" t="str">
        <ns0:f>Detail!E384</ns0:f>
        <ns0:v>0-2</ns0:v>
      </ns0:c>
      <ns0:c r="H16" s="10" t="str">
        <ns0:f>Detail!E385</ns0:f>
        <ns0:v>2-1</ns0:v>
      </ns0:c>
      <ns0:c r="I16" s="10" t="str">
        <ns0:f>Detail!E386</ns0:f>
        <ns0:v>2-2</ns0:v>
      </ns0:c>
      <ns0:c r="J16" s="10" t="str">
        <ns0:f>Detail!E387</ns0:f>
        <ns0:v>0-2</ns0:v>
      </ns0:c>
      <ns0:c r="K16" s="10" t="str">
        <ns0:f>Detail!E388</ns0:f>
        <ns0:v>3-1</ns0:v>
      </ns0:c>
      <ns0:c r="L16" s="10" t="str">
        <ns0:f>Detail!E389</ns0:f>
        <ns0:v>2-1</ns0:v>
      </ns0:c>
      <ns0:c r="M16" s="10" t="str">
        <ns0:f>Detail!E390</ns0:f>
        <ns0:v>2-0</ns0:v>
      </ns0:c>
      <ns0:c r="N16" s="10" t="str">
        <ns0:f>Detail!E391</ns0:f>
        <ns0:v>3-1</ns0:v>
      </ns0:c>
      <ns0:c r="O16" s="9" t="inlineStr">
        <ns0:is>
          <ns0:t>-</ns0:t>
        </ns0:is>
      </ns0:c>
      <ns0:c r="P16" s="10" t="str">
        <ns0:f>Detail!E392</ns0:f>
        <ns0:v>3-1</ns0:v>
      </ns0:c>
      <ns0:c r="Q16" s="10" t="str">
        <ns0:f>Detail!E393</ns0:f>
        <ns0:v>1-1</ns0:v>
      </ns0:c>
      <ns0:c r="R16" s="10" t="str">
        <ns0:f>Detail!E394</ns0:f>
        <ns0:v>0-2</ns0:v>
      </ns0:c>
      <ns0:c r="S16" s="10" t="str">
        <ns0:f>Detail!E395</ns0:f>
        <ns0:v>2-2</ns0:v>
      </ns0:c>
      <ns0:c r="T16" s="10" t="str">
        <ns0:f>Detail!E396</ns0:f>
        <ns0:v>3-0</ns0:v>
      </ns0:c>
      <ns0:c r="U16" s="10" t="str">
        <ns0:f>Detail!E397</ns0:f>
        <ns0:v>2-0</ns0:v>
      </ns0:c>
      <ns0:c r="V16" s="10" t="str">
        <ns0:f>Detail!E398</ns0:f>
        <ns0:v>1-2</ns0:v>
      </ns0:c>
      <ns0:c r="W16" s="10" t="str">
        <ns0:f>Detail!E399</ns0:f>
        <ns0:v>0-2</ns0:v>
      </ns0:c>
      <ns0:c r="X16" s="10" t="str">
        <ns0:f>Detail!E400</ns0:f>
        <ns0:v>1-1</ns0:v>
      </ns0:c>
      <ns0:c r="Y16" s="10" t="str">
        <ns0:f>Detail!E401</ns0:f>
        <ns0:v>2-2</ns0:v>
      </ns0:c>
      <ns0:c r="Z16" s="10" t="str">
        <ns0:f>Detail!E402</ns0:f>
        <ns0:v>3-1</ns0:v>
      </ns0:c>
      <ns0:c r="AA16" s="10" t="str">
        <ns0:f>Detail!E403</ns0:f>
        <ns0:v>4-0</ns0:v>
      </ns0:c>
      <ns0:c r="AB16" s="10" t="str">
        <ns0:f>Detail!E404</ns0:f>
        <ns0:v>3-1</ns0:v>
      </ns0:c>
      <ns0:c r="AC16" s="10" t="str">
        <ns0:f>Detail!E405</ns0:f>
        <ns0:v>2-0</ns0:v>
      </ns0:c>
      <ns0:c r="AD16" s="10" t="str">
        <ns0:f>Detail!E406</ns0:f>
        <ns0:v>3-1</ns0:v>
      </ns0:c>
      <ns0:c r="AE16" s="10" t="str">
        <ns0:f>Detail!E407</ns0:f>
        <ns0:v>2-0</ns0:v>
      </ns0:c>
      <ns0:c r="AF16" s="11" t="str">
        <ns0:f>Validation!C15&amp;"-"&amp;Validation!D15</ns0:f>
        <ns0:v>50-32</ns0:v>
      </ns0:c>
    </ns0:row>
    <ns0:row r="17">
      <ns0:c r="A17" s="8" t="inlineStr">
        <ns0:is>
          <ns0:t>Memphis Grizzlies</ns0:t>
        </ns0:is>
      </ns0:c>
      <ns0:c r="B17" s="10" t="str">
        <ns0:f>Detail!E408</ns0:f>
        <ns0:v>1-1</ns0:v>
      </ns0:c>
      <ns0:c r="C17" s="10" t="str">
        <ns0:f>Detail!E409</ns0:f>
        <ns0:v>1-1</ns0:v>
      </ns0:c>
      <ns0:c r="D17" s="10" t="str">
        <ns0:f>Detail!E410</ns0:f>
        <ns0:v>1-2</ns0:v>
      </ns0:c>
      <ns0:c r="E17" s="10" t="str">
        <ns0:f>Detail!E411</ns0:f>
        <ns0:v>2-0</ns0:v>
      </ns0:c>
      <ns0:c r="F17" s="10" t="str">
        <ns0:f>Detail!E412</ns0:f>
        <ns0:v>1-1</ns0:v>
      </ns0:c>
      <ns0:c r="G17" s="10" t="str">
        <ns0:f>Detail!E413</ns0:f>
        <ns0:v>0-2</ns0:v>
      </ns0:c>
      <ns0:c r="H17" s="10" t="str">
        <ns0:f>Detail!E414</ns0:f>
        <ns0:v>3-1</ns0:v>
      </ns0:c>
      <ns0:c r="I17" s="10" t="str">
        <ns0:f>Detail!E415</ns0:f>
        <ns0:v>1-2</ns0:v>
      </ns0:c>
      <ns0:c r="J17" s="10" t="str">
        <ns0:f>Detail!E416</ns0:f>
        <ns0:v>2-0</ns0:v>
      </ns0:c>
      <ns0:c r="K17" s="10" t="str">
        <ns0:f>Detail!E417</ns0:f>
        <ns0:v>1-3</ns0:v>
      </ns0:c>
      <ns0:c r="L17" s="10" t="str">
        <ns0:f>Detail!E418</ns0:f>
        <ns0:v>1-3</ns0:v>
      </ns0:c>
      <ns0:c r="M17" s="10" t="str">
        <ns0:f>Detail!E419</ns0:f>
        <ns0:v>1-1</ns0:v>
      </ns0:c>
      <ns0:c r="N17" s="10" t="str">
        <ns0:f>Detail!E420</ns0:f>
        <ns0:v>0-3</ns0:v>
      </ns0:c>
      <ns0:c r="O17" s="10" t="str">
        <ns0:f>Detail!E421</ns0:f>
        <ns0:v>1-3</ns0:v>
      </ns0:c>
      <ns0:c r="P17" s="9" t="inlineStr">
        <ns0:is>
          <ns0:t>-</ns0:t>
        </ns0:is>
      </ns0:c>
      <ns0:c r="Q17" s="10" t="str">
        <ns0:f>Detail!E422</ns0:f>
        <ns0:v>2-0</ns0:v>
      </ns0:c>
      <ns0:c r="R17" s="10" t="str">
        <ns0:f>Detail!E423</ns0:f>
        <ns0:v>2-0</ns0:v>
      </ns0:c>
      <ns0:c r="S17" s="10" t="str">
        <ns0:f>Detail!E424</ns0:f>
        <ns0:v>2-1</ns0:v>
      </ns0:c>
      <ns0:c r="T17" s="10" t="str">
        <ns0:f>Detail!E425</ns0:f>
        <ns0:v>4-0</ns0:v>
      </ns0:c>
      <ns0:c r="U17" s="10" t="str">
        <ns0:f>Detail!E426</ns0:f>
        <ns0:v>0-2</ns0:v>
      </ns0:c>
      <ns0:c r="V17" s="10" t="str">
        <ns0:f>Detail!E427</ns0:f>
        <ns0:v>0-4</ns0:v>
      </ns0:c>
      <ns0:c r="W17" s="10" t="str">
        <ns0:f>Detail!E428</ns0:f>
        <ns0:v>2-0</ns0:v>
      </ns0:c>
      <ns0:c r="X17" s="10" t="str">
        <ns0:f>Detail!E429</ns0:f>
        <ns0:v>2-0</ns0:v>
      </ns0:c>
      <ns0:c r="Y17" s="10" t="str">
        <ns0:f>Detail!E430</ns0:f>
        <ns0:v>4-0</ns0:v>
      </ns0:c>
      <ns0:c r="Z17" s="10" t="str">
        <ns0:f>Detail!E431</ns0:f>
        <ns0:v>2-1</ns0:v>
      </ns0:c>
      <ns0:c r="AA17" s="10" t="str">
        <ns0:f>Detail!E432</ns0:f>
        <ns0:v>1-2</ns0:v>
      </ns0:c>
      <ns0:c r="AB17" s="10" t="str">
        <ns0:f>Detail!E433</ns0:f>
        <ns0:v>3-1</ns0:v>
      </ns0:c>
      <ns0:c r="AC17" s="10" t="str">
        <ns0:f>Detail!E434</ns0:f>
        <ns0:v>2-0</ns0:v>
      </ns0:c>
      <ns0:c r="AD17" s="10" t="str">
        <ns0:f>Detail!E435</ns0:f>
        <ns0:v>4-0</ns0:v>
      </ns0:c>
      <ns0:c r="AE17" s="10" t="str">
        <ns0:f>Detail!E436</ns0:f>
        <ns0:v>2-0</ns0:v>
      </ns0:c>
      <ns0:c r="AF17" s="11" t="str">
        <ns0:f>Validation!C16&amp;"-"&amp;Validation!D16</ns0:f>
        <ns0:v>48-34</ns0:v>
      </ns0:c>
    </ns0:row>
    <ns0:row r="18">
      <ns0:c r="A18" s="8" t="inlineStr">
        <ns0:is>
          <ns0:t>Miami Heat</ns0:t>
        </ns0:is>
      </ns0:c>
      <ns0:c r="B18" s="10" t="str">
        <ns0:f>Detail!E437</ns0:f>
        <ns0:v>2-2</ns0:v>
      </ns0:c>
      <ns0:c r="C18" s="10" t="str">
        <ns0:f>Detail!E438</ns0:f>
        <ns0:v>1-3</ns0:v>
      </ns0:c>
      <ns0:c r="D18" s="10" t="str">
        <ns0:f>Detail!E439</ns0:f>
        <ns0:v>2-1</ns0:v>
      </ns0:c>
      <ns0:c r="E18" s="10" t="str">
        <ns0:f>Detail!E440</ns0:f>
        <ns0:v>3-1</ns0:v>
      </ns0:c>
      <ns0:c r="F18" s="10" t="str">
        <ns0:f>Detail!E441</ns0:f>
        <ns0:v>0-3</ns0:v>
      </ns0:c>
      <ns0:c r="G18" s="10" t="str">
        <ns0:f>Detail!E442</ns0:f>
        <ns0:v>1-2</ns0:v>
      </ns0:c>
      <ns0:c r="H18" s="10" t="str">
        <ns0:f>Detail!E443</ns0:f>
        <ns0:v>1-1</ns0:v>
      </ns0:c>
      <ns0:c r="I18" s="10" t="str">
        <ns0:f>Detail!E444</ns0:f>
        <ns0:v>0-2</ns0:v>
      </ns0:c>
      <ns0:c r="J18" s="10" t="str">
        <ns0:f>Detail!E445</ns0:f>
        <ns0:v>1-3</ns0:v>
      </ns0:c>
      <ns0:c r="K18" s="10" t="str">
        <ns0:f>Detail!E446</ns0:f>
        <ns0:v>2-0</ns0:v>
      </ns0:c>
      <ns0:c r="L18" s="10" t="str">
        <ns0:f>Detail!E447</ns0:f>
        <ns0:v>1-1</ns0:v>
      </ns0:c>
      <ns0:c r="M18" s="10" t="str">
        <ns0:f>Detail!E448</ns0:f>
        <ns0:v>2-2</ns0:v>
      </ns0:c>
      <ns0:c r="N18" s="10" t="str">
        <ns0:f>Detail!E449</ns0:f>
        <ns0:v>0-2</ns0:v>
      </ns0:c>
      <ns0:c r="O18" s="10" t="str">
        <ns0:f>Detail!E450</ns0:f>
        <ns0:v>1-1</ns0:v>
      </ns0:c>
      <ns0:c r="P18" s="10" t="str">
        <ns0:f>Detail!E451</ns0:f>
        <ns0:v>0-2</ns0:v>
      </ns0:c>
      <ns0:c r="Q18" s="9" t="inlineStr">
        <ns0:is>
          <ns0:t>-</ns0:t>
        </ns0:is>
      </ns0:c>
      <ns0:c r="R18" s="10" t="str">
        <ns0:f>Detail!E452</ns0:f>
        <ns0:v>0-4</ns0:v>
      </ns0:c>
      <ns0:c r="S18" s="10" t="str">
        <ns0:f>Detail!E453</ns0:f>
        <ns0:v>1-1</ns0:v>
      </ns0:c>
      <ns0:c r="T18" s="10" t="str">
        <ns0:f>Detail!E454</ns0:f>
        <ns0:v>2-0</ns0:v>
      </ns0:c>
      <ns0:c r="U18" s="10" t="str">
        <ns0:f>Detail!E455</ns0:f>
        <ns0:v>0-3</ns0:v>
      </ns0:c>
      <ns0:c r="V18" s="10" t="str">
        <ns0:f>Detail!E456</ns0:f>
        <ns0:v>0-2</ns0:v>
      </ns0:c>
      <ns0:c r="W18" s="10" t="str">
        <ns0:f>Detail!E457</ns0:f>
        <ns0:v>2-2</ns0:v>
      </ns0:c>
      <ns0:c r="X18" s="10" t="str">
        <ns0:f>Detail!E458</ns0:f>
        <ns0:v>4-0</ns0:v>
      </ns0:c>
      <ns0:c r="Y18" s="10" t="str">
        <ns0:f>Detail!E459</ns0:f>
        <ns0:v>1-1</ns0:v>
      </ns0:c>
      <ns0:c r="Z18" s="10" t="str">
        <ns0:f>Detail!E460</ns0:f>
        <ns0:v>1-1</ns0:v>
      </ns0:c>
      <ns0:c r="AA18" s="10" t="str">
        <ns0:f>Detail!E461</ns0:f>
        <ns0:v>0-2</ns0:v>
      </ns0:c>
      <ns0:c r="AB18" s="10" t="str">
        <ns0:f>Detail!E462</ns0:f>
        <ns0:v>2-0</ns0:v>
      </ns0:c>
      <ns0:c r="AC18" s="10" t="str">
        <ns0:f>Detail!E463</ns0:f>
        <ns0:v>3-1</ns0:v>
      </ns0:c>
      <ns0:c r="AD18" s="10" t="str">
        <ns0:f>Detail!E464</ns0:f>
        <ns0:v>1-1</ns0:v>
      </ns0:c>
      <ns0:c r="AE18" s="10" t="str">
        <ns0:f>Detail!E465</ns0:f>
        <ns0:v>3-1</ns0:v>
      </ns0:c>
      <ns0:c r="AF18" s="11" t="str">
        <ns0:f>Validation!C17&amp;"-"&amp;Validation!D17</ns0:f>
        <ns0:v>37-45</ns0:v>
      </ns0:c>
    </ns0:row>
    <ns0:row r="19">
      <ns0:c r="A19" s="8" t="inlineStr">
        <ns0:is>
          <ns0:t>Milwaukee Bucks</ns0:t>
        </ns0:is>
      </ns0:c>
      <ns0:c r="B19" s="10" t="str">
        <ns0:f>Detail!E466</ns0:f>
        <ns0:v>2-3</ns0:v>
      </ns0:c>
      <ns0:c r="C19" s="10" t="str">
        <ns0:f>Detail!E467</ns0:f>
        <ns0:v>0-3</ns0:v>
      </ns0:c>
      <ns0:c r="D19" s="10" t="str">
        <ns0:f>Detail!E468</ns0:f>
        <ns0:v>1-3</ns0:v>
      </ns0:c>
      <ns0:c r="E19" s="10" t="str">
        <ns0:f>Detail!E469</ns0:f>
        <ns0:v>2-1</ns0:v>
      </ns0:c>
      <ns0:c r="F19" s="10" t="str">
        <ns0:f>Detail!E470</ns0:f>
        <ns0:v>2-2</ns0:v>
      </ns0:c>
      <ns0:c r="G19" s="10" t="str">
        <ns0:f>Detail!E471</ns0:f>
        <ns0:v>0-4</ns0:v>
      </ns0:c>
      <ns0:c r="H19" s="10" t="str">
        <ns0:f>Detail!E472</ns0:f>
        <ns0:v>2-0</ns0:v>
      </ns0:c>
      <ns0:c r="I19" s="10" t="str">
        <ns0:f>Detail!E473</ns0:f>
        <ns0:v>1-1</ns0:v>
      </ns0:c>
      <ns0:c r="J19" s="10" t="str">
        <ns0:f>Detail!E474</ns0:f>
        <ns0:v>4-0</ns0:v>
      </ns0:c>
      <ns0:c r="K19" s="10" t="str">
        <ns0:f>Detail!E475</ns0:f>
        <ns0:v>0-2</ns0:v>
      </ns0:c>
      <ns0:c r="L19" s="10" t="str">
        <ns0:f>Detail!E476</ns0:f>
        <ns0:v>1-1</ns0:v>
      </ns0:c>
      <ns0:c r="M19" s="10" t="str">
        <ns0:f>Detail!E477</ns0:f>
        <ns0:v>3-1</ns0:v>
      </ns0:c>
      <ns0:c r="N19" s="10" t="str">
        <ns0:f>Detail!E478</ns0:f>
        <ns0:v>1-1</ns0:v>
      </ns0:c>
      <ns0:c r="O19" s="10" t="str">
        <ns0:f>Detail!E479</ns0:f>
        <ns0:v>2-0</ns0:v>
      </ns0:c>
      <ns0:c r="P19" s="10" t="str">
        <ns0:f>Detail!E480</ns0:f>
        <ns0:v>0-2</ns0:v>
      </ns0:c>
      <ns0:c r="Q19" s="10" t="str">
        <ns0:f>Detail!E481</ns0:f>
        <ns0:v>4-0</ns0:v>
      </ns0:c>
      <ns0:c r="R19" s="9" t="inlineStr">
        <ns0:is>
          <ns0:t>-</ns0:t>
        </ns0:is>
      </ns0:c>
      <ns0:c r="S19" s="10" t="str">
        <ns0:f>Detail!E482</ns0:f>
        <ns0:v>2-0</ns0:v>
      </ns0:c>
      <ns0:c r="T19" s="10" t="str">
        <ns0:f>Detail!E483</ns0:f>
        <ns0:v>2-0</ns0:v>
      </ns0:c>
      <ns0:c r="U19" s="10" t="str">
        <ns0:f>Detail!E484</ns0:f>
        <ns0:v>0-3</ns0:v>
      </ns0:c>
      <ns0:c r="V19" s="10" t="str">
        <ns0:f>Detail!E485</ns0:f>
        <ns0:v>0-2</ns0:v>
      </ns0:c>
      <ns0:c r="W19" s="10" t="str">
        <ns0:f>Detail!E486</ns0:f>
        <ns0:v>3-1</ns0:v>
      </ns0:c>
      <ns0:c r="X19" s="10" t="str">
        <ns0:f>Detail!E487</ns0:f>
        <ns0:v>4-0</ns0:v>
      </ns0:c>
      <ns0:c r="Y19" s="10" t="str">
        <ns0:f>Detail!E488</ns0:f>
        <ns0:v>1-1</ns0:v>
      </ns0:c>
      <ns0:c r="Z19" s="10" t="str">
        <ns0:f>Detail!E489</ns0:f>
        <ns0:v>0-2</ns0:v>
      </ns0:c>
      <ns0:c r="AA19" s="10" t="str">
        <ns0:f>Detail!E490</ns0:f>
        <ns0:v>2-0</ns0:v>
      </ns0:c>
      <ns0:c r="AB19" s="10" t="str">
        <ns0:f>Detail!E491</ns0:f>
        <ns0:v>1-1</ns0:v>
      </ns0:c>
      <ns0:c r="AC19" s="10" t="str">
        <ns0:f>Detail!E492</ns0:f>
        <ns0:v>3-0</ns0:v>
      </ns0:c>
      <ns0:c r="AD19" s="10" t="str">
        <ns0:f>Detail!E493</ns0:f>
        <ns0:v>2-0</ns0:v>
      </ns0:c>
      <ns0:c r="AE19" s="10" t="str">
        <ns0:f>Detail!E494</ns0:f>
        <ns0:v>3-0</ns0:v>
      </ns0:c>
      <ns0:c r="AF19" s="11" t="str">
        <ns0:f>Validation!C18&amp;"-"&amp;Validation!D18</ns0:f>
        <ns0:v>48-34</ns0:v>
      </ns0:c>
    </ns0:row>
    <ns0:row r="20">
      <ns0:c r="A20" s="8" t="inlineStr">
        <ns0:is>
          <ns0:t>Minnesota Timberwolves</ns0:t>
        </ns0:is>
      </ns0:c>
      <ns0:c r="B20" s="10" t="str">
        <ns0:f>Detail!E495</ns0:f>
        <ns0:v>1-1</ns0:v>
      </ns0:c>
      <ns0:c r="C20" s="10" t="str">
        <ns0:f>Detail!E496</ns0:f>
        <ns0:v>0-2</ns0:v>
      </ns0:c>
      <ns0:c r="D20" s="10" t="str">
        <ns0:f>Detail!E497</ns0:f>
        <ns0:v>2-0</ns0:v>
      </ns0:c>
      <ns0:c r="E20" s="10" t="str">
        <ns0:f>Detail!E498</ns0:f>
        <ns0:v>2-0</ns0:v>
      </ns0:c>
      <ns0:c r="F20" s="10" t="str">
        <ns0:f>Detail!E499</ns0:f>
        <ns0:v>2-0</ns0:v>
      </ns0:c>
      <ns0:c r="G20" s="10" t="str">
        <ns0:f>Detail!E500</ns0:f>
        <ns0:v>0-2</ns0:v>
      </ns0:c>
      <ns0:c r="H20" s="10" t="str">
        <ns0:f>Detail!E501</ns0:f>
        <ns0:v>2-1</ns0:v>
      </ns0:c>
      <ns0:c r="I20" s="10" t="str">
        <ns0:f>Detail!E502</ns0:f>
        <ns0:v>4-0</ns0:v>
      </ns0:c>
      <ns0:c r="J20" s="10" t="str">
        <ns0:f>Detail!E503</ns0:f>
        <ns0:v>1-1</ns0:v>
      </ns0:c>
      <ns0:c r="K20" s="10" t="str">
        <ns0:f>Detail!E504</ns0:f>
        <ns0:v>1-3</ns0:v>
      </ns0:c>
      <ns0:c r="L20" s="10" t="str">
        <ns0:f>Detail!E505</ns0:f>
        <ns0:v>2-2</ns0:v>
      </ns0:c>
      <ns0:c r="M20" s="10" t="str">
        <ns0:f>Detail!E506</ns0:f>
        <ns0:v>0-2</ns0:v>
      </ns0:c>
      <ns0:c r="N20" s="10" t="str">
        <ns0:f>Detail!E507</ns0:f>
        <ns0:v>3-0</ns0:v>
      </ns0:c>
      <ns0:c r="O20" s="10" t="str">
        <ns0:f>Detail!E508</ns0:f>
        <ns0:v>2-2</ns0:v>
      </ns0:c>
      <ns0:c r="P20" s="10" t="str">
        <ns0:f>Detail!E509</ns0:f>
        <ns0:v>1-2</ns0:v>
      </ns0:c>
      <ns0:c r="Q20" s="10" t="str">
        <ns0:f>Detail!E510</ns0:f>
        <ns0:v>1-1</ns0:v>
      </ns0:c>
      <ns0:c r="R20" s="10" t="str">
        <ns0:f>Detail!E511</ns0:f>
        <ns0:v>0-2</ns0:v>
      </ns0:c>
      <ns0:c r="S20" s="9" t="inlineStr">
        <ns0:is>
          <ns0:t>-</ns0:t>
        </ns0:is>
      </ns0:c>
      <ns0:c r="T20" s="10" t="str">
        <ns0:f>Detail!E512</ns0:f>
        <ns0:v>2-1</ns0:v>
      </ns0:c>
      <ns0:c r="U20" s="10" t="str">
        <ns0:f>Detail!E513</ns0:f>
        <ns0:v>1-1</ns0:v>
      </ns0:c>
      <ns0:c r="V20" s="10" t="str">
        <ns0:f>Detail!E514</ns0:f>
        <ns0:v>2-2</ns0:v>
      </ns0:c>
      <ns0:c r="W20" s="10" t="str">
        <ns0:f>Detail!E515</ns0:f>
        <ns0:v>2-0</ns0:v>
      </ns0:c>
      <ns0:c r="X20" s="10" t="str">
        <ns0:f>Detail!E516</ns0:f>
        <ns0:v>2-0</ns0:v>
      </ns0:c>
      <ns0:c r="Y20" s="10" t="str">
        <ns0:f>Detail!E517</ns0:f>
        <ns0:v>4-0</ns0:v>
      </ns0:c>
      <ns0:c r="Z20" s="10" t="str">
        <ns0:f>Detail!E518</ns0:f>
        <ns0:v>2-2</ns0:v>
      </ns0:c>
      <ns0:c r="AA20" s="10" t="str">
        <ns0:f>Detail!E519</ns0:f>
        <ns0:v>2-2</ns0:v>
      </ns0:c>
      <ns0:c r="AB20" s="10" t="str">
        <ns0:f>Detail!E520</ns0:f>
        <ns0:v>3-1</ns0:v>
      </ns0:c>
      <ns0:c r="AC20" s="10" t="str">
        <ns0:f>Detail!E521</ns0:f>
        <ns0:v>1-1</ns0:v>
      </ns0:c>
      <ns0:c r="AD20" s="10" t="str">
        <ns0:f>Detail!E522</ns0:f>
        <ns0:v>3-1</ns0:v>
      </ns0:c>
      <ns0:c r="AE20" s="10" t="str">
        <ns0:f>Detail!E523</ns0:f>
        <ns0:v>1-1</ns0:v>
      </ns0:c>
      <ns0:c r="AF20" s="11" t="str">
        <ns0:f>Validation!C19&amp;"-"&amp;Validation!D19</ns0:f>
        <ns0:v>49-33</ns0:v>
      </ns0:c>
    </ns0:row>
    <ns0:row r="21">
      <ns0:c r="A21" s="8" t="inlineStr">
        <ns0:is>
          <ns0:t>New Orleans Pelicans</ns0:t>
        </ns0:is>
      </ns0:c>
      <ns0:c r="B21" s="10" t="str">
        <ns0:f>Detail!E524</ns0:f>
        <ns0:v>0-2</ns0:v>
      </ns0:c>
      <ns0:c r="C21" s="10" t="str">
        <ns0:f>Detail!E525</ns0:f>
        <ns0:v>0-2</ns0:v>
      </ns0:c>
      <ns0:c r="D21" s="10" t="str">
        <ns0:f>Detail!E526</ns0:f>
        <ns0:v>0-2</ns0:v>
      </ns0:c>
      <ns0:c r="E21" s="10" t="str">
        <ns0:f>Detail!E527</ns0:f>
        <ns0:v>1-1</ns0:v>
      </ns0:c>
      <ns0:c r="F21" s="10" t="str">
        <ns0:f>Detail!E528</ns0:f>
        <ns0:v>2-0</ns0:v>
      </ns0:c>
      <ns0:c r="G21" s="10" t="str">
        <ns0:f>Detail!E529</ns0:f>
        <ns0:v>0-2</ns0:v>
      </ns0:c>
      <ns0:c r="H21" s="10" t="str">
        <ns0:f>Detail!E530</ns0:f>
        <ns0:v>1-3</ns0:v>
      </ns0:c>
      <ns0:c r="I21" s="10" t="str">
        <ns0:f>Detail!E531</ns0:f>
        <ns0:v>1-3</ns0:v>
      </ns0:c>
      <ns0:c r="J21" s="10" t="str">
        <ns0:f>Detail!E532</ns0:f>
        <ns0:v>0-2</ns0:v>
      </ns0:c>
      <ns0:c r="K21" s="10" t="str">
        <ns0:f>Detail!E533</ns0:f>
        <ns0:v>0-4</ns0:v>
      </ns0:c>
      <ns0:c r="L21" s="10" t="str">
        <ns0:f>Detail!E534</ns0:f>
        <ns0:v>0-4</ns0:v>
      </ns0:c>
      <ns0:c r="M21" s="10" t="str">
        <ns0:f>Detail!E535</ns0:f>
        <ns0:v>1-2</ns0:v>
      </ns0:c>
      <ns0:c r="N21" s="10" t="str">
        <ns0:f>Detail!E536</ns0:f>
        <ns0:v>1-2</ns0:v>
      </ns0:c>
      <ns0:c r="O21" s="10" t="str">
        <ns0:f>Detail!E537</ns0:f>
        <ns0:v>0-3</ns0:v>
      </ns0:c>
      <ns0:c r="P21" s="10" t="str">
        <ns0:f>Detail!E538</ns0:f>
        <ns0:v>0-4</ns0:v>
      </ns0:c>
      <ns0:c r="Q21" s="10" t="str">
        <ns0:f>Detail!E539</ns0:f>
        <ns0:v>0-2</ns0:v>
      </ns0:c>
      <ns0:c r="R21" s="10" t="str">
        <ns0:f>Detail!E540</ns0:f>
        <ns0:v>0-2</ns0:v>
      </ns0:c>
      <ns0:c r="S21" s="10" t="str">
        <ns0:f>Detail!E541</ns0:f>
        <ns0:v>1-2</ns0:v>
      </ns0:c>
      <ns0:c r="T21" s="9" t="inlineStr">
        <ns0:is>
          <ns0:t>-</ns0:t>
        </ns0:is>
      </ns0:c>
      <ns0:c r="U21" s="10" t="str">
        <ns0:f>Detail!E542</ns0:f>
        <ns0:v>0-2</ns0:v>
      </ns0:c>
      <ns0:c r="V21" s="10" t="str">
        <ns0:f>Detail!E543</ns0:f>
        <ns0:v>0-4</ns0:v>
      </ns0:c>
      <ns0:c r="W21" s="10" t="str">
        <ns0:f>Detail!E544</ns0:f>
        <ns0:v>0-2</ns0:v>
      </ns0:c>
      <ns0:c r="X21" s="10" t="str">
        <ns0:f>Detail!E545</ns0:f>
        <ns0:v>2-0</ns0:v>
      </ns0:c>
      <ns0:c r="Y21" s="10" t="str">
        <ns0:f>Detail!E546</ns0:f>
        <ns0:v>2-1</ns0:v>
      </ns0:c>
      <ns0:c r="Z21" s="10" t="str">
        <ns0:f>Detail!E547</ns0:f>
        <ns0:v>1-3</ns0:v>
      </ns0:c>
      <ns0:c r="AA21" s="10" t="str">
        <ns0:f>Detail!E548</ns0:f>
        <ns0:v>1-3</ns0:v>
      </ns0:c>
      <ns0:c r="AB21" s="10" t="str">
        <ns0:f>Detail!E549</ns0:f>
        <ns0:v>2-2</ns0:v>
      </ns0:c>
      <ns0:c r="AC21" s="10" t="str">
        <ns0:f>Detail!E550</ns0:f>
        <ns0:v>0-2</ns0:v>
      </ns0:c>
      <ns0:c r="AD21" s="10" t="str">
        <ns0:f>Detail!E551</ns0:f>
        <ns0:v>3-0</ns0:v>
      </ns0:c>
      <ns0:c r="AE21" s="10" t="str">
        <ns0:f>Detail!E552</ns0:f>
        <ns0:v>2-0</ns0:v>
      </ns0:c>
      <ns0:c r="AF21" s="11" t="str">
        <ns0:f>Validation!C20&amp;"-"&amp;Validation!D20</ns0:f>
        <ns0:v>21-61</ns0:v>
      </ns0:c>
    </ns0:row>
    <ns0:row r="22">
      <ns0:c r="A22" s="8" t="inlineStr">
        <ns0:is>
          <ns0:t>New York Knicks</ns0:t>
        </ns0:is>
      </ns0:c>
      <ns0:c r="B22" s="10" t="str">
        <ns0:f>Detail!E553</ns0:f>
        <ns0:v>3-2</ns0:v>
      </ns0:c>
      <ns0:c r="C22" s="10" t="str">
        <ns0:f>Detail!E554</ns0:f>
        <ns0:v>0-4</ns0:v>
      </ns0:c>
      <ns0:c r="D22" s="10" t="str">
        <ns0:f>Detail!E555</ns0:f>
        <ns0:v>4-0</ns0:v>
      </ns0:c>
      <ns0:c r="E22" s="10" t="str">
        <ns0:f>Detail!E556</ns0:f>
        <ns0:v>2-1</ns0:v>
      </ns0:c>
      <ns0:c r="F22" s="10" t="str">
        <ns0:f>Detail!E557</ns0:f>
        <ns0:v>1-2</ns0:v>
      </ns0:c>
      <ns0:c r="G22" s="10" t="str">
        <ns0:f>Detail!E558</ns0:f>
        <ns0:v>0-4</ns0:v>
      </ns0:c>
      <ns0:c r="H22" s="10" t="str">
        <ns0:f>Detail!E559</ns0:f>
        <ns0:v>1-1</ns0:v>
      </ns0:c>
      <ns0:c r="I22" s="10" t="str">
        <ns0:f>Detail!E560</ns0:f>
        <ns0:v>2-0</ns0:v>
      </ns0:c>
      <ns0:c r="J22" s="10" t="str">
        <ns0:f>Detail!E561</ns0:f>
        <ns0:v>1-3</ns0:v>
      </ns0:c>
      <ns0:c r="K22" s="10" t="str">
        <ns0:f>Detail!E562</ns0:f>
        <ns0:v>0-2</ns0:v>
      </ns0:c>
      <ns0:c r="L22" s="10" t="str">
        <ns0:f>Detail!E563</ns0:f>
        <ns0:v>1-1</ns0:v>
      </ns0:c>
      <ns0:c r="M22" s="10" t="str">
        <ns0:f>Detail!E564</ns0:f>
        <ns0:v>2-1</ns0:v>
      </ns0:c>
      <ns0:c r="N22" s="10" t="str">
        <ns0:f>Detail!E565</ns0:f>
        <ns0:v>0-2</ns0:v>
      </ns0:c>
      <ns0:c r="O22" s="10" t="str">
        <ns0:f>Detail!E566</ns0:f>
        <ns0:v>0-2</ns0:v>
      </ns0:c>
      <ns0:c r="P22" s="10" t="str">
        <ns0:f>Detail!E567</ns0:f>
        <ns0:v>2-0</ns0:v>
      </ns0:c>
      <ns0:c r="Q22" s="10" t="str">
        <ns0:f>Detail!E568</ns0:f>
        <ns0:v>3-0</ns0:v>
      </ns0:c>
      <ns0:c r="R22" s="10" t="str">
        <ns0:f>Detail!E569</ns0:f>
        <ns0:v>3-0</ns0:v>
      </ns0:c>
      <ns0:c r="S22" s="10" t="str">
        <ns0:f>Detail!E570</ns0:f>
        <ns0:v>1-1</ns0:v>
      </ns0:c>
      <ns0:c r="T22" s="10" t="str">
        <ns0:f>Detail!E571</ns0:f>
        <ns0:v>2-0</ns0:v>
      </ns0:c>
      <ns0:c r="U22" s="9" t="inlineStr">
        <ns0:is>
          <ns0:t>-</ns0:t>
        </ns0:is>
      </ns0:c>
      <ns0:c r="V22" s="10" t="str">
        <ns0:f>Detail!E572</ns0:f>
        <ns0:v>0-2</ns0:v>
      </ns0:c>
      <ns0:c r="W22" s="10" t="str">
        <ns0:f>Detail!E573</ns0:f>
        <ns0:v>3-1</ns0:v>
      </ns0:c>
      <ns0:c r="X22" s="10" t="str">
        <ns0:f>Detail!E574</ns0:f>
        <ns0:v>4-0</ns0:v>
      </ns0:c>
      <ns0:c r="Y22" s="10" t="str">
        <ns0:f>Detail!E575</ns0:f>
        <ns0:v>2-0</ns0:v>
      </ns0:c>
      <ns0:c r="Z22" s="10" t="str">
        <ns0:f>Detail!E576</ns0:f>
        <ns0:v>2-0</ns0:v>
      </ns0:c>
      <ns0:c r="AA22" s="10" t="str">
        <ns0:f>Detail!E577</ns0:f>
        <ns0:v>2-0</ns0:v>
      </ns0:c>
      <ns0:c r="AB22" s="10" t="str">
        <ns0:f>Detail!E578</ns0:f>
        <ns0:v>1-1</ns0:v>
      </ns0:c>
      <ns0:c r="AC22" s="10" t="str">
        <ns0:f>Detail!E579</ns0:f>
        <ns0:v>4-0</ns0:v>
      </ns0:c>
      <ns0:c r="AD22" s="10" t="str">
        <ns0:f>Detail!E580</ns0:f>
        <ns0:v>1-1</ns0:v>
      </ns0:c>
      <ns0:c r="AE22" s="10" t="str">
        <ns0:f>Detail!E581</ns0:f>
        <ns0:v>4-0</ns0:v>
      </ns0:c>
      <ns0:c r="AF22" s="11" t="str">
        <ns0:f>Validation!C21&amp;"-"&amp;Validation!D21</ns0:f>
        <ns0:v>51-31</ns0:v>
      </ns0:c>
    </ns0:row>
    <ns0:row r="23">
      <ns0:c r="A23" s="8" t="inlineStr">
        <ns0:is>
          <ns0:t>Oklahoma City Thunder</ns0:t>
        </ns0:is>
      </ns0:c>
      <ns0:c r="B23" s="10" t="str">
        <ns0:f>Detail!E582</ns0:f>
        <ns0:v>2-0</ns0:v>
      </ns0:c>
      <ns0:c r="C23" s="10" t="str">
        <ns0:f>Detail!E583</ns0:f>
        <ns0:v>2-0</ns0:v>
      </ns0:c>
      <ns0:c r="D23" s="10" t="str">
        <ns0:f>Detail!E584</ns0:f>
        <ns0:v>2-0</ns0:v>
      </ns0:c>
      <ns0:c r="E23" s="10" t="str">
        <ns0:f>Detail!E585</ns0:f>
        <ns0:v>2-0</ns0:v>
      </ns0:c>
      <ns0:c r="F23" s="10" t="str">
        <ns0:f>Detail!E586</ns0:f>
        <ns0:v>2-0</ns0:v>
      </ns0:c>
      <ns0:c r="G23" s="10" t="str">
        <ns0:f>Detail!E587</ns0:f>
        <ns0:v>1-1</ns0:v>
      </ns0:c>
      <ns0:c r="H23" s="10" t="str">
        <ns0:f>Detail!E588</ns0:f>
        <ns0:v>1-3</ns0:v>
      </ns0:c>
      <ns0:c r="I23" s="10" t="str">
        <ns0:f>Detail!E589</ns0:f>
        <ns0:v>2-2</ns0:v>
      </ns0:c>
      <ns0:c r="J23" s="10" t="str">
        <ns0:f>Detail!E590</ns0:f>
        <ns0:v>2-0</ns0:v>
      </ns0:c>
      <ns0:c r="K23" s="10" t="str">
        <ns0:f>Detail!E591</ns0:f>
        <ns0:v>1-2</ns0:v>
      </ns0:c>
      <ns0:c r="L23" s="10" t="str">
        <ns0:f>Detail!E592</ns0:f>
        <ns0:v>3-2</ns0:v>
      </ns0:c>
      <ns0:c r="M23" s="10" t="str">
        <ns0:f>Detail!E593</ns0:f>
        <ns0:v>2-0</ns0:v>
      </ns0:c>
      <ns0:c r="N23" s="10" t="str">
        <ns0:f>Detail!E594</ns0:f>
        <ns0:v>4-0</ns0:v>
      </ns0:c>
      <ns0:c r="O23" s="10" t="str">
        <ns0:f>Detail!E595</ns0:f>
        <ns0:v>2-1</ns0:v>
      </ns0:c>
      <ns0:c r="P23" s="10" t="str">
        <ns0:f>Detail!E596</ns0:f>
        <ns0:v>4-0</ns0:v>
      </ns0:c>
      <ns0:c r="Q23" s="10" t="str">
        <ns0:f>Detail!E597</ns0:f>
        <ns0:v>2-0</ns0:v>
      </ns0:c>
      <ns0:c r="R23" s="10" t="str">
        <ns0:f>Detail!E598</ns0:f>
        <ns0:v>2-0</ns0:v>
      </ns0:c>
      <ns0:c r="S23" s="10" t="str">
        <ns0:f>Detail!E599</ns0:f>
        <ns0:v>2-2</ns0:v>
      </ns0:c>
      <ns0:c r="T23" s="10" t="str">
        <ns0:f>Detail!E600</ns0:f>
        <ns0:v>4-0</ns0:v>
      </ns0:c>
      <ns0:c r="U23" s="10" t="str">
        <ns0:f>Detail!E601</ns0:f>
        <ns0:v>2-0</ns0:v>
      </ns0:c>
      <ns0:c r="V23" s="9" t="inlineStr">
        <ns0:is>
          <ns0:t>-</ns0:t>
        </ns0:is>
      </ns0:c>
      <ns0:c r="W23" s="10" t="str">
        <ns0:f>Detail!E602</ns0:f>
        <ns0:v>2-0</ns0:v>
      </ns0:c>
      <ns0:c r="X23" s="10" t="str">
        <ns0:f>Detail!E603</ns0:f>
        <ns0:v>2-0</ns0:v>
      </ns0:c>
      <ns0:c r="Y23" s="10" t="str">
        <ns0:f>Detail!E604</ns0:f>
        <ns0:v>3-0</ns0:v>
      </ns0:c>
      <ns0:c r="Z23" s="10" t="str">
        <ns0:f>Detail!E605</ns0:f>
        <ns0:v>4-0</ns0:v>
      </ns0:c>
      <ns0:c r="AA23" s="10" t="str">
        <ns0:f>Detail!E606</ns0:f>
        <ns0:v>3-0</ns0:v>
      </ns0:c>
      <ns0:c r="AB23" s="10" t="str">
        <ns0:f>Detail!E607</ns0:f>
        <ns0:v>2-1</ns0:v>
      </ns0:c>
      <ns0:c r="AC23" s="10" t="str">
        <ns0:f>Detail!E608</ns0:f>
        <ns0:v>2-0</ns0:v>
      </ns0:c>
      <ns0:c r="AD23" s="10" t="str">
        <ns0:f>Detail!E609</ns0:f>
        <ns0:v>4-0</ns0:v>
      </ns0:c>
      <ns0:c r="AE23" s="10" t="str">
        <ns0:f>Detail!E610</ns0:f>
        <ns0:v>2-0</ns0:v>
      </ns0:c>
      <ns0:c r="AF23" s="11" t="str">
        <ns0:f>Validation!C22&amp;"-"&amp;Validation!D22</ns0:f>
        <ns0:v>68-14</ns0:v>
      </ns0:c>
    </ns0:row>
    <ns0:row r="24">
      <ns0:c r="A24" s="8" t="inlineStr">
        <ns0:is>
          <ns0:t>Orlando Magic</ns0:t>
        </ns0:is>
      </ns0:c>
      <ns0:c r="B24" s="10" t="str">
        <ns0:f>Detail!E611</ns0:f>
        <ns0:v>2-2</ns0:v>
      </ns0:c>
      <ns0:c r="C24" s="10" t="str">
        <ns0:f>Detail!E612</ns0:f>
        <ns0:v>2-1</ns0:v>
      </ns0:c>
      <ns0:c r="D24" s="10" t="str">
        <ns0:f>Detail!E613</ns0:f>
        <ns0:v>4-0</ns0:v>
      </ns0:c>
      <ns0:c r="E24" s="10" t="str">
        <ns0:f>Detail!E614</ns0:f>
        <ns0:v>4-0</ns0:v>
      </ns0:c>
      <ns0:c r="F24" s="10" t="str">
        <ns0:f>Detail!E615</ns0:f>
        <ns0:v>1-2</ns0:v>
      </ns0:c>
      <ns0:c r="G24" s="10" t="str">
        <ns0:f>Detail!E616</ns0:f>
        <ns0:v>1-2</ns0:v>
      </ns0:c>
      <ns0:c r="H24" s="10" t="str">
        <ns0:f>Detail!E617</ns0:f>
        <ns0:v>0-2</ns0:v>
      </ns0:c>
      <ns0:c r="I24" s="10" t="str">
        <ns0:f>Detail!E618</ns0:f>
        <ns0:v>0-2</ns0:v>
      </ns0:c>
      <ns0:c r="J24" s="10" t="str">
        <ns0:f>Detail!E619</ns0:f>
        <ns0:v>2-1</ns0:v>
      </ns0:c>
      <ns0:c r="K24" s="10" t="str">
        <ns0:f>Detail!E620</ns0:f>
        <ns0:v>0-2</ns0:v>
      </ns0:c>
      <ns0:c r="L24" s="10" t="str">
        <ns0:f>Detail!E621</ns0:f>
        <ns0:v>0-2</ns0:v>
      </ns0:c>
      <ns0:c r="M24" s="10" t="str">
        <ns0:f>Detail!E622</ns0:f>
        <ns0:v>3-1</ns0:v>
      </ns0:c>
      <ns0:c r="N24" s="10" t="str">
        <ns0:f>Detail!E623</ns0:f>
        <ns0:v>0-2</ns0:v>
      </ns0:c>
      <ns0:c r="O24" s="10" t="str">
        <ns0:f>Detail!E624</ns0:f>
        <ns0:v>2-0</ns0:v>
      </ns0:c>
      <ns0:c r="P24" s="10" t="str">
        <ns0:f>Detail!E625</ns0:f>
        <ns0:v>0-2</ns0:v>
      </ns0:c>
      <ns0:c r="Q24" s="10" t="str">
        <ns0:f>Detail!E626</ns0:f>
        <ns0:v>2-2</ns0:v>
      </ns0:c>
      <ns0:c r="R24" s="10" t="str">
        <ns0:f>Detail!E627</ns0:f>
        <ns0:v>1-3</ns0:v>
      </ns0:c>
      <ns0:c r="S24" s="10" t="str">
        <ns0:f>Detail!E628</ns0:f>
        <ns0:v>0-2</ns0:v>
      </ns0:c>
      <ns0:c r="T24" s="10" t="str">
        <ns0:f>Detail!E629</ns0:f>
        <ns0:v>2-0</ns0:v>
      </ns0:c>
      <ns0:c r="U24" s="10" t="str">
        <ns0:f>Detail!E630</ns0:f>
        <ns0:v>1-3</ns0:v>
      </ns0:c>
      <ns0:c r="V24" s="10" t="str">
        <ns0:f>Detail!E631</ns0:f>
        <ns0:v>0-2</ns0:v>
      </ns0:c>
      <ns0:c r="W24" s="9" t="inlineStr">
        <ns0:is>
          <ns0:t>-</ns0:t>
        </ns0:is>
      </ns0:c>
      <ns0:c r="X24" s="10" t="str">
        <ns0:f>Detail!E632</ns0:f>
        <ns0:v>3-1</ns0:v>
      </ns0:c>
      <ns0:c r="Y24" s="10" t="str">
        <ns0:f>Detail!E633</ns0:f>
        <ns0:v>2-0</ns0:v>
      </ns0:c>
      <ns0:c r="Z24" s="10" t="str">
        <ns0:f>Detail!E634</ns0:f>
        <ns0:v>0-2</ns0:v>
      </ns0:c>
      <ns0:c r="AA24" s="10" t="str">
        <ns0:f>Detail!E635</ns0:f>
        <ns0:v>2-0</ns0:v>
      </ns0:c>
      <ns0:c r="AB24" s="10" t="str">
        <ns0:f>Detail!E636</ns0:f>
        <ns0:v>2-0</ns0:v>
      </ns0:c>
      <ns0:c r="AC24" s="10" t="str">
        <ns0:f>Detail!E637</ns0:f>
        <ns0:v>1-3</ns0:v>
      </ns0:c>
      <ns0:c r="AD24" s="10" t="str">
        <ns0:f>Detail!E638</ns0:f>
        <ns0:v>0-2</ns0:v>
      </ns0:c>
      <ns0:c r="AE24" s="10" t="str">
        <ns0:f>Detail!E639</ns0:f>
        <ns0:v>4-0</ns0:v>
      </ns0:c>
      <ns0:c r="AF24" s="11" t="str">
        <ns0:f>Validation!C23&amp;"-"&amp;Validation!D23</ns0:f>
        <ns0:v>41-41</ns0:v>
      </ns0:c>
    </ns0:row>
    <ns0:row r="25">
      <ns0:c r="A25" s="8" t="inlineStr">
        <ns0:is>
          <ns0:t>Philadelphia 76ers</ns0:t>
        </ns0:is>
      </ns0:c>
      <ns0:c r="B25" s="10" t="str">
        <ns0:f>Detail!E640</ns0:f>
        <ns0:v>0-3</ns0:v>
      </ns0:c>
      <ns0:c r="C25" s="10" t="str">
        <ns0:f>Detail!E641</ns0:f>
        <ns0:v>1-3</ns0:v>
      </ns0:c>
      <ns0:c r="D25" s="10" t="str">
        <ns0:f>Detail!E642</ns0:f>
        <ns0:v>2-2</ns0:v>
      </ns0:c>
      <ns0:c r="E25" s="10" t="str">
        <ns0:f>Detail!E643</ns0:f>
        <ns0:v>4-0</ns0:v>
      </ns0:c>
      <ns0:c r="F25" s="10" t="str">
        <ns0:f>Detail!E644</ns0:f>
        <ns0:v>2-2</ns0:v>
      </ns0:c>
      <ns0:c r="G25" s="10" t="str">
        <ns0:f>Detail!E645</ns0:f>
        <ns0:v>1-2</ns0:v>
      </ns0:c>
      <ns0:c r="H25" s="10" t="str">
        <ns0:f>Detail!E646</ns0:f>
        <ns0:v>2-0</ns0:v>
      </ns0:c>
      <ns0:c r="I25" s="10" t="str">
        <ns0:f>Detail!E647</ns0:f>
        <ns0:v>0-2</ns0:v>
      </ns0:c>
      <ns0:c r="J25" s="10" t="str">
        <ns0:f>Detail!E648</ns0:f>
        <ns0:v>1-2</ns0:v>
      </ns0:c>
      <ns0:c r="K25" s="10" t="str">
        <ns0:f>Detail!E649</ns0:f>
        <ns0:v>1-1</ns0:v>
      </ns0:c>
      <ns0:c r="L25" s="10" t="str">
        <ns0:f>Detail!E650</ns0:f>
        <ns0:v>0-2</ns0:v>
      </ns0:c>
      <ns0:c r="M25" s="10" t="str">
        <ns0:f>Detail!E651</ns0:f>
        <ns0:v>1-3</ns0:v>
      </ns0:c>
      <ns0:c r="N25" s="10" t="str">
        <ns0:f>Detail!E652</ns0:f>
        <ns0:v>0-2</ns0:v>
      </ns0:c>
      <ns0:c r="O25" s="10" t="str">
        <ns0:f>Detail!E653</ns0:f>
        <ns0:v>1-1</ns0:v>
      </ns0:c>
      <ns0:c r="P25" s="10" t="str">
        <ns0:f>Detail!E654</ns0:f>
        <ns0:v>0-2</ns0:v>
      </ns0:c>
      <ns0:c r="Q25" s="10" t="str">
        <ns0:f>Detail!E655</ns0:f>
        <ns0:v>0-4</ns0:v>
      </ns0:c>
      <ns0:c r="R25" s="10" t="str">
        <ns0:f>Detail!E656</ns0:f>
        <ns0:v>0-4</ns0:v>
      </ns0:c>
      <ns0:c r="S25" s="10" t="str">
        <ns0:f>Detail!E657</ns0:f>
        <ns0:v>0-2</ns0:v>
      </ns0:c>
      <ns0:c r="T25" s="10" t="str">
        <ns0:f>Detail!E658</ns0:f>
        <ns0:v>0-2</ns0:v>
      </ns0:c>
      <ns0:c r="U25" s="10" t="str">
        <ns0:f>Detail!E659</ns0:f>
        <ns0:v>0-4</ns0:v>
      </ns0:c>
      <ns0:c r="V25" s="10" t="str">
        <ns0:f>Detail!E660</ns0:f>
        <ns0:v>0-2</ns0:v>
      </ns0:c>
      <ns0:c r="W25" s="10" t="str">
        <ns0:f>Detail!E661</ns0:f>
        <ns0:v>1-3</ns0:v>
      </ns0:c>
      <ns0:c r="X25" s="9" t="inlineStr">
        <ns0:is>
          <ns0:t>-</ns0:t>
        </ns0:is>
      </ns0:c>
      <ns0:c r="Y25" s="10" t="str">
        <ns0:f>Detail!E662</ns0:f>
        <ns0:v>0-2</ns0:v>
      </ns0:c>
      <ns0:c r="Z25" s="10" t="str">
        <ns0:f>Detail!E663</ns0:f>
        <ns0:v>1-1</ns0:v>
      </ns0:c>
      <ns0:c r="AA25" s="10" t="str">
        <ns0:f>Detail!E664</ns0:f>
        <ns0:v>1-1</ns0:v>
      </ns0:c>
      <ns0:c r="AB25" s="10" t="str">
        <ns0:f>Detail!E665</ns0:f>
        <ns0:v>1-1</ns0:v>
      </ns0:c>
      <ns0:c r="AC25" s="10" t="str">
        <ns0:f>Detail!E666</ns0:f>
        <ns0:v>0-4</ns0:v>
      </ns0:c>
      <ns0:c r="AD25" s="10" t="str">
        <ns0:f>Detail!E667</ns0:f>
        <ns0:v>2-0</ns0:v>
      </ns0:c>
      <ns0:c r="AE25" s="10" t="str">
        <ns0:f>Detail!E668</ns0:f>
        <ns0:v>2-1</ns0:v>
      </ns0:c>
      <ns0:c r="AF25" s="11" t="str">
        <ns0:f>Validation!C24&amp;"-"&amp;Validation!D24</ns0:f>
        <ns0:v>24-58</ns0:v>
      </ns0:c>
    </ns0:row>
    <ns0:row r="26">
      <ns0:c r="A26" s="8" t="inlineStr">
        <ns0:is>
          <ns0:t>Phoenix Suns</ns0:t>
        </ns0:is>
      </ns0:c>
      <ns0:c r="B26" s="10" t="str">
        <ns0:f>Detail!E669</ns0:f>
        <ns0:v>1-1</ns0:v>
      </ns0:c>
      <ns0:c r="C26" s="10" t="str">
        <ns0:f>Detail!E670</ns0:f>
        <ns0:v>0-2</ns0:v>
      </ns0:c>
      <ns0:c r="D26" s="10" t="str">
        <ns0:f>Detail!E671</ns0:f>
        <ns0:v>1-1</ns0:v>
      </ns0:c>
      <ns0:c r="E26" s="10" t="str">
        <ns0:f>Detail!E672</ns0:f>
        <ns0:v>1-1</ns0:v>
      </ns0:c>
      <ns0:c r="F26" s="10" t="str">
        <ns0:f>Detail!E673</ns0:f>
        <ns0:v>2-0</ns0:v>
      </ns0:c>
      <ns0:c r="G26" s="10" t="str">
        <ns0:f>Detail!E674</ns0:f>
        <ns0:v>1-1</ns0:v>
      </ns0:c>
      <ns0:c r="H26" s="10" t="str">
        <ns0:f>Detail!E675</ns0:f>
        <ns0:v>3-1</ns0:v>
      </ns0:c>
      <ns0:c r="I26" s="10" t="str">
        <ns0:f>Detail!E676</ns0:f>
        <ns0:v>1-3</ns0:v>
      </ns0:c>
      <ns0:c r="J26" s="10" t="str">
        <ns0:f>Detail!E677</ns0:f>
        <ns0:v>1-1</ns0:v>
      </ns0:c>
      <ns0:c r="K26" s="10" t="str">
        <ns0:f>Detail!E678</ns0:f>
        <ns0:v>2-2</ns0:v>
      </ns0:c>
      <ns0:c r="L26" s="10" t="str">
        <ns0:f>Detail!E679</ns0:f>
        <ns0:v>0-3</ns0:v>
      </ns0:c>
      <ns0:c r="M26" s="10" t="str">
        <ns0:f>Detail!E680</ns0:f>
        <ns0:v>0-2</ns0:v>
      </ns0:c>
      <ns0:c r="N26" s="10" t="str">
        <ns0:f>Detail!E681</ns0:f>
        <ns0:v>4-0</ns0:v>
      </ns0:c>
      <ns0:c r="O26" s="10" t="str">
        <ns0:f>Detail!E682</ns0:f>
        <ns0:v>2-2</ns0:v>
      </ns0:c>
      <ns0:c r="P26" s="10" t="str">
        <ns0:f>Detail!E683</ns0:f>
        <ns0:v>0-4</ns0:v>
      </ns0:c>
      <ns0:c r="Q26" s="10" t="str">
        <ns0:f>Detail!E684</ns0:f>
        <ns0:v>1-1</ns0:v>
      </ns0:c>
      <ns0:c r="R26" s="10" t="str">
        <ns0:f>Detail!E685</ns0:f>
        <ns0:v>1-1</ns0:v>
      </ns0:c>
      <ns0:c r="S26" s="10" t="str">
        <ns0:f>Detail!E686</ns0:f>
        <ns0:v>0-4</ns0:v>
      </ns0:c>
      <ns0:c r="T26" s="10" t="str">
        <ns0:f>Detail!E687</ns0:f>
        <ns0:v>1-2</ns0:v>
      </ns0:c>
      <ns0:c r="U26" s="10" t="str">
        <ns0:f>Detail!E688</ns0:f>
        <ns0:v>0-2</ns0:v>
      </ns0:c>
      <ns0:c r="V26" s="10" t="str">
        <ns0:f>Detail!E689</ns0:f>
        <ns0:v>0-3</ns0:v>
      </ns0:c>
      <ns0:c r="W26" s="10" t="str">
        <ns0:f>Detail!E690</ns0:f>
        <ns0:v>0-2</ns0:v>
      </ns0:c>
      <ns0:c r="X26" s="10" t="str">
        <ns0:f>Detail!E691</ns0:f>
        <ns0:v>2-0</ns0:v>
      </ns0:c>
      <ns0:c r="Y26" s="9" t="inlineStr">
        <ns0:is>
          <ns0:t>-</ns0:t>
        </ns0:is>
      </ns0:c>
      <ns0:c r="Z26" s="10" t="str">
        <ns0:f>Detail!E692</ns0:f>
        <ns0:v>2-2</ns0:v>
      </ns0:c>
      <ns0:c r="AA26" s="10" t="str">
        <ns0:f>Detail!E693</ns0:f>
        <ns0:v>1-3</ns0:v>
      </ns0:c>
      <ns0:c r="AB26" s="10" t="str">
        <ns0:f>Detail!E694</ns0:f>
        <ns0:v>2-1</ns0:v>
      </ns0:c>
      <ns0:c r="AC26" s="10" t="str">
        <ns0:f>Detail!E695</ns0:f>
        <ns0:v>1-1</ns0:v>
      </ns0:c>
      <ns0:c r="AD26" s="10" t="str">
        <ns0:f>Detail!E696</ns0:f>
        <ns0:v>4-0</ns0:v>
      </ns0:c>
      <ns0:c r="AE26" s="10" t="str">
        <ns0:f>Detail!E697</ns0:f>
        <ns0:v>2-0</ns0:v>
      </ns0:c>
      <ns0:c r="AF26" s="11" t="str">
        <ns0:f>Validation!C25&amp;"-"&amp;Validation!D25</ns0:f>
        <ns0:v>36-46</ns0:v>
      </ns0:c>
    </ns0:row>
    <ns0:row r="27">
      <ns0:c r="A27" s="8" t="inlineStr">
        <ns0:is>
          <ns0:t>Portland Trail Blazers</ns0:t>
        </ns0:is>
      </ns0:c>
      <ns0:c r="B27" s="10" t="str">
        <ns0:f>Detail!E698</ns0:f>
        <ns0:v>2-0</ns0:v>
      </ns0:c>
      <ns0:c r="C27" s="10" t="str">
        <ns0:f>Detail!E699</ns0:f>
        <ns0:v>0-2</ns0:v>
      </ns0:c>
      <ns0:c r="D27" s="10" t="str">
        <ns0:f>Detail!E700</ns0:f>
        <ns0:v>1-1</ns0:v>
      </ns0:c>
      <ns0:c r="E27" s="10" t="str">
        <ns0:f>Detail!E701</ns0:f>
        <ns0:v>2-0</ns0:v>
      </ns0:c>
      <ns0:c r="F27" s="10" t="str">
        <ns0:f>Detail!E702</ns0:f>
        <ns0:v>1-1</ns0:v>
      </ns0:c>
      <ns0:c r="G27" s="10" t="str">
        <ns0:f>Detail!E703</ns0:f>
        <ns0:v>0-2</ns0:v>
      </ns0:c>
      <ns0:c r="H27" s="10" t="str">
        <ns0:f>Detail!E704</ns0:f>
        <ns0:v>1-3</ns0:v>
      </ns0:c>
      <ns0:c r="I27" s="10" t="str">
        <ns0:f>Detail!E705</ns0:f>
        <ns0:v>2-2</ns0:v>
      </ns0:c>
      <ns0:c r="J27" s="10" t="str">
        <ns0:f>Detail!E706</ns0:f>
        <ns0:v>0-2</ns0:v>
      </ns0:c>
      <ns0:c r="K27" s="10" t="str">
        <ns0:f>Detail!E707</ns0:f>
        <ns0:v>0-3</ns0:v>
      </ns0:c>
      <ns0:c r="L27" s="10" t="str">
        <ns0:f>Detail!E708</ns0:f>
        <ns0:v>1-2</ns0:v>
      </ns0:c>
      <ns0:c r="M27" s="10" t="str">
        <ns0:f>Detail!E709</ns0:f>
        <ns0:v>1-1</ns0:v>
      </ns0:c>
      <ns0:c r="N27" s="10" t="str">
        <ns0:f>Detail!E710</ns0:f>
        <ns0:v>1-2</ns0:v>
      </ns0:c>
      <ns0:c r="O27" s="10" t="str">
        <ns0:f>Detail!E711</ns0:f>
        <ns0:v>1-3</ns0:v>
      </ns0:c>
      <ns0:c r="P27" s="10" t="str">
        <ns0:f>Detail!E712</ns0:f>
        <ns0:v>1-2</ns0:v>
      </ns0:c>
      <ns0:c r="Q27" s="10" t="str">
        <ns0:f>Detail!E713</ns0:f>
        <ns0:v>1-1</ns0:v>
      </ns0:c>
      <ns0:c r="R27" s="10" t="str">
        <ns0:f>Detail!E714</ns0:f>
        <ns0:v>2-0</ns0:v>
      </ns0:c>
      <ns0:c r="S27" s="10" t="str">
        <ns0:f>Detail!E715</ns0:f>
        <ns0:v>2-2</ns0:v>
      </ns0:c>
      <ns0:c r="T27" s="10" t="str">
        <ns0:f>Detail!E716</ns0:f>
        <ns0:v>3-1</ns0:v>
      </ns0:c>
      <ns0:c r="U27" s="10" t="str">
        <ns0:f>Detail!E717</ns0:f>
        <ns0:v>0-2</ns0:v>
      </ns0:c>
      <ns0:c r="V27" s="10" t="str">
        <ns0:f>Detail!E718</ns0:f>
        <ns0:v>0-4</ns0:v>
      </ns0:c>
      <ns0:c r="W27" s="10" t="str">
        <ns0:f>Detail!E719</ns0:f>
        <ns0:v>2-0</ns0:v>
      </ns0:c>
      <ns0:c r="X27" s="10" t="str">
        <ns0:f>Detail!E720</ns0:f>
        <ns0:v>1-1</ns0:v>
      </ns0:c>
      <ns0:c r="Y27" s="10" t="str">
        <ns0:f>Detail!E721</ns0:f>
        <ns0:v>2-2</ns0:v>
      </ns0:c>
      <ns0:c r="Z27" s="9" t="inlineStr">
        <ns0:is>
          <ns0:t>-</ns0:t>
        </ns0:is>
      </ns0:c>
      <ns0:c r="AA27" s="10" t="str">
        <ns0:f>Detail!E722</ns0:f>
        <ns0:v>2-2</ns0:v>
      </ns0:c>
      <ns0:c r="AB27" s="10" t="str">
        <ns0:f>Detail!E723</ns0:f>
        <ns0:v>1-3</ns0:v>
      </ns0:c>
      <ns0:c r="AC27" s="10" t="str">
        <ns0:f>Detail!E724</ns0:f>
        <ns0:v>2-0</ns0:v>
      </ns0:c>
      <ns0:c r="AD27" s="10" t="str">
        <ns0:f>Detail!E725</ns0:f>
        <ns0:v>2-2</ns0:v>
      </ns0:c>
      <ns0:c r="AE27" s="10" t="str">
        <ns0:f>Detail!E726</ns0:f>
        <ns0:v>2-0</ns0:v>
      </ns0:c>
      <ns0:c r="AF27" s="11" t="str">
        <ns0:f>Validation!C26&amp;"-"&amp;Validation!D26</ns0:f>
        <ns0:v>36-46</ns0:v>
      </ns0:c>
    </ns0:row>
    <ns0:row r="28">
      <ns0:c r="A28" s="8" t="inlineStr">
        <ns0:is>
          <ns0:t>Sacramento Kings</ns0:t>
        </ns0:is>
      </ns0:c>
      <ns0:c r="B28" s="10" t="str">
        <ns0:f>Detail!E727</ns0:f>
        <ns0:v>1-1</ns0:v>
      </ns0:c>
      <ns0:c r="C28" s="10" t="str">
        <ns0:f>Detail!E728</ns0:f>
        <ns0:v>1-1</ns0:v>
      </ns0:c>
      <ns0:c r="D28" s="10" t="str">
        <ns0:f>Detail!E729</ns0:f>
        <ns0:v>1-1</ns0:v>
      </ns0:c>
      <ns0:c r="E28" s="10" t="str">
        <ns0:f>Detail!E730</ns0:f>
        <ns0:v>2-0</ns0:v>
      </ns0:c>
      <ns0:c r="F28" s="10" t="str">
        <ns0:f>Detail!E731</ns0:f>
        <ns0:v>1-1</ns0:v>
      </ns0:c>
      <ns0:c r="G28" s="10" t="str">
        <ns0:f>Detail!E732</ns0:f>
        <ns0:v>2-0</ns0:v>
      </ns0:c>
      <ns0:c r="H28" s="10" t="str">
        <ns0:f>Detail!E733</ns0:f>
        <ns0:v>3-0</ns0:v>
      </ns0:c>
      <ns0:c r="I28" s="10" t="str">
        <ns0:f>Detail!E734</ns0:f>
        <ns0:v>0-4</ns0:v>
      </ns0:c>
      <ns0:c r="J28" s="10" t="str">
        <ns0:f>Detail!E735</ns0:f>
        <ns0:v>1-1</ns0:v>
      </ns0:c>
      <ns0:c r="K28" s="10" t="str">
        <ns0:f>Detail!E736</ns0:f>
        <ns0:v>2-2</ns0:v>
      </ns0:c>
      <ns0:c r="L28" s="10" t="str">
        <ns0:f>Detail!E737</ns0:f>
        <ns0:v>3-0</ns0:v>
      </ns0:c>
      <ns0:c r="M28" s="10" t="str">
        <ns0:f>Detail!E738</ns0:f>
        <ns0:v>0-2</ns0:v>
      </ns0:c>
      <ns0:c r="N28" s="10" t="str">
        <ns0:f>Detail!E739</ns0:f>
        <ns0:v>0-4</ns0:v>
      </ns0:c>
      <ns0:c r="O28" s="10" t="str">
        <ns0:f>Detail!E740</ns0:f>
        <ns0:v>0-4</ns0:v>
      </ns0:c>
      <ns0:c r="P28" s="10" t="str">
        <ns0:f>Detail!E741</ns0:f>
        <ns0:v>2-1</ns0:v>
      </ns0:c>
      <ns0:c r="Q28" s="10" t="str">
        <ns0:f>Detail!E742</ns0:f>
        <ns0:v>2-0</ns0:v>
      </ns0:c>
      <ns0:c r="R28" s="10" t="str">
        <ns0:f>Detail!E743</ns0:f>
        <ns0:v>0-2</ns0:v>
      </ns0:c>
      <ns0:c r="S28" s="10" t="str">
        <ns0:f>Detail!E744</ns0:f>
        <ns0:v>2-2</ns0:v>
      </ns0:c>
      <ns0:c r="T28" s="10" t="str">
        <ns0:f>Detail!E745</ns0:f>
        <ns0:v>3-1</ns0:v>
      </ns0:c>
      <ns0:c r="U28" s="10" t="str">
        <ns0:f>Detail!E746</ns0:f>
        <ns0:v>0-2</ns0:v>
      </ns0:c>
      <ns0:c r="V28" s="10" t="str">
        <ns0:f>Detail!E747</ns0:f>
        <ns0:v>0-3</ns0:v>
      </ns0:c>
      <ns0:c r="W28" s="10" t="str">
        <ns0:f>Detail!E748</ns0:f>
        <ns0:v>0-2</ns0:v>
      </ns0:c>
      <ns0:c r="X28" s="10" t="str">
        <ns0:f>Detail!E749</ns0:f>
        <ns0:v>1-1</ns0:v>
      </ns0:c>
      <ns0:c r="Y28" s="10" t="str">
        <ns0:f>Detail!E750</ns0:f>
        <ns0:v>3-1</ns0:v>
      </ns0:c>
      <ns0:c r="Z28" s="10" t="str">
        <ns0:f>Detail!E751</ns0:f>
        <ns0:v>2-2</ns0:v>
      </ns0:c>
      <ns0:c r="AA28" s="9" t="inlineStr">
        <ns0:is>
          <ns0:t>-</ns0:t>
        </ns0:is>
      </ns0:c>
      <ns0:c r="AB28" s="10" t="str">
        <ns0:f>Detail!E752</ns0:f>
        <ns0:v>2-2</ns0:v>
      </ns0:c>
      <ns0:c r="AC28" s="10" t="str">
        <ns0:f>Detail!E753</ns0:f>
        <ns0:v>1-1</ns0:v>
      </ns0:c>
      <ns0:c r="AD28" s="10" t="str">
        <ns0:f>Detail!E754</ns0:f>
        <ns0:v>4-0</ns0:v>
      </ns0:c>
      <ns0:c r="AE28" s="10" t="str">
        <ns0:f>Detail!E755</ns0:f>
        <ns0:v>1-1</ns0:v>
      </ns0:c>
      <ns0:c r="AF28" s="11" t="str">
        <ns0:f>Validation!C27&amp;"-"&amp;Validation!D27</ns0:f>
        <ns0:v>40-42</ns0:v>
      </ns0:c>
    </ns0:row>
    <ns0:row r="29">
      <ns0:c r="A29" s="8" t="inlineStr">
        <ns0:is>
          <ns0:t>San Antonio Spurs</ns0:t>
        </ns0:is>
      </ns0:c>
      <ns0:c r="B29" s="10" t="str">
        <ns0:f>Detail!E756</ns0:f>
        <ns0:v>2-0</ns0:v>
      </ns0:c>
      <ns0:c r="C29" s="10" t="str">
        <ns0:f>Detail!E757</ns0:f>
        <ns0:v>0-2</ns0:v>
      </ns0:c>
      <ns0:c r="D29" s="10" t="str">
        <ns0:f>Detail!E758</ns0:f>
        <ns0:v>2-0</ns0:v>
      </ns0:c>
      <ns0:c r="E29" s="10" t="str">
        <ns0:f>Detail!E759</ns0:f>
        <ns0:v>0-2</ns0:v>
      </ns0:c>
      <ns0:c r="F29" s="10" t="str">
        <ns0:f>Detail!E760</ns0:f>
        <ns0:v>0-2</ns0:v>
      </ns0:c>
      <ns0:c r="G29" s="10" t="str">
        <ns0:f>Detail!E761</ns0:f>
        <ns0:v>0-2</ns0:v>
      </ns0:c>
      <ns0:c r="H29" s="10" t="str">
        <ns0:f>Detail!E762</ns0:f>
        <ns0:v>1-3</ns0:v>
      </ns0:c>
      <ns0:c r="I29" s="10" t="str">
        <ns0:f>Detail!E763</ns0:f>
        <ns0:v>2-1</ns0:v>
      </ns0:c>
      <ns0:c r="J29" s="10" t="str">
        <ns0:f>Detail!E764</ns0:f>
        <ns0:v>0-2</ns0:v>
      </ns0:c>
      <ns0:c r="K29" s="10" t="str">
        <ns0:f>Detail!E765</ns0:f>
        <ns0:v>2-1</ns0:v>
      </ns0:c>
      <ns0:c r="L29" s="10" t="str">
        <ns0:f>Detail!E766</ns0:f>
        <ns0:v>1-3</ns0:v>
      </ns0:c>
      <ns0:c r="M29" s="10" t="str">
        <ns0:f>Detail!E767</ns0:f>
        <ns0:v>1-1</ns0:v>
      </ns0:c>
      <ns0:c r="N29" s="10" t="str">
        <ns0:f>Detail!E768</ns0:f>
        <ns0:v>1-3</ns0:v>
      </ns0:c>
      <ns0:c r="O29" s="10" t="str">
        <ns0:f>Detail!E769</ns0:f>
        <ns0:v>1-3</ns0:v>
      </ns0:c>
      <ns0:c r="P29" s="10" t="str">
        <ns0:f>Detail!E770</ns0:f>
        <ns0:v>1-3</ns0:v>
      </ns0:c>
      <ns0:c r="Q29" s="10" t="str">
        <ns0:f>Detail!E771</ns0:f>
        <ns0:v>0-2</ns0:v>
      </ns0:c>
      <ns0:c r="R29" s="10" t="str">
        <ns0:f>Detail!E772</ns0:f>
        <ns0:v>1-1</ns0:v>
      </ns0:c>
      <ns0:c r="S29" s="10" t="str">
        <ns0:f>Detail!E773</ns0:f>
        <ns0:v>1-3</ns0:v>
      </ns0:c>
      <ns0:c r="T29" s="10" t="str">
        <ns0:f>Detail!E774</ns0:f>
        <ns0:v>2-2</ns0:v>
      </ns0:c>
      <ns0:c r="U29" s="10" t="str">
        <ns0:f>Detail!E775</ns0:f>
        <ns0:v>1-1</ns0:v>
      </ns0:c>
      <ns0:c r="V29" s="10" t="str">
        <ns0:f>Detail!E776</ns0:f>
        <ns0:v>1-2</ns0:v>
      </ns0:c>
      <ns0:c r="W29" s="10" t="str">
        <ns0:f>Detail!E777</ns0:f>
        <ns0:v>0-2</ns0:v>
      </ns0:c>
      <ns0:c r="X29" s="10" t="str">
        <ns0:f>Detail!E778</ns0:f>
        <ns0:v>1-1</ns0:v>
      </ns0:c>
      <ns0:c r="Y29" s="10" t="str">
        <ns0:f>Detail!E779</ns0:f>
        <ns0:v>1-2</ns0:v>
      </ns0:c>
      <ns0:c r="Z29" s="10" t="str">
        <ns0:f>Detail!E780</ns0:f>
        <ns0:v>3-1</ns0:v>
      </ns0:c>
      <ns0:c r="AA29" s="10" t="str">
        <ns0:f>Detail!E781</ns0:f>
        <ns0:v>2-2</ns0:v>
      </ns0:c>
      <ns0:c r="AB29" s="9" t="inlineStr">
        <ns0:is>
          <ns0:t>-</ns0:t>
        </ns0:is>
      </ns0:c>
      <ns0:c r="AC29" s="10" t="str">
        <ns0:f>Detail!E782</ns0:f>
        <ns0:v>2-0</ns0:v>
      </ns0:c>
      <ns0:c r="AD29" s="10" t="str">
        <ns0:f>Detail!E783</ns0:f>
        <ns0:v>3-1</ns0:v>
      </ns0:c>
      <ns0:c r="AE29" s="10" t="str">
        <ns0:f>Detail!E784</ns0:f>
        <ns0:v>2-0</ns0:v>
      </ns0:c>
      <ns0:c r="AF29" s="11" t="str">
        <ns0:f>Validation!C28&amp;"-"&amp;Validation!D28</ns0:f>
        <ns0:v>34-48</ns0:v>
      </ns0:c>
    </ns0:row>
    <ns0:row r="30">
      <ns0:c r="A30" s="8" t="inlineStr">
        <ns0:is>
          <ns0:t>Toronto Raptors</ns0:t>
        </ns0:is>
      </ns0:c>
      <ns0:c r="B30" s="10" t="str">
        <ns0:f>Detail!E785</ns0:f>
        <ns0:v>2-1</ns0:v>
      </ns0:c>
      <ns0:c r="C30" s="10" t="str">
        <ns0:f>Detail!E786</ns0:f>
        <ns0:v>1-3</ns0:v>
      </ns0:c>
      <ns0:c r="D30" s="10" t="str">
        <ns0:f>Detail!E787</ns0:f>
        <ns0:v>3-1</ns0:v>
      </ns0:c>
      <ns0:c r="E30" s="10" t="str">
        <ns0:f>Detail!E788</ns0:f>
        <ns0:v>2-1</ns0:v>
      </ns0:c>
      <ns0:c r="F30" s="10" t="str">
        <ns0:f>Detail!E789</ns0:f>
        <ns0:v>0-4</ns0:v>
      </ns0:c>
      <ns0:c r="G30" s="10" t="str">
        <ns0:f>Detail!E790</ns0:f>
        <ns0:v>0-4</ns0:v>
      </ns0:c>
      <ns0:c r="H30" s="10" t="str">
        <ns0:f>Detail!E791</ns0:f>
        <ns0:v>0-2</ns0:v>
      </ns0:c>
      <ns0:c r="I30" s="10" t="str">
        <ns0:f>Detail!E792</ns0:f>
        <ns0:v>0-2</ns0:v>
      </ns0:c>
      <ns0:c r="J30" s="10" t="str">
        <ns0:f>Detail!E793</ns0:f>
        <ns0:v>0-4</ns0:v>
      </ns0:c>
      <ns0:c r="K30" s="10" t="str">
        <ns0:f>Detail!E794</ns0:f>
        <ns0:v>1-1</ns0:v>
      </ns0:c>
      <ns0:c r="L30" s="10" t="str">
        <ns0:f>Detail!E795</ns0:f>
        <ns0:v>0-2</ns0:v>
      </ns0:c>
      <ns0:c r="M30" s="10" t="str">
        <ns0:f>Detail!E796</ns0:f>
        <ns0:v>2-1</ns0:v>
      </ns0:c>
      <ns0:c r="N30" s="10" t="str">
        <ns0:f>Detail!E797</ns0:f>
        <ns0:v>1-1</ns0:v>
      </ns0:c>
      <ns0:c r="O30" s="10" t="str">
        <ns0:f>Detail!E798</ns0:f>
        <ns0:v>0-2</ns0:v>
      </ns0:c>
      <ns0:c r="P30" s="10" t="str">
        <ns0:f>Detail!E799</ns0:f>
        <ns0:v>0-2</ns0:v>
      </ns0:c>
      <ns0:c r="Q30" s="10" t="str">
        <ns0:f>Detail!E800</ns0:f>
        <ns0:v>1-3</ns0:v>
      </ns0:c>
      <ns0:c r="R30" s="10" t="str">
        <ns0:f>Detail!E801</ns0:f>
        <ns0:v>0-3</ns0:v>
      </ns0:c>
      <ns0:c r="S30" s="10" t="str">
        <ns0:f>Detail!E802</ns0:f>
        <ns0:v>1-1</ns0:v>
      </ns0:c>
      <ns0:c r="T30" s="10" t="str">
        <ns0:f>Detail!E803</ns0:f>
        <ns0:v>2-0</ns0:v>
      </ns0:c>
      <ns0:c r="U30" s="10" t="str">
        <ns0:f>Detail!E804</ns0:f>
        <ns0:v>0-4</ns0:v>
      </ns0:c>
      <ns0:c r="V30" s="10" t="str">
        <ns0:f>Detail!E805</ns0:f>
        <ns0:v>0-2</ns0:v>
      </ns0:c>
      <ns0:c r="W30" s="10" t="str">
        <ns0:f>Detail!E806</ns0:f>
        <ns0:v>3-1</ns0:v>
      </ns0:c>
      <ns0:c r="X30" s="10" t="str">
        <ns0:f>Detail!E807</ns0:f>
        <ns0:v>4-0</ns0:v>
      </ns0:c>
      <ns0:c r="Y30" s="10" t="str">
        <ns0:f>Detail!E808</ns0:f>
        <ns0:v>1-1</ns0:v>
      </ns0:c>
      <ns0:c r="Z30" s="10" t="str">
        <ns0:f>Detail!E809</ns0:f>
        <ns0:v>0-2</ns0:v>
      </ns0:c>
      <ns0:c r="AA30" s="10" t="str">
        <ns0:f>Detail!E810</ns0:f>
        <ns0:v>1-1</ns0:v>
      </ns0:c>
      <ns0:c r="AB30" s="10" t="str">
        <ns0:f>Detail!E811</ns0:f>
        <ns0:v>0-2</ns0:v>
      </ns0:c>
      <ns0:c r="AC30" s="9" t="inlineStr">
        <ns0:is>
          <ns0:t>-</ns0:t>
        </ns0:is>
      </ns0:c>
      <ns0:c r="AD30" s="10" t="str">
        <ns0:f>Detail!E812</ns0:f>
        <ns0:v>2-0</ns0:v>
      </ns0:c>
      <ns0:c r="AE30" s="10" t="str">
        <ns0:f>Detail!E813</ns0:f>
        <ns0:v>3-1</ns0:v>
      </ns0:c>
      <ns0:c r="AF30" s="11" t="str">
        <ns0:f>Validation!C29&amp;"-"&amp;Validation!D29</ns0:f>
        <ns0:v>30-52</ns0:v>
      </ns0:c>
    </ns0:row>
    <ns0:row r="31">
      <ns0:c r="A31" s="8" t="inlineStr">
        <ns0:is>
          <ns0:t>Utah Jazz</ns0:t>
        </ns0:is>
      </ns0:c>
      <ns0:c r="B31" s="10" t="str">
        <ns0:f>Detail!E814</ns0:f>
        <ns0:v>0-2</ns0:v>
      </ns0:c>
      <ns0:c r="C31" s="10" t="str">
        <ns0:f>Detail!E815</ns0:f>
        <ns0:v>0-2</ns0:v>
      </ns0:c>
      <ns0:c r="D31" s="10" t="str">
        <ns0:f>Detail!E816</ns0:f>
        <ns0:v>2-0</ns0:v>
      </ns0:c>
      <ns0:c r="E31" s="10" t="str">
        <ns0:f>Detail!E817</ns0:f>
        <ns0:v>0-2</ns0:v>
      </ns0:c>
      <ns0:c r="F31" s="10" t="str">
        <ns0:f>Detail!E818</ns0:f>
        <ns0:v>1-1</ns0:v>
      </ns0:c>
      <ns0:c r="G31" s="10" t="str">
        <ns0:f>Detail!E819</ns0:f>
        <ns0:v>0-2</ns0:v>
      </ns0:c>
      <ns0:c r="H31" s="10" t="str">
        <ns0:f>Detail!E820</ns0:f>
        <ns0:v>1-2</ns0:v>
      </ns0:c>
      <ns0:c r="I31" s="10" t="str">
        <ns0:f>Detail!E821</ns0:f>
        <ns0:v>0-4</ns0:v>
      </ns0:c>
      <ns0:c r="J31" s="10" t="str">
        <ns0:f>Detail!E822</ns0:f>
        <ns0:v>1-1</ns0:v>
      </ns0:c>
      <ns0:c r="K31" s="10" t="str">
        <ns0:f>Detail!E823</ns0:f>
        <ns0:v>1-2</ns0:v>
      </ns0:c>
      <ns0:c r="L31" s="10" t="str">
        <ns0:f>Detail!E824</ns0:f>
        <ns0:v>1-2</ns0:v>
      </ns0:c>
      <ns0:c r="M31" s="10" t="str">
        <ns0:f>Detail!E825</ns0:f>
        <ns0:v>0-2</ns0:v>
      </ns0:c>
      <ns0:c r="N31" s="10" t="str">
        <ns0:f>Detail!E826</ns0:f>
        <ns0:v>0-4</ns0:v>
      </ns0:c>
      <ns0:c r="O31" s="10" t="str">
        <ns0:f>Detail!E827</ns0:f>
        <ns0:v>1-3</ns0:v>
      </ns0:c>
      <ns0:c r="P31" s="10" t="str">
        <ns0:f>Detail!E828</ns0:f>
        <ns0:v>0-4</ns0:v>
      </ns0:c>
      <ns0:c r="Q31" s="10" t="str">
        <ns0:f>Detail!E829</ns0:f>
        <ns0:v>1-1</ns0:v>
      </ns0:c>
      <ns0:c r="R31" s="10" t="str">
        <ns0:f>Detail!E830</ns0:f>
        <ns0:v>0-2</ns0:v>
      </ns0:c>
      <ns0:c r="S31" s="10" t="str">
        <ns0:f>Detail!E831</ns0:f>
        <ns0:v>1-3</ns0:v>
      </ns0:c>
      <ns0:c r="T31" s="10" t="str">
        <ns0:f>Detail!E832</ns0:f>
        <ns0:v>0-3</ns0:v>
      </ns0:c>
      <ns0:c r="U31" s="10" t="str">
        <ns0:f>Detail!E833</ns0:f>
        <ns0:v>1-1</ns0:v>
      </ns0:c>
      <ns0:c r="V31" s="10" t="str">
        <ns0:f>Detail!E834</ns0:f>
        <ns0:v>0-4</ns0:v>
      </ns0:c>
      <ns0:c r="W31" s="10" t="str">
        <ns0:f>Detail!E835</ns0:f>
        <ns0:v>2-0</ns0:v>
      </ns0:c>
      <ns0:c r="X31" s="10" t="str">
        <ns0:f>Detail!E836</ns0:f>
        <ns0:v>0-2</ns0:v>
      </ns0:c>
      <ns0:c r="Y31" s="10" t="str">
        <ns0:f>Detail!E837</ns0:f>
        <ns0:v>0-4</ns0:v>
      </ns0:c>
      <ns0:c r="Z31" s="10" t="str">
        <ns0:f>Detail!E838</ns0:f>
        <ns0:v>2-2</ns0:v>
      </ns0:c>
      <ns0:c r="AA31" s="10" t="str">
        <ns0:f>Detail!E839</ns0:f>
        <ns0:v>0-4</ns0:v>
      </ns0:c>
      <ns0:c r="AB31" s="10" t="str">
        <ns0:f>Detail!E840</ns0:f>
        <ns0:v>1-3</ns0:v>
      </ns0:c>
      <ns0:c r="AC31" s="10" t="str">
        <ns0:f>Detail!E841</ns0:f>
        <ns0:v>0-2</ns0:v>
      </ns0:c>
      <ns0:c r="AD31" s="9" t="inlineStr">
        <ns0:is>
          <ns0:t>-</ns0:t>
        </ns0:is>
      </ns0:c>
      <ns0:c r="AE31" s="10" t="str">
        <ns0:f>Detail!E842</ns0:f>
        <ns0:v>1-1</ns0:v>
      </ns0:c>
      <ns0:c r="AF31" s="11" t="str">
        <ns0:f>Validation!C30&amp;"-"&amp;Validation!D30</ns0:f>
        <ns0:v>17-65</ns0:v>
      </ns0:c>
    </ns0:row>
    <ns0:row r="32">
      <ns0:c r="A32" s="8" t="inlineStr">
        <ns0:is>
          <ns0:t>Washington Wizards</ns0:t>
        </ns0:is>
      </ns0:c>
      <ns0:c r="B32" s="10" t="str">
        <ns0:f>Detail!E843</ns0:f>
        <ns0:v>2-2</ns0:v>
      </ns0:c>
      <ns0:c r="C32" s="10" t="str">
        <ns0:f>Detail!E844</ns0:f>
        <ns0:v>0-4</ns0:v>
      </ns0:c>
      <ns0:c r="D32" s="10" t="str">
        <ns0:f>Detail!E845</ns0:f>
        <ns0:v>2-1</ns0:v>
      </ns0:c>
      <ns0:c r="E32" s="10" t="str">
        <ns0:f>Detail!E846</ns0:f>
        <ns0:v>4-0</ns0:v>
      </ns0:c>
      <ns0:c r="F32" s="10" t="str">
        <ns0:f>Detail!E847</ns0:f>
        <ns0:v>1-3</ns0:v>
      </ns0:c>
      <ns0:c r="G32" s="10" t="str">
        <ns0:f>Detail!E848</ns0:f>
        <ns0:v>0-4</ns0:v>
      </ns0:c>
      <ns0:c r="H32" s="10" t="str">
        <ns0:f>Detail!E849</ns0:f>
        <ns0:v>0-2</ns0:v>
      </ns0:c>
      <ns0:c r="I32" s="10" t="str">
        <ns0:f>Detail!E850</ns0:f>
        <ns0:v>2-0</ns0:v>
      </ns0:c>
      <ns0:c r="J32" s="10" t="str">
        <ns0:f>Detail!E851</ns0:f>
        <ns0:v>1-2</ns0:v>
      </ns0:c>
      <ns0:c r="K32" s="10" t="str">
        <ns0:f>Detail!E852</ns0:f>
        <ns0:v>0-2</ns0:v>
      </ns0:c>
      <ns0:c r="L32" s="10" t="str">
        <ns0:f>Detail!E853</ns0:f>
        <ns0:v>0-2</ns0:v>
      </ns0:c>
      <ns0:c r="M32" s="10" t="str">
        <ns0:f>Detail!E854</ns0:f>
        <ns0:v>0-4</ns0:v>
      </ns0:c>
      <ns0:c r="N32" s="10" t="str">
        <ns0:f>Detail!E855</ns0:f>
        <ns0:v>0-2</ns0:v>
      </ns0:c>
      <ns0:c r="O32" s="10" t="str">
        <ns0:f>Detail!E856</ns0:f>
        <ns0:v>0-2</ns0:v>
      </ns0:c>
      <ns0:c r="P32" s="10" t="str">
        <ns0:f>Detail!E857</ns0:f>
        <ns0:v>0-2</ns0:v>
      </ns0:c>
      <ns0:c r="Q32" s="10" t="str">
        <ns0:f>Detail!E858</ns0:f>
        <ns0:v>1-3</ns0:v>
      </ns0:c>
      <ns0:c r="R32" s="10" t="str">
        <ns0:f>Detail!E859</ns0:f>
        <ns0:v>0-3</ns0:v>
      </ns0:c>
      <ns0:c r="S32" s="10" t="str">
        <ns0:f>Detail!E860</ns0:f>
        <ns0:v>1-1</ns0:v>
      </ns0:c>
      <ns0:c r="T32" s="10" t="str">
        <ns0:f>Detail!E861</ns0:f>
        <ns0:v>0-2</ns0:v>
      </ns0:c>
      <ns0:c r="U32" s="10" t="str">
        <ns0:f>Detail!E862</ns0:f>
        <ns0:v>0-4</ns0:v>
      </ns0:c>
      <ns0:c r="V32" s="10" t="str">
        <ns0:f>Detail!E863</ns0:f>
        <ns0:v>0-2</ns0:v>
      </ns0:c>
      <ns0:c r="W32" s="10" t="str">
        <ns0:f>Detail!E864</ns0:f>
        <ns0:v>0-4</ns0:v>
      </ns0:c>
      <ns0:c r="X32" s="10" t="str">
        <ns0:f>Detail!E865</ns0:f>
        <ns0:v>1-2</ns0:v>
      </ns0:c>
      <ns0:c r="Y32" s="10" t="str">
        <ns0:f>Detail!E866</ns0:f>
        <ns0:v>0-2</ns0:v>
      </ns0:c>
      <ns0:c r="Z32" s="10" t="str">
        <ns0:f>Detail!E867</ns0:f>
        <ns0:v>0-2</ns0:v>
      </ns0:c>
      <ns0:c r="AA32" s="10" t="str">
        <ns0:f>Detail!E868</ns0:f>
        <ns0:v>1-1</ns0:v>
      </ns0:c>
      <ns0:c r="AB32" s="10" t="str">
        <ns0:f>Detail!E869</ns0:f>
        <ns0:v>0-2</ns0:v>
      </ns0:c>
      <ns0:c r="AC32" s="10" t="str">
        <ns0:f>Detail!E870</ns0:f>
        <ns0:v>1-3</ns0:v>
      </ns0:c>
      <ns0:c r="AD32" s="10" t="str">
        <ns0:f>Detail!E871</ns0:f>
        <ns0:v>1-1</ns0:v>
      </ns0:c>
      <ns0:c r="AE32" s="9" t="inlineStr">
        <ns0:is>
          <ns0:t>-</ns0:t>
        </ns0:is>
      </ns0:c>
      <ns0:c r="AF32" s="11" t="str">
        <ns0:f>Validation!C31&amp;"-"&amp;Validation!D31</ns0:f>
        <ns0:v>18-64</ns0:v>
      </ns0:c>
    </ns0:row>
    <ns0:row r="33">
      <ns0:c r="A33" s="4" t="inlineStr">
        <ns0:is>
          <ns0:t>Total</ns0:t>
        </ns0:is>
      </ns0:c>
      <ns0:c r="B33" s="9" t="inlineStr"/>
      <ns0:c r="C33" s="9" t="inlineStr"/>
      <ns0:c r="D33" s="9" t="inlineStr"/>
      <ns0:c r="E33" s="9" t="inlineStr"/>
      <ns0:c r="F33" s="9" t="inlineStr"/>
      <ns0:c r="G33" s="9" t="inlineStr"/>
      <ns0:c r="H33" s="9" t="inlineStr"/>
      <ns0:c r="I33" s="9" t="inlineStr"/>
      <ns0:c r="J33" s="9" t="inlineStr"/>
      <ns0:c r="K33" s="9" t="inlineStr"/>
      <ns0:c r="L33" s="9" t="inlineStr"/>
      <ns0:c r="M33" s="9" t="inlineStr"/>
      <ns0:c r="N33" s="9" t="inlineStr"/>
      <ns0:c r="O33" s="9" t="inlineStr"/>
      <ns0:c r="P33" s="9" t="inlineStr"/>
      <ns0:c r="Q33" s="9" t="inlineStr"/>
      <ns0:c r="R33" s="9" t="inlineStr"/>
      <ns0:c r="S33" s="9" t="inlineStr"/>
      <ns0:c r="T33" s="9" t="inlineStr"/>
      <ns0:c r="U33" s="9" t="inlineStr"/>
      <ns0:c r="V33" s="9" t="inlineStr"/>
      <ns0:c r="W33" s="9" t="inlineStr"/>
      <ns0:c r="X33" s="9" t="inlineStr"/>
      <ns0:c r="Y33" s="9" t="inlineStr"/>
      <ns0:c r="Z33" s="9" t="inlineStr"/>
      <ns0:c r="AA33" s="9" t="inlineStr"/>
      <ns0:c r="AB33" s="9" t="inlineStr"/>
      <ns0:c r="AC33" s="9" t="inlineStr"/>
      <ns0:c r="AD33" s="9" t="inlineStr"/>
      <ns0:c r="AE33" s="9" t="inlineStr"/>
      <ns0:c r="AF33" s="13" t="inlineStr"/>
    </ns0:row>
  </ns0:sheetData>
  <ns0:mergeCells count="1">
    <ns0:mergeCell ref="A1:AF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2026-04-11T23:22:04Z</dcterms:created>
  <dcterms:modified xmlns:dcterms="http://purl.org/dc/terms/" xmlns:xsi="http://www.w3.org/2001/XMLSchema-instance" xsi:type="dcterms:W3CDTF">2026-04-11T23:22:04Z</dcterms:modified>
</cp:coreProperties>
</file>